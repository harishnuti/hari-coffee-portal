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<sst xmlns="http://schemas.openxmlformats.org/spreadsheetml/2006/main" count="2388" uniqueCount="1370">
  <si>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</si>
  <si>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</si>
  <si>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</si>
  <si>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</si>
  <si>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</si>
  <si>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</si>
  <si>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</si>
  <si>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</si>
  <si>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</si>
  <si>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</si>
  <si>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</si>
  <si>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</si>
  <si>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</si>
  <si>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</si>
  <si>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</si>
  <si>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</si>
  <si>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</si>
  <si>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</si>
  <si>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</si>
  <si>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</si>
  <si>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</si>
  <si>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</si>
  <si>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</si>
  <si>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</si>
  <si>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</si>
  <si>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</si>
  <si>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</si>
  <si>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</si>
  <si>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</si>
  <si>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</si>
  <si>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</si>
  <si>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</si>
  <si>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</si>
  <si>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</si>
  <si>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</si>
  <si>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</si>
  <si>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</si>
  <si>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</si>
  <si>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</si>
  <si>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</si>
  <si>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</si>
  <si>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</si>
  <si>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</si>
  <si>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</si>
  <si>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</si>
  <si>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</si>
  <si>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</si>
  <si>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</si>
  <si>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</si>
  <si>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</si>
  <si>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</si>
  <si>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</si>
  <si>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</si>
  <si>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</si>
  <si>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</si>
  <si>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</si>
  <si>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</si>
  <si>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</si>
  <si>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</si>
  <si>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</si>
  <si>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</si>
  <si>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</si>
  <si>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</si>
  <si>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</si>
  <si>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</si>
  <si>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</si>
  <si>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</si>
  <si>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</si>
  <si>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</si>
  <si>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</si>
  <si>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</si>
  <si>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</si>
  <si>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</si>
  <si>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</si>
  <si>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</si>
  <si>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</si>
  <si>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</si>
  <si>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</si>
  <si>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</si>
  <si>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</si>
  <si>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</si>
  <si>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</si>
  <si>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</si>
  <si>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</si>
  <si>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</si>
  <si>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</si>
  <si>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</si>
  <si>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</si>
  <si>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</si>
  <si>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</si>
  <si>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</si>
  <si>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</si>
  <si>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</si>
  <si>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</si>
  <si>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</si>
  <si>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</si>
  <si>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</si>
  <si>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</si>
  <si>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</si>
  <si>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</si>
  <si>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</si>
  <si>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</si>
  <si>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</si>
  <si>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</si>
  <si>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</si>
  <si>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</si>
  <si>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</si>
  <si>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</si>
  <si>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</si>
  <si>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</si>
  <si>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</si>
  <si>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</si>
  <si>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</si>
  <si>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</si>
  <si>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</si>
  <si>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</si>
  <si>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</si>
  <si>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</si>
  <si>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</si>
  <si>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</si>
  <si>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</si>
  <si>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</si>
  <si>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</si>
  <si>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</si>
  <si>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</si>
  <si>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</si>
  <si>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</si>
  <si>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</si>
  <si>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</si>
  <si>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</si>
  <si>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</si>
  <si>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</si>
  <si>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</si>
  <si>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</si>
  <si>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</si>
  <si>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</si>
  <si>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</si>
  <si>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</si>
  <si>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</si>
  <si>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</si>
  <si>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</si>
  <si>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</si>
  <si>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</si>
  <si>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</si>
  <si>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</si>
  <si>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</si>
  <si>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</si>
  <si>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</si>
  <si>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</si>
  <si>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</si>
  <si>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</si>
  <si>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</si>
  <si>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</si>
  <si>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</si>
  <si>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</si>
  <si>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</si>
  <si>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</si>
  <si>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</si>
  <si>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</si>
  <si>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</si>
  <si>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</si>
  <si>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</si>
  <si>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</si>
  <si>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</si>
  <si>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</si>
  <si>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</si>
  <si>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</si>
  <si>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</si>
  <si>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</si>
  <si>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</si>
  <si>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</si>
  <si>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</si>
  <si>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</si>
  <si>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</si>
  <si>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</si>
  <si>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</si>
  <si>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</si>
  <si>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</si>
  <si>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</si>
  <si>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</si>
  <si>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</si>
  <si>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</si>
  <si>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</si>
  <si>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</si>
  <si>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</si>
  <si>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</si>
  <si>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</si>
  <si>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</si>
  <si>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</si>
  <si>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</si>
  <si>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</si>
  <si>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</si>
  <si>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</si>
  <si>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</si>
  <si>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</si>
  <si>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</si>
  <si>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</si>
  <si>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</si>
  <si>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</si>
  <si>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</si>
  <si>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</si>
  <si>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</si>
  <si>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</si>
  <si>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</si>
  <si>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</si>
  <si>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</si>
  <si>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</si>
  <si>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</si>
  <si>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</si>
  <si>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</si>
  <si>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</si>
  <si>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</si>
  <si>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</si>
  <si>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</si>
  <si>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</si>
  <si>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</si>
  <si>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</si>
  <si>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</si>
  <si>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</si>
  <si>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</si>
  <si>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</si>
  <si>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</si>
  <si>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</si>
  <si>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</si>
  <si>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</si>
  <si>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</si>
  <si>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</si>
  <si>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</si>
  <si>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</si>
  <si>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</si>
  <si>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</si>
  <si>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</si>
  <si>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</si>
  <si>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</si>
  <si>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</si>
  <si>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</si>
  <si>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</si>
  <si>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</si>
  <si>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</si>
  <si>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</si>
  <si>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</si>
  <si>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</si>
  <si>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</si>
  <si>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</si>
  <si>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</si>
  <si>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</si>
  <si>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</si>
  <si>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</si>
  <si>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</si>
  <si>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</si>
  <si>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</si>
  <si>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</si>
  <si>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</si>
  <si>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</si>
  <si>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</si>
  <si>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</si>
  <si>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</si>
  <si>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</si>
  <si>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</si>
  <si>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</si>
  <si>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</si>
  <si>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</si>
  <si>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</si>
  <si>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</si>
  <si>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</si>
  <si>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</si>
  <si>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</si>
  <si>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</si>
  <si>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</si>
  <si>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</si>
  <si>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</si>
  <si>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</si>
  <si>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</si>
  <si>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</si>
  <si>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</si>
  <si>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</si>
  <si>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</si>
  <si>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</si>
  <si>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</si>
  <si>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</si>
  <si>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</si>
  <si>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</si>
  <si>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</si>
  <si>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</si>
  <si>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</si>
  <si>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</si>
  <si>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</si>
  <si>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</si>
  <si>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</si>
  <si>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</si>
  <si>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</si>
  <si>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</si>
  <si>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</si>
  <si>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</si>
  <si>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</si>
  <si>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</si>
  <si>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</si>
  <si>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</si>
  <si>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</si>
  <si>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</si>
  <si>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</si>
  <si>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</si>
  <si>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</si>
  <si>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</si>
  <si>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</si>
  <si>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</si>
  <si>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</si>
  <si>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</si>
  <si>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</si>
  <si>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</si>
  <si>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</si>
  <si>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</si>
  <si>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</si>
  <si>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</si>
  <si>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</si>
  <si>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</si>
  <si>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</si>
  <si>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</si>
  <si>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</si>
  <si>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</si>
  <si>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</si>
  <si>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</si>
  <si>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</si>
  <si>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</si>
  <si>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</si>
  <si>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</si>
  <si>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</si>
  <si>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</si>
  <si>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</si>
  <si>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</si>
  <si>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</si>
  <si>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</si>
  <si>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</si>
  <si>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</si>
  <si>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</si>
  <si>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</si>
  <si>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</si>
  <si>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</si>
  <si>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</si>
  <si>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</si>
  <si>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</si>
  <si>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</si>
  <si>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</si>
  <si>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</si>
  <si>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</si>
  <si>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</si>
  <si>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</si>
  <si>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</si>
  <si>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</si>
  <si>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</si>
  <si>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</si>
  <si>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</si>
  <si>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</si>
  <si>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</si>
  <si>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</si>
  <si>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</si>
  <si>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</si>
  <si>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</si>
  <si>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</si>
  <si>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</si>
  <si>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</si>
  <si>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</si>
  <si>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</si>
  <si>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</si>
  <si>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</si>
  <si>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</si>
  <si>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</si>
  <si>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</si>
  <si>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</si>
  <si>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</si>
  <si>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</si>
  <si>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</si>
  <si>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</si>
  <si>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</si>
  <si>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</si>
  <si>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</si>
  <si>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</si>
  <si>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</si>
  <si>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</si>
  <si>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</si>
  <si>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</si>
  <si>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</si>
  <si>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</si>
  <si>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</si>
  <si>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</si>
  <si>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</si>
  <si>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</si>
  <si>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</si>
  <si>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</si>
  <si>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</si>
  <si>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</si>
  <si>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</si>
  <si>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</si>
  <si>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</si>
  <si>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</si>
  <si>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</si>
  <si>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</si>
  <si>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</si>
  <si>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</si>
  <si>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</si>
  <si>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</si>
  <si>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</si>
  <si>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</si>
  <si>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</si>
  <si>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</si>
  <si>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</si>
  <si>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</si>
  <si>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</si>
  <si>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</si>
  <si>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</si>
  <si>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</si>
  <si>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</si>
  <si>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</si>
  <si>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</si>
  <si>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</si>
  <si>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</si>
  <si>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</si>
  <si>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</si>
  <si>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</si>
  <si>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</si>
  <si>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</si>
  <si>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</si>
  <si>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</si>
  <si>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</si>
  <si>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</si>
  <si>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</si>
  <si>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</si>
  <si>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</si>
  <si>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</si>
  <si>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</si>
  <si>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</si>
  <si>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</si>
  <si>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</si>
  <si>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</si>
  <si>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</si>
  <si>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</si>
  <si>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</si>
  <si>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</si>
  <si>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</si>
  <si>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</si>
  <si>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</si>
  <si>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</si>
  <si>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</si>
  <si>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</si>
  <si>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</si>
  <si>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</si>
  <si>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</si>
  <si>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</si>
  <si>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</si>
  <si>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</si>
  <si>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</si>
  <si>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</si>
  <si>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</si>
  <si>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</si>
  <si>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</si>
  <si>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</si>
  <si>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</si>
  <si>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</si>
  <si>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</si>
  <si>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</si>
  <si>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</si>
  <si>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</si>
  <si>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</si>
  <si>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</si>
  <si>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</si>
  <si>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</si>
  <si>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</si>
  <si>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</si>
  <si>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</si>
  <si>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</si>
  <si>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</si>
  <si>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</si>
  <si>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</si>
  <si>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</si>
  <si>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</si>
  <si>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</si>
  <si>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</si>
  <si>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</si>
  <si>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</si>
  <si>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</si>
  <si>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</si>
  <si>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</si>
  <si>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</si>
  <si>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</si>
  <si>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</si>
  <si>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</si>
  <si>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</si>
  <si>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</si>
  <si>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</si>
  <si>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</si>
  <si>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</si>
  <si>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</si>
  <si>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</si>
  <si>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</si>
  <si>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</si>
  <si>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</si>
  <si>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</si>
  <si>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</si>
  <si>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</si>
  <si>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</si>
  <si>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</si>
  <si>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</si>
  <si>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</si>
  <si>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</si>
  <si>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</si>
  <si>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</si>
  <si>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</si>
  <si>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</si>
  <si>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</si>
  <si>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</si>
  <si>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</si>
  <si>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</si>
  <si>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</si>
  <si>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</si>
  <si>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</si>
  <si>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</si>
  <si>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</si>
  <si>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</si>
  <si>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</si>
  <si>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</si>
  <si>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</si>
  <si>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</si>
  <si>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</si>
  <si>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</si>
  <si>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</si>
  <si>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</si>
  <si>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</si>
  <si>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</si>
  <si>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</si>
  <si>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</si>
  <si>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</si>
  <si>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</si>
  <si>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</si>
  <si>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</si>
  <si>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</si>
  <si>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</si>
  <si>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</si>
  <si>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</si>
  <si>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</si>
  <si>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</si>
  <si>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</si>
  <si>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</si>
  <si>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</si>
  <si>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</si>
  <si>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</si>
  <si>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</si>
  <si>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</si>
  <si>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</si>
  <si>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</si>
  <si>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</si>
  <si>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</si>
  <si>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</si>
  <si>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</si>
  <si>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</si>
  <si>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</si>
  <si>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</si>
  <si>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</si>
  <si>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</si>
  <si>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</si>
  <si>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</si>
  <si>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</si>
  <si>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</si>
  <si>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</si>
  <si>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</si>
  <si>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</si>
  <si>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</si>
  <si>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</si>
  <si>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</si>
  <si>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</si>
  <si>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</si>
  <si>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</si>
  <si>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</si>
  <si>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</si>
  <si>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</si>
  <si>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</si>
  <si>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</si>
  <si>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</si>
  <si>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</si>
  <si>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</si>
  <si>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</si>
  <si>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</si>
  <si>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</si>
  <si>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</si>
  <si>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</si>
  <si>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</si>
  <si>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</si>
  <si>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</si>
  <si>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</si>
  <si>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</si>
  <si>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</si>
  <si>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</si>
  <si>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</si>
  <si>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</si>
  <si>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</si>
  <si>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</si>
  <si>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</si>
  <si>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</si>
  <si>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</si>
  <si>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</si>
  <si>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</si>
  <si>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</si>
  <si>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</si>
  <si>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</si>
  <si>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</si>
  <si>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</si>
  <si>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</si>
  <si>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</si>
  <si>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</si>
  <si>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</si>
  <si>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</si>
  <si>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</si>
  <si>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</si>
  <si>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</si>
  <si>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</si>
  <si>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</si>
  <si>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</si>
  <si>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</si>
  <si>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</si>
  <si>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</si>
  <si>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</si>
  <si>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</si>
  <si>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</si>
  <si>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</si>
  <si>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</si>
  <si>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</si>
  <si>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</si>
  <si>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</si>
  <si>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</si>
  <si>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</si>
  <si>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</si>
  <si>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</si>
  <si>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</si>
  <si>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</si>
  <si>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</si>
  <si>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</si>
  <si>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</si>
  <si>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</si>
  <si>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</si>
  <si>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</si>
  <si>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</si>
  <si>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</si>
  <si>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</si>
  <si>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</si>
  <si>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</si>
  <si>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</si>
  <si>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</si>
  <si>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</si>
  <si>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</si>
  <si>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</si>
  <si>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</si>
  <si>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</si>
  <si>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</si>
  <si>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</si>
  <si>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</si>
  <si>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</si>
  <si>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</si>
  <si>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</si>
  <si>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</si>
  <si>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</si>
  <si>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</si>
  <si>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</si>
  <si>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</si>
  <si>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</si>
  <si>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</si>
  <si>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</si>
  <si>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</si>
  <si>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</si>
  <si>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</si>
  <si>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</si>
  <si>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</si>
  <si>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</si>
  <si>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</si>
  <si>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</si>
  <si>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</si>
  <si>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</si>
  <si>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</si>
  <si>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</si>
  <si>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</si>
  <si>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</si>
  <si>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</si>
  <si>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</si>
  <si>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</si>
  <si>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</si>
  <si>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</si>
  <si>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</si>
  <si>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</si>
  <si>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</si>
  <si>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</si>
  <si>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</si>
  <si>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</si>
  <si>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</si>
  <si>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</si>
  <si>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</si>
  <si>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</si>
  <si>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</si>
  <si>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</si>
  <si>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</si>
  <si>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</si>
  <si>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</si>
  <si>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</si>
  <si>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</si>
  <si>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</si>
  <si>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</si>
  <si>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</si>
  <si>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</si>
  <si>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</si>
  <si>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</si>
  <si>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</si>
  <si>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</si>
  <si>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</si>
  <si>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</si>
  <si>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</si>
  <si>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</si>
  <si>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</si>
  <si>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</si>
  <si>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</si>
  <si>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</si>
  <si>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</si>
  <si>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</si>
  <si>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</si>
  <si>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</si>
  <si>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</si>
  <si>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</si>
  <si>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</si>
  <si>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</si>
  <si>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</si>
  <si>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</si>
  <si>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</si>
  <si>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</si>
  <si>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</si>
  <si>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</si>
  <si>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</si>
  <si>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</si>
  <si>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</si>
  <si>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</si>
  <si>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</si>
  <si>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</si>
  <si>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</si>
  <si>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</si>
  <si>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</si>
  <si>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</si>
  <si>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</si>
  <si>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</si>
  <si>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</si>
  <si>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</si>
  <si>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</si>
  <si>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</si>
  <si>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</si>
  <si>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</si>
  <si>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</si>
  <si>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</si>
  <si>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</si>
  <si>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</si>
  <si>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</si>
  <si>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</si>
  <si>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</si>
  <si>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</si>
  <si>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</si>
  <si>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</si>
  <si>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</si>
  <si>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</si>
  <si>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</si>
  <si>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</si>
  <si>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</si>
  <si>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</si>
  <si>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</si>
  <si>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</si>
  <si>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</si>
  <si>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</si>
  <si>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</si>
  <si>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</si>
  <si>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</si>
  <si>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</si>
  <si>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</si>
  <si>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</si>
  <si>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</si>
  <si>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</si>
  <si>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</si>
  <si>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</si>
  <si>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</si>
  <si>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</si>
  <si>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</si>
  <si>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</si>
  <si>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</si>
  <si>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</si>
  <si>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</si>
  <si>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</si>
  <si>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</si>
  <si>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</si>
  <si>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</si>
  <si>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</si>
  <si>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</si>
  <si>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</si>
  <si>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</si>
  <si>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</si>
  <si>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</si>
  <si>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</si>
  <si>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</si>
  <si>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</si>
  <si>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</si>
  <si>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</si>
  <si>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</si>
  <si>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</si>
  <si>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</si>
  <si>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</si>
  <si>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</si>
  <si>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</si>
  <si>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</si>
  <si>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</si>
  <si>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</si>
  <si>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</si>
  <si>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</si>
  <si>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</si>
  <si>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</si>
  <si>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</si>
  <si>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</si>
  <si>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</si>
  <si>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</si>
  <si>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</si>
  <si>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</si>
  <si>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</si>
  <si>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</si>
  <si>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</si>
  <si>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</si>
  <si>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</si>
  <si>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</si>
  <si>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</si>
  <si>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</si>
  <si>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</si>
  <si>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</si>
  <si>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</si>
  <si>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</si>
  <si>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</si>
  <si>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</si>
  <si>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</si>
  <si>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</si>
  <si>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</si>
  <si>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</si>
  <si>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</si>
  <si>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</si>
  <si>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</si>
  <si>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</si>
  <si>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</si>
  <si>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</si>
  <si>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</si>
  <si>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</si>
  <si>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</si>
  <si>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</si>
  <si>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</si>
  <si>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</si>
  <si>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</si>
  <si>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</si>
  <si>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</si>
  <si>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</si>
  <si>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</si>
  <si>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</si>
  <si>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</si>
  <si>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</si>
  <si>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</si>
  <si>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Peru · Jaén</t>
  </si>
  <si>
    <t xml:space="preserve">Panama · Boquerón</t>
  </si>
  <si>
    <t xml:space="preserve">Peru · Cajamarca</t>
  </si>
  <si>
    <t xml:space="preserve">Peru · Finca Los Santos</t>
  </si>
  <si>
    <t xml:space="preserve">Colombia · Valle (Las Margaritas)</t>
  </si>
  <si>
    <t xml:space="preserve">🆕 29 JUL 2026</t>
  </si>
  <si>
    <t xml:space="preserve">Thailand · Chiang Rai (Sirinya)</t>
  </si>
  <si>
    <t xml:space="preserve">Anaerobic Nat.</t>
  </si>
  <si>
    <t xml:space="preserve">Colombia · Valle (Las Nubes)</t>
  </si>
  <si>
    <t xml:space="preserve">Peru · Wilder Garcia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</si>
  <si>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</si>
  <si>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</si>
  <si>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</si>
  <si>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</si>
  <si>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</si>
  <si>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</si>
  <si>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</si>
  <si>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</si>
  <si>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</si>
  <si>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</si>
  <si>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</si>
  <si>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</si>
  <si>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</si>
  <si>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</si>
  <si>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</si>
  <si>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</si>
  <si>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</si>
  <si>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</si>
  <si>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</si>
  <si>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</si>
  <si>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</si>
  <si>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</si>
  <si>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</si>
  <si>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</si>
  <si>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</si>
  <si>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</si>
  <si>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</si>
  <si>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</si>
  <si>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</si>
  <si>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</si>
  <si>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</si>
  <si>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</si>
  <si>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</si>
  <si>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</si>
  <si>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</si>
  <si>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</si>
  <si>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</si>
  <si>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</si>
  <si>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</si>
  <si>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</si>
  <si>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</si>
  <si>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</si>
  <si>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</si>
  <si>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</si>
  <si>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</si>
  <si>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</si>
  <si>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</si>
  <si>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</si>
  <si>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</si>
  <si>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</si>
  <si>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</si>
  <si>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</si>
  <si>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</si>
  <si>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</si>
  <si>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 Band edge</t>
  </si>
  <si>
    <t xml:space="preserve">Protects floral clarity on Naturals but risks thin sucrose mass —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</si>
  <si>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</si>
  <si>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</si>
  <si>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</si>
  <si>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</si>
  <si>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</si>
  <si>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</si>
  <si>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</si>
  <si>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</si>
  <si>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</si>
  <si>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</si>
  <si>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</si>
  <si>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</si>
  <si>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</si>
  <si>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</si>
  <si>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</si>
  <si>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</si>
  <si>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</si>
  <si>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</si>
  <si>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</si>
  <si>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</si>
  <si>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</si>
  <si>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</si>
  <si>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</si>
  <si>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</si>
  <si>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1</t>
  </si>
  <si>
    <t xml:space="preserve">Delicate / Nordic style — Abseil 88°C constant for LAB ester preservation</t>
  </si>
  <si>
    <t xml:space="preserve">Stone fruit · berry complexity · terroir depth</t>
  </si>
  <si>
    <t xml:space="preserve">★★★★ Secondary</t>
  </si>
  <si>
    <t xml:space="preserve">90–91°C</t>
  </si>
  <si>
    <t xml:space="preserve">9</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</si>
  <si>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</si>
  <si>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</si>
  <si>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</si>
  <si>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</si>
  <si>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</si>
  <si>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</si>
  <si>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</si>
  <si>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</si>
  <si>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</si>
  <si>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</si>
  <si>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</si>
  <si>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</si>
  <si>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</si>
  <si>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</si>
  <si>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</si>
  <si>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</si>
  <si>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</si>
  <si>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</si>
  <si>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</si>
  <si>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</si>
  <si>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</si>
  <si>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</si>
  <si>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</si>
  <si>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</si>
  <si>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</si>
  <si>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</si>
  <si>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</si>
  <si>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</si>
  <si>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</si>
  <si>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</si>
  <si>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</si>
  <si>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</si>
  <si>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</si>
  <si>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</si>
  <si>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</si>
  <si>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</si>
  <si>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</si>
  <si>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</si>
  <si>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</si>
  <si>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</si>
  <si>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</si>
  <si>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</si>
  <si>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</si>
  <si>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</si>
  <si>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</si>
  <si>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</si>
  <si>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</si>
  <si>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</si>
  <si>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</si>
  <si>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</si>
  <si>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</si>
  <si>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</si>
  <si>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</si>
  <si>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</si>
  <si>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</si>
  <si>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</si>
  <si>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34</t>
  </si>
  <si>
    <t xml:space="preserve">✅ OPTIMAL</t>
  </si>
  <si>
    <t xml:space="preserve">Core extraction philosophy — 58% of all logged entries</t>
  </si>
  <si>
    <t xml:space="preserve">Cowpresso (Las Nubes)</t>
  </si>
  <si>
    <t xml:space="preserve">Lychee · Berry · Tropical — aggressive Natural expression</t>
  </si>
  <si>
    <t xml:space="preserve">GOOD</t>
  </si>
  <si>
    <t xml:space="preserve">&gt;1:17</t>
  </si>
  <si>
    <t xml:space="preserve">0</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</si>
  <si>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</si>
  <si>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</si>
  <si>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</si>
  <si>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16</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</si>
  <si>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</si>
  <si>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</si>
  <si>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</si>
  <si>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</si>
  <si>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</si>
  <si>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</si>
  <si>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</si>
  <si>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</si>
  <si>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</si>
  <si>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</si>
  <si>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</si>
  <si>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</si>
  <si>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</si>
  <si>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</si>
  <si>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</si>
  <si>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</si>
  <si>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</si>
  <si>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</si>
  <si>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</si>
  <si>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</si>
  <si>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</si>
  <si>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</si>
  <si>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</si>
  <si>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</si>
  <si>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</si>
  <si>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</si>
  <si>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</si>
  <si>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</si>
  <si>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</si>
  <si>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</si>
  <si>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</si>
  <si>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</si>
  <si>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</si>
  <si>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</si>
  <si>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</si>
  <si>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</si>
  <si>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</si>
  <si>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</si>
  <si>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</si>
  <si>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</si>
  <si>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</si>
  <si>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</si>
  <si>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</si>
  <si>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</si>
  <si>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</si>
  <si>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</si>
  <si>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</si>
  <si>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</si>
  <si>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</si>
  <si>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</si>
  <si>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</si>
  <si>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</si>
  <si>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</si>
  <si>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</si>
  <si>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</si>
  <si>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</si>
  <si>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</si>
  <si>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</si>
  <si>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</si>
  <si>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</si>
  <si>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</si>
  <si>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</si>
  <si>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</si>
  <si>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</si>
  <si>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</si>
  <si>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</si>
  <si>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</si>
  <si>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</si>
  <si>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</si>
  <si>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</si>
  <si>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</si>
  <si>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</si>
  <si>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</si>
  <si>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</si>
  <si>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</si>
  <si>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</si>
  <si>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</si>
  <si>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</si>
  <si>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</si>
  <si>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</si>
  <si>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</si>
  <si>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</si>
  <si>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</si>
  <si>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</si>
  <si>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</si>
  <si>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</si>
  <si>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</si>
  <si>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</si>
  <si>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</si>
  <si>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</si>
  <si>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</si>
  <si>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</si>
  <si>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</si>
  <si>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</si>
  <si>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</si>
  <si>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</si>
  <si>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</si>
  <si>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</si>
  <si>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</si>
  <si>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</si>
  <si>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</si>
  <si>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</si>
  <si>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</si>
  <si>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</si>
  <si>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</si>
  <si>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</si>
  <si>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</si>
  <si>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</si>
  <si>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</si>
  <si>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</si>
  <si>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</si>
  <si>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</si>
  <si>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</si>
  <si>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</si>
  <si>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</si>
  <si>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</si>
  <si>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</si>
  <si>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</si>
  <si>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</si>
  <si>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</si>
  <si>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</si>
  <si>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</si>
  <si>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</si>
  <si>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</si>
  <si>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</si>
  <si>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</si>
  <si>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</si>
  <si>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</si>
  <si>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</si>
  <si>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</si>
  <si>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</si>
  <si>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</si>
  <si>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</si>
  <si>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</si>
  <si>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</si>
  <si>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</si>
  <si>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</si>
  <si>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</si>
  <si>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</si>
  <si>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</si>
  <si>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</si>
  <si>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</si>
  <si>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</si>
  <si>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</si>
  <si>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</si>
  <si>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</si>
  <si>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</si>
  <si>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</si>
  <si>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</si>
  <si>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</si>
  <si>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</si>
  <si>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</si>
  <si>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38 venues (37 visited + 1 listed)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</si>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</sst>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2">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b val="true"/>
      <sz val="8"/>
      <color rgb="FFC9902A"/>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25" fillId="3"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7" fillId="11" borderId="4" xfId="0" applyFont="true" applyBorder="true" applyAlignment="true" applyProtection="false">
      <alignment horizontal="general" vertical="top" textRotation="0" wrapText="true" indent="0" shrinkToFit="false"/>
      <protection locked="true" hidden="false"/>
    </xf>
    <xf numFmtId="164" fontId="27"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8"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9" fillId="8" borderId="4" xfId="0" applyFont="true" applyBorder="true" applyAlignment="true" applyProtection="false">
      <alignment horizontal="general" vertical="top" textRotation="0" wrapText="true" indent="0" shrinkToFit="false"/>
      <protection locked="true" hidden="false"/>
    </xf>
    <xf numFmtId="164" fontId="29" fillId="11" borderId="4"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803</v>
      </c>
      <c r="E76" s="13" t="s">
        <v>804</v>
      </c>
      <c r="F76" s="13" t="s">
        <v>694</v>
      </c>
      <c r="G76" s="13" t="s">
        <v>196</v>
      </c>
      <c r="H76" s="13" t="s">
        <v>29</v>
      </c>
      <c r="I76" s="13" t="s">
        <v>146</v>
      </c>
      <c r="J76" s="13" t="s">
        <v>591</v>
      </c>
      <c r="K76" s="13" t="s">
        <v>682</v>
      </c>
      <c r="L76" s="13" t="s">
        <v>805</v>
      </c>
      <c r="M76" s="13" t="s">
        <v>806</v>
      </c>
      <c r="N76" s="13" t="s">
        <v>807</v>
      </c>
      <c r="O76" s="13" t="s">
        <v>27</v>
      </c>
      <c r="P76" s="13" t="s">
        <v>685</v>
      </c>
      <c r="Q76" s="13" t="n">
        <v>32</v>
      </c>
      <c r="R76" s="13" t="s">
        <v>808</v>
      </c>
      <c r="S76" s="13" t="s">
        <v>809</v>
      </c>
      <c r="T76" s="13" t="s">
        <v>810</v>
      </c>
      <c r="U76" s="13" t="s">
        <v>811</v>
      </c>
      <c r="V76" s="13" t="s">
        <v>812</v>
      </c>
      <c r="W76" s="13" t="str">
        <f aca="false">IF(OR(ISNUMBER(SEARCH("gesha",G76)),ISNUMBER(SEARCH("geisha",G76))),"⭐ GESHA","")</f>
        <v>⭐ GESHA</v>
      </c>
      <c r="X76" s="13" t="s">
        <v>331</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813</v>
      </c>
      <c r="C1" s="14"/>
      <c r="D1" s="14"/>
      <c r="E1" s="14"/>
      <c r="F1" s="14"/>
      <c r="G1" s="14"/>
      <c r="H1" s="14"/>
      <c r="I1" s="14"/>
      <c r="J1" s="14"/>
      <c r="K1" s="14"/>
      <c r="L1" s="14"/>
      <c r="M1" s="14"/>
    </row>
    <row r="2" customFormat="false" ht="13.5" hidden="false" customHeight="true" outlineLevel="0" collapsed="false">
      <c r="B2" s="15" t="s">
        <v>814</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815</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816</v>
      </c>
      <c r="C6" s="17"/>
      <c r="D6" s="18" t="s">
        <v>817</v>
      </c>
      <c r="E6" s="18" t="s">
        <v>818</v>
      </c>
      <c r="F6" s="18" t="s">
        <v>819</v>
      </c>
      <c r="G6" s="18" t="s">
        <v>820</v>
      </c>
      <c r="H6" s="17" t="s">
        <v>821</v>
      </c>
      <c r="I6" s="17"/>
      <c r="J6" s="18" t="s">
        <v>822</v>
      </c>
      <c r="K6" s="18" t="s">
        <v>823</v>
      </c>
      <c r="L6" s="18" t="s">
        <v>824</v>
      </c>
      <c r="M6" s="18" t="s">
        <v>825</v>
      </c>
    </row>
    <row r="7" customFormat="false" ht="30" hidden="false" customHeight="true" outlineLevel="0" collapsed="false">
      <c r="B7" s="19" t="n">
        <f aca="false">COUNTA('Coffee Audit'!A2:A2000)</f>
        <v>75</v>
      </c>
      <c r="C7" s="19"/>
      <c r="D7" s="20" t="n">
        <f aca="false">SUMPRODUCT(('Coffee Audit'!C2:C2000&lt;&gt;"")/COUNTIF('Coffee Audit'!C2:C2000,'Coffee Audit'!C2:C2000&amp;""))</f>
        <v>38</v>
      </c>
      <c r="E7" s="20" t="n">
        <f aca="false">SUMPRODUCT(('Coffee Audit'!B2:B2000&lt;&gt;"")/COUNTIF('Coffee Audit'!B2:B2000,'Coffee Audit'!B2:B2000&amp;""))</f>
        <v>4</v>
      </c>
      <c r="F7" s="20" t="n">
        <f aca="false">COUNTIF('Coffee Audit'!W2:W2000,"⭐ GESHA")</f>
        <v>20</v>
      </c>
      <c r="G7" s="20" t="str">
        <f aca="false">TEXT(COUNTIF('Coffee Audit'!H2:H2000,"*Washed*")/COUNTA('Coffee Audit'!A2:A2000),"0%")</f>
        <v>51%</v>
      </c>
      <c r="H7" s="19" t="n">
        <f aca="false">SUM('Coffee Audit'!Q2:Q2000)</f>
        <v>712.35</v>
      </c>
      <c r="I7" s="19"/>
      <c r="J7" s="21" t="n">
        <f aca="false">AVERAGEIFS('Coffee Audit'!Q2:Q2000,'Coffee Audit'!Q2:Q2000,"&gt;0")</f>
        <v>12.0737288135593</v>
      </c>
      <c r="K7" s="21" t="n">
        <f aca="false">AVERAGEIFS('Coffee Audit'!Q2:Q2000,'Coffee Audit'!W2:W2000,"⭐ GESHA",'Coffee Audit'!Q2:Q2000,"&gt;0")</f>
        <v>16.92</v>
      </c>
      <c r="L7" s="21" t="n">
        <f aca="false">MAX('Coffee Audit'!Q2:Q2000)</f>
        <v>60</v>
      </c>
      <c r="M7" s="22" t="n">
        <f aca="false">SUMPRODUCT(('Coffee Audit'!F2:F2000&lt;&gt;"")/COUNTIF('Coffee Audit'!F2:F2000,'Coffee Audit'!F2:F2000&amp;""))</f>
        <v>52</v>
      </c>
    </row>
    <row r="8" customFormat="false" ht="12" hidden="false" customHeight="true" outlineLevel="0" collapsed="false">
      <c r="B8" s="23" t="s">
        <v>826</v>
      </c>
      <c r="C8" s="23"/>
      <c r="D8" s="24" t="s">
        <v>827</v>
      </c>
      <c r="E8" s="24" t="s">
        <v>828</v>
      </c>
      <c r="F8" s="24" t="str">
        <f aca="false">TEXT(COUNTIF('Coffee Audit'!W2:W2000,"⭐ GESHA")/COUNTA('Coffee Audit'!A2:A2000),"0%")&amp;" of archive"</f>
        <v>27% of archive</v>
      </c>
      <c r="G8" s="24" t="s">
        <v>829</v>
      </c>
      <c r="H8" s="23" t="s">
        <v>830</v>
      </c>
      <c r="I8" s="23"/>
      <c r="J8" s="24" t="s">
        <v>831</v>
      </c>
      <c r="K8" s="24" t="s">
        <v>831</v>
      </c>
      <c r="L8" s="24" t="s">
        <v>831</v>
      </c>
      <c r="M8" s="24" t="s">
        <v>831</v>
      </c>
    </row>
    <row r="9" customFormat="false" ht="6.75" hidden="false" customHeight="true" outlineLevel="0" collapsed="false"/>
    <row r="10" customFormat="false" ht="16.5" hidden="false" customHeight="true" outlineLevel="0" collapsed="false">
      <c r="B10" s="25" t="s">
        <v>832</v>
      </c>
      <c r="C10" s="25"/>
      <c r="D10" s="25"/>
      <c r="E10" s="25"/>
      <c r="F10" s="25"/>
      <c r="G10" s="25"/>
      <c r="H10" s="25"/>
      <c r="I10" s="25"/>
      <c r="J10" s="25"/>
      <c r="K10" s="25"/>
      <c r="L10" s="25"/>
      <c r="M10" s="25"/>
    </row>
    <row r="11" customFormat="false" ht="12" hidden="false" customHeight="true" outlineLevel="0" collapsed="false">
      <c r="B11" s="26" t="s">
        <v>833</v>
      </c>
      <c r="C11" s="26"/>
      <c r="D11" s="27" t="s">
        <v>834</v>
      </c>
      <c r="E11" s="27" t="s">
        <v>835</v>
      </c>
      <c r="F11" s="27" t="s">
        <v>836</v>
      </c>
      <c r="G11" s="27" t="s">
        <v>837</v>
      </c>
      <c r="H11" s="27" t="s">
        <v>838</v>
      </c>
      <c r="I11" s="27" t="s">
        <v>839</v>
      </c>
      <c r="J11" s="26" t="s">
        <v>840</v>
      </c>
      <c r="K11" s="26"/>
      <c r="L11" s="26" t="s">
        <v>841</v>
      </c>
      <c r="M11" s="26"/>
    </row>
    <row r="12" customFormat="false" ht="24" hidden="false" customHeight="true" outlineLevel="0" collapsed="false">
      <c r="B12" s="28" t="n">
        <f aca="false">INDEX('Coffee Audit'!A2:A2000,COUNTA('Coffee Audit'!A2:A2000))</f>
        <v>46235</v>
      </c>
      <c r="C12" s="28"/>
      <c r="D12" s="29" t="str">
        <f aca="false">INDEX('Coffee Audit'!C2:C2000,COUNTA('Coffee Audit'!A2:A2000))</f>
        <v>Fluid Collective</v>
      </c>
      <c r="E12" s="29" t="str">
        <f aca="false">INDEX('Coffee Audit'!D2:D2000,COUNTA('Coffee Audit'!A2:A2000))</f>
        <v>Finca Sophia — Natural Panama Geisha</v>
      </c>
      <c r="F12" s="29" t="str">
        <f aca="false">INDEX('Coffee Audit'!F2:F2000,COUNTA('Coffee Audit'!A2:A2000))</f>
        <v>Panama</v>
      </c>
      <c r="G12" s="29" t="str">
        <f aca="false">INDEX('Coffee Audit'!G2:G2000,COUNTA('Coffee Audit'!A2:A2000))</f>
        <v>Geisha</v>
      </c>
      <c r="H12" s="29" t="str">
        <f aca="false">INDEX('Coffee Audit'!H2:H2000,COUNTA('Coffee Audit'!A2:A2000))</f>
        <v>Natural</v>
      </c>
      <c r="I12" s="29" t="str">
        <f aca="false">INDEX('Coffee Audit'!M2:M2000,COUNTA('Coffee Audit'!A2:A2000))</f>
        <v>1:14 (water) → 155g beverage</v>
      </c>
      <c r="J12" s="30" t="str">
        <f aca="false">INDEX('Coffee Audit'!N2:N2000,COUNTA('Coffee Audit'!A2:A2000))</f>
        <v>93°C first 2 pours → 65°C last 2 pours (Split-Temp, barista-confirmed)</v>
      </c>
      <c r="K12" s="30"/>
      <c r="L12" s="31" t="n">
        <f aca="false">INDEX('Coffee Audit'!Q2:Q2000,COUNTA('Coffee Audit'!A2:A2000))</f>
        <v>32</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20 apex-varietal cups, ranked by price paid</v>
      </c>
      <c r="C14" s="25"/>
      <c r="D14" s="25"/>
      <c r="E14" s="25"/>
      <c r="F14" s="25"/>
      <c r="G14" s="25"/>
      <c r="H14" s="25"/>
      <c r="I14" s="25"/>
      <c r="J14" s="25"/>
      <c r="K14" s="25"/>
      <c r="L14" s="25"/>
      <c r="M14" s="25"/>
    </row>
    <row r="15" customFormat="false" ht="15" hidden="false" customHeight="true" outlineLevel="0" collapsed="false">
      <c r="B15" s="32" t="s">
        <v>842</v>
      </c>
      <c r="C15" s="32" t="s">
        <v>843</v>
      </c>
      <c r="D15" s="32" t="s">
        <v>844</v>
      </c>
      <c r="E15" s="32" t="s">
        <v>7</v>
      </c>
      <c r="F15" s="32" t="s">
        <v>845</v>
      </c>
      <c r="G15" s="33" t="s">
        <v>846</v>
      </c>
      <c r="H15" s="33"/>
    </row>
    <row r="16" customFormat="false" ht="12.75" hidden="false" customHeight="true" outlineLevel="0" collapsed="false">
      <c r="B16" s="34" t="n">
        <v>1</v>
      </c>
      <c r="C16" s="35" t="s">
        <v>668</v>
      </c>
      <c r="D16" s="35" t="s">
        <v>847</v>
      </c>
      <c r="E16" s="36" t="s">
        <v>58</v>
      </c>
      <c r="F16" s="37" t="n">
        <v>60</v>
      </c>
      <c r="G16" s="38" t="s">
        <v>848</v>
      </c>
      <c r="H16" s="38"/>
    </row>
    <row r="17" customFormat="false" ht="12.75" hidden="false" customHeight="true" outlineLevel="0" collapsed="false">
      <c r="B17" s="39" t="n">
        <v>2</v>
      </c>
      <c r="C17" s="40" t="s">
        <v>646</v>
      </c>
      <c r="D17" s="40" t="s">
        <v>849</v>
      </c>
      <c r="E17" s="41" t="s">
        <v>58</v>
      </c>
      <c r="F17" s="42" t="n">
        <v>21</v>
      </c>
      <c r="G17" s="43"/>
      <c r="H17" s="43"/>
    </row>
    <row r="18" customFormat="false" ht="12.75" hidden="false" customHeight="true" outlineLevel="0" collapsed="false">
      <c r="B18" s="44" t="n">
        <v>3</v>
      </c>
      <c r="C18" s="45" t="s">
        <v>555</v>
      </c>
      <c r="D18" s="45" t="s">
        <v>850</v>
      </c>
      <c r="E18" s="46" t="s">
        <v>29</v>
      </c>
      <c r="F18" s="47" t="n">
        <v>19</v>
      </c>
      <c r="G18" s="48"/>
      <c r="H18" s="48"/>
    </row>
    <row r="19" customFormat="false" ht="12.75" hidden="false" customHeight="true" outlineLevel="0" collapsed="false">
      <c r="B19" s="39" t="n">
        <v>4</v>
      </c>
      <c r="C19" s="40" t="s">
        <v>851</v>
      </c>
      <c r="D19" s="40" t="s">
        <v>852</v>
      </c>
      <c r="E19" s="41" t="s">
        <v>58</v>
      </c>
      <c r="F19" s="42" t="n">
        <v>18</v>
      </c>
      <c r="G19" s="43"/>
      <c r="H19" s="43"/>
    </row>
    <row r="20" customFormat="false" ht="12.75" hidden="false" customHeight="true" outlineLevel="0" collapsed="false">
      <c r="B20" s="44" t="n">
        <v>5</v>
      </c>
      <c r="C20" s="45" t="s">
        <v>622</v>
      </c>
      <c r="D20" s="45" t="s">
        <v>853</v>
      </c>
      <c r="E20" s="46" t="s">
        <v>29</v>
      </c>
      <c r="F20" s="47" t="n">
        <v>16</v>
      </c>
      <c r="G20" s="48"/>
      <c r="H20" s="48"/>
    </row>
    <row r="21" customFormat="false" ht="12.75" hidden="false" customHeight="true" outlineLevel="0" collapsed="false">
      <c r="B21" s="39" t="n">
        <v>6</v>
      </c>
      <c r="C21" s="40" t="s">
        <v>713</v>
      </c>
      <c r="D21" s="40" t="s">
        <v>854</v>
      </c>
      <c r="E21" s="41" t="s">
        <v>58</v>
      </c>
      <c r="F21" s="42" t="n">
        <v>16</v>
      </c>
      <c r="G21" s="43"/>
      <c r="H21" s="43"/>
    </row>
    <row r="22" customFormat="false" ht="12.75" hidden="false" customHeight="true" outlineLevel="0" collapsed="false">
      <c r="B22" s="44" t="n">
        <v>7</v>
      </c>
      <c r="C22" s="45" t="s">
        <v>401</v>
      </c>
      <c r="D22" s="45" t="s">
        <v>855</v>
      </c>
      <c r="E22" s="46" t="s">
        <v>404</v>
      </c>
      <c r="F22" s="47" t="n">
        <v>15</v>
      </c>
      <c r="G22" s="48"/>
      <c r="H22" s="48"/>
    </row>
    <row r="23" customFormat="false" ht="12.75" hidden="false" customHeight="true" outlineLevel="0" collapsed="false">
      <c r="B23" s="39" t="n">
        <v>8</v>
      </c>
      <c r="C23" s="40" t="s">
        <v>607</v>
      </c>
      <c r="D23" s="40" t="s">
        <v>856</v>
      </c>
      <c r="E23" s="41" t="s">
        <v>404</v>
      </c>
      <c r="F23" s="42" t="n">
        <v>15</v>
      </c>
      <c r="G23" s="43"/>
      <c r="H23" s="43"/>
    </row>
    <row r="24" customFormat="false" ht="12.75" hidden="false" customHeight="true" outlineLevel="0" collapsed="false">
      <c r="B24" s="44" t="n">
        <v>9</v>
      </c>
      <c r="C24" s="45" t="s">
        <v>322</v>
      </c>
      <c r="D24" s="45" t="s">
        <v>857</v>
      </c>
      <c r="E24" s="46" t="s">
        <v>58</v>
      </c>
      <c r="F24" s="47" t="n">
        <v>14</v>
      </c>
      <c r="G24" s="48" t="s">
        <v>858</v>
      </c>
      <c r="H24" s="48"/>
    </row>
    <row r="25" customFormat="false" ht="12.75" hidden="false" customHeight="true" outlineLevel="0" collapsed="false">
      <c r="B25" s="39" t="n">
        <v>10</v>
      </c>
      <c r="C25" s="40" t="s">
        <v>431</v>
      </c>
      <c r="D25" s="40" t="s">
        <v>856</v>
      </c>
      <c r="E25" s="41" t="s">
        <v>58</v>
      </c>
      <c r="F25" s="42" t="n">
        <v>13</v>
      </c>
      <c r="G25" s="43"/>
      <c r="H25" s="43"/>
    </row>
    <row r="26" customFormat="false" ht="12.75" hidden="false" customHeight="true" outlineLevel="0" collapsed="false">
      <c r="B26" s="44" t="n">
        <v>11</v>
      </c>
      <c r="C26" s="45" t="s">
        <v>167</v>
      </c>
      <c r="D26" s="45" t="s">
        <v>859</v>
      </c>
      <c r="E26" s="46" t="s">
        <v>58</v>
      </c>
      <c r="F26" s="47" t="n">
        <v>12.5</v>
      </c>
      <c r="G26" s="48"/>
      <c r="H26" s="48"/>
    </row>
    <row r="27" customFormat="false" ht="12.75" hidden="false" customHeight="true" outlineLevel="0" collapsed="false">
      <c r="B27" s="39" t="n">
        <v>12</v>
      </c>
      <c r="C27" s="40" t="s">
        <v>192</v>
      </c>
      <c r="D27" s="40" t="s">
        <v>860</v>
      </c>
      <c r="E27" s="41" t="s">
        <v>197</v>
      </c>
      <c r="F27" s="42" t="n">
        <v>12</v>
      </c>
      <c r="G27" s="43"/>
      <c r="H27" s="43"/>
    </row>
    <row r="28" customFormat="false" ht="12.75" hidden="false" customHeight="true" outlineLevel="0" collapsed="false">
      <c r="B28" s="44" t="n">
        <v>13</v>
      </c>
      <c r="C28" s="45" t="s">
        <v>431</v>
      </c>
      <c r="D28" s="45" t="s">
        <v>861</v>
      </c>
      <c r="E28" s="46" t="s">
        <v>58</v>
      </c>
      <c r="F28" s="47" t="n">
        <v>12</v>
      </c>
      <c r="G28" s="48"/>
      <c r="H28" s="48"/>
    </row>
    <row r="29" customFormat="false" ht="12.75" hidden="false" customHeight="true" outlineLevel="0" collapsed="false">
      <c r="B29" s="39" t="n">
        <v>14</v>
      </c>
      <c r="C29" s="40" t="s">
        <v>748</v>
      </c>
      <c r="D29" s="40" t="s">
        <v>862</v>
      </c>
      <c r="E29" s="41" t="s">
        <v>29</v>
      </c>
      <c r="F29" s="42" t="n">
        <v>12</v>
      </c>
      <c r="G29" s="43"/>
      <c r="H29" s="43"/>
    </row>
    <row r="30" customFormat="false" ht="12.75" hidden="false" customHeight="true" outlineLevel="0" collapsed="false">
      <c r="B30" s="44" t="n">
        <v>15</v>
      </c>
      <c r="C30" s="45" t="s">
        <v>167</v>
      </c>
      <c r="D30" s="45" t="s">
        <v>861</v>
      </c>
      <c r="E30" s="46" t="s">
        <v>58</v>
      </c>
      <c r="F30" s="47" t="n">
        <v>11</v>
      </c>
      <c r="G30" s="48"/>
      <c r="H30" s="48"/>
    </row>
    <row r="31" customFormat="false" ht="12.75" hidden="false" customHeight="true" outlineLevel="0" collapsed="false">
      <c r="B31" s="49" t="n">
        <v>16</v>
      </c>
      <c r="C31" s="50" t="s">
        <v>784</v>
      </c>
      <c r="D31" s="50" t="s">
        <v>863</v>
      </c>
      <c r="E31" s="51" t="s">
        <v>404</v>
      </c>
      <c r="F31" s="52" t="n">
        <v>10.5</v>
      </c>
      <c r="G31" s="53" t="s">
        <v>864</v>
      </c>
      <c r="H31" s="53"/>
    </row>
    <row r="32" customFormat="false" ht="12.75" hidden="false" customHeight="true" outlineLevel="0" collapsed="false">
      <c r="B32" s="44" t="n">
        <v>17</v>
      </c>
      <c r="C32" s="45" t="s">
        <v>668</v>
      </c>
      <c r="D32" s="45" t="s">
        <v>865</v>
      </c>
      <c r="E32" s="46" t="s">
        <v>866</v>
      </c>
      <c r="F32" s="47" t="n">
        <v>10</v>
      </c>
      <c r="G32" s="48"/>
      <c r="H32" s="48"/>
    </row>
    <row r="33" customFormat="false" ht="12.75" hidden="false" customHeight="true" outlineLevel="0" collapsed="false">
      <c r="B33" s="39" t="n">
        <v>18</v>
      </c>
      <c r="C33" s="40" t="s">
        <v>577</v>
      </c>
      <c r="D33" s="40" t="s">
        <v>867</v>
      </c>
      <c r="E33" s="41" t="s">
        <v>29</v>
      </c>
      <c r="F33" s="42" t="n">
        <v>9.9</v>
      </c>
      <c r="G33" s="43"/>
      <c r="H33" s="43"/>
    </row>
    <row r="34" customFormat="false" ht="12.75" hidden="false" customHeight="true" outlineLevel="0" collapsed="false">
      <c r="B34" s="44" t="n">
        <v>19</v>
      </c>
      <c r="C34" s="45" t="s">
        <v>115</v>
      </c>
      <c r="D34" s="45" t="s">
        <v>868</v>
      </c>
      <c r="E34" s="46" t="s">
        <v>58</v>
      </c>
      <c r="F34" s="47" t="n">
        <v>9.5</v>
      </c>
      <c r="G34" s="48"/>
      <c r="H34" s="48"/>
    </row>
    <row r="35" customFormat="false" ht="13.5" hidden="false" customHeight="true" outlineLevel="0" collapsed="false">
      <c r="B35" s="54"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S$16.92   vs   non-Gesha S$9.59   =   +76% premium   ·   20 of 75 cups (27%) are the apex varietal</v>
      </c>
      <c r="C35" s="54"/>
      <c r="D35" s="54"/>
      <c r="E35" s="54"/>
      <c r="F35" s="54"/>
      <c r="G35" s="54"/>
      <c r="H35" s="54"/>
      <c r="I35" s="54"/>
      <c r="J35" s="54"/>
      <c r="K35" s="54"/>
      <c r="L35" s="54"/>
      <c r="M35" s="54"/>
    </row>
    <row r="37" customFormat="false" ht="16.5" hidden="false" customHeight="true" outlineLevel="0" collapsed="false">
      <c r="B37" s="16" t="s">
        <v>869</v>
      </c>
      <c r="C37" s="16"/>
      <c r="D37" s="16"/>
      <c r="E37" s="16"/>
      <c r="F37" s="16"/>
      <c r="G37" s="16"/>
      <c r="H37" s="16"/>
      <c r="I37" s="16"/>
      <c r="J37" s="16"/>
      <c r="K37" s="16"/>
      <c r="L37" s="16"/>
      <c r="M37" s="16"/>
    </row>
    <row r="38" customFormat="false" ht="15" hidden="false" customHeight="true" outlineLevel="0" collapsed="false">
      <c r="B38" s="32" t="s">
        <v>870</v>
      </c>
      <c r="C38" s="32" t="s">
        <v>871</v>
      </c>
      <c r="D38" s="32" t="s">
        <v>872</v>
      </c>
      <c r="E38" s="32" t="s">
        <v>873</v>
      </c>
      <c r="F38" s="33" t="s">
        <v>874</v>
      </c>
      <c r="G38" s="33"/>
      <c r="H38" s="33"/>
      <c r="I38" s="33"/>
      <c r="J38" s="33"/>
      <c r="K38" s="33"/>
      <c r="L38" s="33"/>
      <c r="M38" s="33"/>
    </row>
    <row r="39" customFormat="false" ht="12.75" hidden="false" customHeight="true" outlineLevel="0" collapsed="false">
      <c r="B39" s="55" t="s">
        <v>875</v>
      </c>
      <c r="C39" s="44" t="n">
        <f aca="false">COUNTIF('Coffee Audit'!H2:H2000,"*Washed*")</f>
        <v>38</v>
      </c>
      <c r="D39" s="46" t="str">
        <f aca="false">TEXT(COUNTIF('Coffee Audit'!H2:H2000,"*Washed*")/COUNTA('Coffee Audit'!A2:A2000),"0%")</f>
        <v>51%</v>
      </c>
      <c r="E39" s="56" t="s">
        <v>876</v>
      </c>
      <c r="F39" s="57" t="s">
        <v>877</v>
      </c>
      <c r="G39" s="57"/>
      <c r="H39" s="57"/>
      <c r="I39" s="57"/>
      <c r="J39" s="57"/>
      <c r="K39" s="57"/>
      <c r="L39" s="57"/>
      <c r="M39" s="57"/>
    </row>
    <row r="40" customFormat="false" ht="12.75" hidden="false" customHeight="true" outlineLevel="0" collapsed="false">
      <c r="B40" s="58" t="s">
        <v>878</v>
      </c>
      <c r="C40" s="39" t="n">
        <f aca="false">COUNTIF('Coffee Audit'!H2:H2000,"*Natural*")</f>
        <v>25</v>
      </c>
      <c r="D40" s="41" t="str">
        <f aca="false">TEXT(COUNTIF('Coffee Audit'!H2:H2000,"*Natural*")/COUNTA('Coffee Audit'!A2:A2000),"0%")</f>
        <v>33%</v>
      </c>
      <c r="E40" s="59" t="s">
        <v>879</v>
      </c>
      <c r="F40" s="60" t="s">
        <v>880</v>
      </c>
      <c r="G40" s="60"/>
      <c r="H40" s="60"/>
      <c r="I40" s="60"/>
      <c r="J40" s="60"/>
      <c r="K40" s="60"/>
      <c r="L40" s="60"/>
      <c r="M40" s="60"/>
    </row>
    <row r="41" customFormat="false" ht="12.75" hidden="false" customHeight="true" outlineLevel="0" collapsed="false">
      <c r="B41" s="55" t="s">
        <v>881</v>
      </c>
      <c r="C41" s="44" t="n">
        <f aca="false">COUNTIF('Coffee Audit'!H2:H2000,"*Honey*")</f>
        <v>7</v>
      </c>
      <c r="D41" s="46" t="str">
        <f aca="false">TEXT(COUNTIF('Coffee Audit'!H2:H2000,"*Honey*")/COUNTA('Coffee Audit'!A2:A2000),"0%")</f>
        <v>9%</v>
      </c>
      <c r="E41" s="56" t="s">
        <v>882</v>
      </c>
      <c r="F41" s="57" t="s">
        <v>883</v>
      </c>
      <c r="G41" s="57"/>
      <c r="H41" s="57"/>
      <c r="I41" s="57"/>
      <c r="J41" s="57"/>
      <c r="K41" s="57"/>
      <c r="L41" s="57"/>
      <c r="M41" s="57"/>
    </row>
    <row r="42" customFormat="false" ht="12.75" hidden="false" customHeight="true" outlineLevel="0" collapsed="false">
      <c r="B42" s="58" t="s">
        <v>884</v>
      </c>
      <c r="C42" s="39" t="n">
        <f aca="false">COUNTIF('Coffee Audit'!H2:H2000,"*Anaerobic*")</f>
        <v>10</v>
      </c>
      <c r="D42" s="41" t="str">
        <f aca="false">TEXT(COUNTIF('Coffee Audit'!H2:H2000,"*Anaerobic*")/COUNTA('Coffee Audit'!A2:A2000),"0%")</f>
        <v>13%</v>
      </c>
      <c r="E42" s="59" t="s">
        <v>885</v>
      </c>
      <c r="F42" s="60" t="s">
        <v>886</v>
      </c>
      <c r="G42" s="60"/>
      <c r="H42" s="60"/>
      <c r="I42" s="60"/>
      <c r="J42" s="60"/>
      <c r="K42" s="60"/>
      <c r="L42" s="60"/>
      <c r="M42" s="60"/>
    </row>
    <row r="43" customFormat="false" ht="12.75" hidden="false" customHeight="true" outlineLevel="0" collapsed="false">
      <c r="B43" s="55" t="s">
        <v>887</v>
      </c>
      <c r="C43" s="44" t="n">
        <f aca="false">COUNTIF('Coffee Audit'!H2:H2000,"*Ferment*")</f>
        <v>7</v>
      </c>
      <c r="D43" s="46" t="str">
        <f aca="false">TEXT(COUNTIF('Coffee Audit'!H2:H2000,"*Ferment*")/COUNTA('Coffee Audit'!A2:A2000),"0%")</f>
        <v>9%</v>
      </c>
      <c r="E43" s="56" t="s">
        <v>888</v>
      </c>
      <c r="F43" s="57" t="s">
        <v>889</v>
      </c>
      <c r="G43" s="57"/>
      <c r="H43" s="57"/>
      <c r="I43" s="57"/>
      <c r="J43" s="57"/>
      <c r="K43" s="57"/>
      <c r="L43" s="57"/>
      <c r="M43" s="57"/>
    </row>
    <row r="44" customFormat="false" ht="12.75" hidden="false" customHeight="true" outlineLevel="0" collapsed="false">
      <c r="B44" s="58" t="s">
        <v>890</v>
      </c>
      <c r="C44" s="39" t="n">
        <f aca="false">COUNTIF('Coffee Audit'!H2:H2000,"*Hulled*")</f>
        <v>1</v>
      </c>
      <c r="D44" s="41" t="str">
        <f aca="false">TEXT(COUNTIF('Coffee Audit'!H2:H2000,"*Hulled*")/COUNTA('Coffee Audit'!A2:A2000),"0%")</f>
        <v>1%</v>
      </c>
      <c r="E44" s="59" t="s">
        <v>891</v>
      </c>
      <c r="F44" s="60" t="s">
        <v>892</v>
      </c>
      <c r="G44" s="60"/>
      <c r="H44" s="60"/>
      <c r="I44" s="60"/>
      <c r="J44" s="60"/>
      <c r="K44" s="60"/>
      <c r="L44" s="60"/>
      <c r="M44" s="60"/>
    </row>
    <row r="46" customFormat="false" ht="16.5" hidden="false" customHeight="true" outlineLevel="0" collapsed="false">
      <c r="B46" s="16" t="s">
        <v>893</v>
      </c>
      <c r="C46" s="16"/>
      <c r="D46" s="16"/>
      <c r="E46" s="16"/>
      <c r="F46" s="16"/>
      <c r="G46" s="16"/>
      <c r="H46" s="16"/>
      <c r="I46" s="16"/>
      <c r="J46" s="16"/>
      <c r="K46" s="16"/>
      <c r="L46" s="16"/>
      <c r="M46" s="16"/>
    </row>
    <row r="47" customFormat="false" ht="15" hidden="false" customHeight="true" outlineLevel="0" collapsed="false">
      <c r="B47" s="32" t="s">
        <v>5</v>
      </c>
      <c r="C47" s="32" t="s">
        <v>871</v>
      </c>
      <c r="D47" s="32" t="s">
        <v>894</v>
      </c>
      <c r="E47" s="32" t="s">
        <v>171</v>
      </c>
      <c r="F47" s="32" t="s">
        <v>895</v>
      </c>
      <c r="G47" s="33" t="s">
        <v>896</v>
      </c>
      <c r="H47" s="33"/>
      <c r="I47" s="33"/>
      <c r="J47" s="33"/>
      <c r="K47" s="33"/>
      <c r="L47" s="33"/>
      <c r="M47" s="33"/>
    </row>
    <row r="48" customFormat="false" ht="12.75" hidden="false" customHeight="true" outlineLevel="0" collapsed="false">
      <c r="B48" s="55" t="s">
        <v>118</v>
      </c>
      <c r="C48" s="44" t="n">
        <f aca="false">COUNTIF('Coffee Audit'!F2:F2000,"*Colombia*")</f>
        <v>21</v>
      </c>
      <c r="D48" s="46" t="str">
        <f aca="false">TEXT(COUNTIF('Coffee Audit'!F2:F2000,"*Colombia*")/COUNTA('Coffee Audit'!A2:A2000),"0%")</f>
        <v>28%</v>
      </c>
      <c r="E48" s="61" t="n">
        <f aca="false">SUMPRODUCT(ISNUMBER(SEARCH("Colombia",'Coffee Audit'!F2:F2000))*('Coffee Audit'!W2:W2000="⭐ GESHA"))</f>
        <v>8</v>
      </c>
      <c r="F48" s="62" t="str">
        <f aca="false">REPT("█",COUNTIF('Coffee Audit'!F2:F2000,"*Colombia*"))</f>
        <v>█████████████████████</v>
      </c>
      <c r="G48" s="63" t="s">
        <v>897</v>
      </c>
      <c r="H48" s="63"/>
      <c r="I48" s="63"/>
      <c r="J48" s="63"/>
      <c r="K48" s="63"/>
      <c r="L48" s="63"/>
      <c r="M48" s="63"/>
    </row>
    <row r="49" customFormat="false" ht="12.75" hidden="false" customHeight="true" outlineLevel="0" collapsed="false">
      <c r="B49" s="58" t="s">
        <v>266</v>
      </c>
      <c r="C49" s="39" t="n">
        <f aca="false">COUNTIF('Coffee Audit'!F2:F2000,"*Ethiopia*")</f>
        <v>8</v>
      </c>
      <c r="D49" s="41" t="str">
        <f aca="false">TEXT(COUNTIF('Coffee Audit'!F2:F2000,"*Ethiopia*")/COUNTA('Coffee Audit'!A2:A2000),"0%")</f>
        <v>11%</v>
      </c>
      <c r="E49" s="64" t="n">
        <f aca="false">SUMPRODUCT(ISNUMBER(SEARCH("Ethiopia",'Coffee Audit'!F2:F2000))*('Coffee Audit'!W2:W2000="⭐ GESHA"))</f>
        <v>0</v>
      </c>
      <c r="F49" s="65" t="str">
        <f aca="false">REPT("█",COUNTIF('Coffee Audit'!F2:F2000,"*Ethiopia*"))</f>
        <v>████████</v>
      </c>
      <c r="G49" s="66" t="s">
        <v>898</v>
      </c>
      <c r="H49" s="66"/>
      <c r="I49" s="66"/>
      <c r="J49" s="66"/>
      <c r="K49" s="66"/>
      <c r="L49" s="66"/>
      <c r="M49" s="66"/>
    </row>
    <row r="50" customFormat="false" ht="12.75" hidden="false" customHeight="true" outlineLevel="0" collapsed="false">
      <c r="B50" s="55" t="s">
        <v>639</v>
      </c>
      <c r="C50" s="44" t="n">
        <f aca="false">COUNTIF('Coffee Audit'!F2:F2000,"*Peru*")</f>
        <v>6</v>
      </c>
      <c r="D50" s="46" t="str">
        <f aca="false">TEXT(COUNTIF('Coffee Audit'!F2:F2000,"*Peru*")/COUNTA('Coffee Audit'!A2:A2000),"0%")</f>
        <v>8%</v>
      </c>
      <c r="E50" s="61" t="n">
        <f aca="false">SUMPRODUCT(ISNUMBER(SEARCH("Peru",'Coffee Audit'!F2:F2000))*('Coffee Audit'!W2:W2000="⭐ GESHA"))</f>
        <v>5</v>
      </c>
      <c r="F50" s="62" t="str">
        <f aca="false">REPT("█",COUNTIF('Coffee Audit'!F2:F2000,"*Peru*"))</f>
        <v>██████</v>
      </c>
      <c r="G50" s="63" t="s">
        <v>899</v>
      </c>
      <c r="H50" s="63"/>
      <c r="I50" s="63"/>
      <c r="J50" s="63"/>
      <c r="K50" s="63"/>
      <c r="L50" s="63"/>
      <c r="M50" s="63"/>
    </row>
    <row r="51" customFormat="false" ht="12.75" hidden="false" customHeight="true" outlineLevel="0" collapsed="false">
      <c r="B51" s="58" t="s">
        <v>127</v>
      </c>
      <c r="C51" s="39" t="n">
        <f aca="false">COUNTIF('Coffee Audit'!F2:F2000,"*Kenya*")</f>
        <v>4</v>
      </c>
      <c r="D51" s="41" t="str">
        <f aca="false">TEXT(COUNTIF('Coffee Audit'!F2:F2000,"*Kenya*")/COUNTA('Coffee Audit'!A2:A2000),"0%")</f>
        <v>5%</v>
      </c>
      <c r="E51" s="64" t="n">
        <f aca="false">SUMPRODUCT(ISNUMBER(SEARCH("Kenya",'Coffee Audit'!F2:F2000))*('Coffee Audit'!W2:W2000="⭐ GESHA"))</f>
        <v>0</v>
      </c>
      <c r="F51" s="65" t="str">
        <f aca="false">REPT("█",COUNTIF('Coffee Audit'!F2:F2000,"*Kenya*"))</f>
        <v>████</v>
      </c>
      <c r="G51" s="66" t="s">
        <v>900</v>
      </c>
      <c r="H51" s="66"/>
      <c r="I51" s="66"/>
      <c r="J51" s="66"/>
      <c r="K51" s="66"/>
      <c r="L51" s="66"/>
      <c r="M51" s="66"/>
    </row>
    <row r="52" customFormat="false" ht="12.75" hidden="false" customHeight="true" outlineLevel="0" collapsed="false">
      <c r="B52" s="55" t="s">
        <v>253</v>
      </c>
      <c r="C52" s="44" t="n">
        <f aca="false">COUNTIF('Coffee Audit'!F2:F2000,"*Brazil*")</f>
        <v>5</v>
      </c>
      <c r="D52" s="46" t="str">
        <f aca="false">TEXT(COUNTIF('Coffee Audit'!F2:F2000,"*Brazil*")/COUNTA('Coffee Audit'!A2:A2000),"0%")</f>
        <v>7%</v>
      </c>
      <c r="E52" s="61" t="n">
        <f aca="false">SUMPRODUCT(ISNUMBER(SEARCH("Brazil",'Coffee Audit'!F2:F2000))*('Coffee Audit'!W2:W2000="⭐ GESHA"))</f>
        <v>0</v>
      </c>
      <c r="F52" s="62" t="str">
        <f aca="false">REPT("█",COUNTIF('Coffee Audit'!F2:F2000,"*Brazil*"))</f>
        <v>█████</v>
      </c>
      <c r="G52" s="63" t="s">
        <v>901</v>
      </c>
      <c r="H52" s="63"/>
      <c r="I52" s="63"/>
      <c r="J52" s="63"/>
      <c r="K52" s="63"/>
      <c r="L52" s="63"/>
      <c r="M52" s="63"/>
    </row>
    <row r="53" customFormat="false" ht="12.75" hidden="false" customHeight="true" outlineLevel="0" collapsed="false">
      <c r="B53" s="58" t="s">
        <v>694</v>
      </c>
      <c r="C53" s="39" t="n">
        <f aca="false">COUNTIF('Coffee Audit'!F2:F2000,"*Panama*")</f>
        <v>5</v>
      </c>
      <c r="D53" s="41" t="str">
        <f aca="false">TEXT(COUNTIF('Coffee Audit'!F2:F2000,"*Panama*")/COUNTA('Coffee Audit'!A2:A2000),"0%")</f>
        <v>7%</v>
      </c>
      <c r="E53" s="64" t="n">
        <f aca="false">SUMPRODUCT(ISNUMBER(SEARCH("Panama",'Coffee Audit'!F2:F2000))*('Coffee Audit'!W2:W2000="⭐ GESHA"))</f>
        <v>5</v>
      </c>
      <c r="F53" s="65" t="str">
        <f aca="false">REPT("█",COUNTIF('Coffee Audit'!F2:F2000,"*Panama*"))</f>
        <v>█████</v>
      </c>
      <c r="G53" s="66" t="s">
        <v>902</v>
      </c>
      <c r="H53" s="66"/>
      <c r="I53" s="66"/>
      <c r="J53" s="66"/>
      <c r="K53" s="66"/>
      <c r="L53" s="66"/>
      <c r="M53" s="66"/>
    </row>
    <row r="54" customFormat="false" ht="12.75" hidden="false" customHeight="true" outlineLevel="0" collapsed="false">
      <c r="B54" s="55" t="s">
        <v>903</v>
      </c>
      <c r="C54" s="44" t="n">
        <f aca="false">COUNTIF('Coffee Audit'!F2:F2000,"*Indonesia*")</f>
        <v>3</v>
      </c>
      <c r="D54" s="46" t="str">
        <f aca="false">TEXT(COUNTIF('Coffee Audit'!F2:F2000,"*Indonesia*")/COUNTA('Coffee Audit'!A2:A2000),"0%")</f>
        <v>4%</v>
      </c>
      <c r="E54" s="61" t="n">
        <f aca="false">SUMPRODUCT(ISNUMBER(SEARCH("Indonesia",'Coffee Audit'!F2:F2000))*('Coffee Audit'!W2:W2000="⭐ GESHA"))</f>
        <v>0</v>
      </c>
      <c r="F54" s="62" t="str">
        <f aca="false">REPT("█",COUNTIF('Coffee Audit'!F2:F2000,"*Indonesia*"))</f>
        <v>███</v>
      </c>
      <c r="G54" s="63" t="s">
        <v>904</v>
      </c>
      <c r="H54" s="63"/>
      <c r="I54" s="63"/>
      <c r="J54" s="63"/>
      <c r="K54" s="63"/>
      <c r="L54" s="63"/>
      <c r="M54" s="63"/>
    </row>
    <row r="55" customFormat="false" ht="12.75" hidden="false" customHeight="true" outlineLevel="0" collapsed="false">
      <c r="B55" s="58" t="s">
        <v>98</v>
      </c>
      <c r="C55" s="39" t="n">
        <f aca="false">COUNTIF('Coffee Audit'!F2:F2000,"*Honduras*")</f>
        <v>3</v>
      </c>
      <c r="D55" s="41" t="str">
        <f aca="false">TEXT(COUNTIF('Coffee Audit'!F2:F2000,"*Honduras*")/COUNTA('Coffee Audit'!A2:A2000),"0%")</f>
        <v>4%</v>
      </c>
      <c r="E55" s="64" t="n">
        <f aca="false">SUMPRODUCT(ISNUMBER(SEARCH("Honduras",'Coffee Audit'!F2:F2000))*('Coffee Audit'!W2:W2000="⭐ GESHA"))</f>
        <v>0</v>
      </c>
      <c r="F55" s="65" t="str">
        <f aca="false">REPT("█",COUNTIF('Coffee Audit'!F2:F2000,"*Honduras*"))</f>
        <v>███</v>
      </c>
      <c r="G55" s="66" t="s">
        <v>905</v>
      </c>
      <c r="H55" s="66"/>
      <c r="I55" s="66"/>
      <c r="J55" s="66"/>
      <c r="K55" s="66"/>
      <c r="L55" s="66"/>
      <c r="M55" s="66"/>
    </row>
    <row r="56" customFormat="false" ht="12.75" hidden="false" customHeight="true" outlineLevel="0" collapsed="false">
      <c r="B56" s="55" t="s">
        <v>906</v>
      </c>
      <c r="C56" s="44" t="n">
        <f aca="false">COUNTIF('Coffee Audit'!F2:F2000,"*Thailand*")</f>
        <v>2</v>
      </c>
      <c r="D56" s="46" t="str">
        <f aca="false">TEXT(COUNTIF('Coffee Audit'!F2:F2000,"*Thailand*")/COUNTA('Coffee Audit'!A2:A2000),"0%")</f>
        <v>3%</v>
      </c>
      <c r="E56" s="61" t="n">
        <f aca="false">SUMPRODUCT(ISNUMBER(SEARCH("Thailand",'Coffee Audit'!F2:F2000))*('Coffee Audit'!W2:W2000="⭐ GESHA"))</f>
        <v>1</v>
      </c>
      <c r="F56" s="62" t="str">
        <f aca="false">REPT("█",COUNTIF('Coffee Audit'!F2:F2000,"*Thailand*"))</f>
        <v>██</v>
      </c>
      <c r="G56" s="63" t="s">
        <v>907</v>
      </c>
      <c r="H56" s="63"/>
      <c r="I56" s="63"/>
      <c r="J56" s="63"/>
      <c r="K56" s="63"/>
      <c r="L56" s="63"/>
      <c r="M56" s="63"/>
    </row>
    <row r="57" customFormat="false" ht="12.75" hidden="false" customHeight="true" outlineLevel="0" collapsed="false">
      <c r="B57" s="58" t="s">
        <v>908</v>
      </c>
      <c r="C57" s="39" t="n">
        <f aca="false">COUNTIF('Coffee Audit'!F2:F2000,"*Guatemala*")</f>
        <v>1</v>
      </c>
      <c r="D57" s="41" t="str">
        <f aca="false">TEXT(COUNTIF('Coffee Audit'!F2:F2000,"*Guatemala*")/COUNTA('Coffee Audit'!A2:A2000),"0%")</f>
        <v>1%</v>
      </c>
      <c r="E57" s="64" t="n">
        <f aca="false">SUMPRODUCT(ISNUMBER(SEARCH("Guatemala",'Coffee Audit'!F2:F2000))*('Coffee Audit'!W2:W2000="⭐ GESHA"))</f>
        <v>0</v>
      </c>
      <c r="F57" s="65" t="str">
        <f aca="false">REPT("█",COUNTIF('Coffee Audit'!F2:F2000,"*Guatemala*"))</f>
        <v>█</v>
      </c>
      <c r="G57" s="66" t="s">
        <v>909</v>
      </c>
      <c r="H57" s="66"/>
      <c r="I57" s="66"/>
      <c r="J57" s="66"/>
      <c r="K57" s="66"/>
      <c r="L57" s="66"/>
      <c r="M57" s="66"/>
    </row>
    <row r="59" customFormat="false" ht="16.5" hidden="false" customHeight="true" outlineLevel="0" collapsed="false">
      <c r="B59" s="16" t="s">
        <v>910</v>
      </c>
      <c r="C59" s="16"/>
      <c r="D59" s="16"/>
      <c r="E59" s="16"/>
      <c r="F59" s="16"/>
      <c r="G59" s="16"/>
      <c r="H59" s="16"/>
      <c r="I59" s="16"/>
      <c r="J59" s="16"/>
      <c r="K59" s="16"/>
      <c r="L59" s="16"/>
      <c r="M59" s="16"/>
    </row>
    <row r="60" customFormat="false" ht="15" hidden="false" customHeight="true" outlineLevel="0" collapsed="false">
      <c r="B60" s="32" t="s">
        <v>911</v>
      </c>
      <c r="C60" s="32" t="s">
        <v>871</v>
      </c>
      <c r="D60" s="32" t="s">
        <v>894</v>
      </c>
      <c r="E60" s="32" t="s">
        <v>912</v>
      </c>
      <c r="F60" s="33" t="s">
        <v>913</v>
      </c>
      <c r="G60" s="33"/>
      <c r="H60" s="33"/>
      <c r="I60" s="33"/>
      <c r="J60" s="33"/>
      <c r="K60" s="33"/>
      <c r="L60" s="33"/>
      <c r="M60" s="33"/>
    </row>
    <row r="61" customFormat="false" ht="12.75" hidden="false" customHeight="true" outlineLevel="0" collapsed="false">
      <c r="B61" s="55" t="s">
        <v>914</v>
      </c>
      <c r="C61" s="44" t="n">
        <f aca="false">SUM(COUNTIF('Coffee Audit'!M2:M2000,{"1:13*","1:14*"}))</f>
        <v>10</v>
      </c>
      <c r="D61" s="46" t="str">
        <f aca="false">TEXT(SUM(COUNTIF('Coffee Audit'!M2:M2000,{"1:13*","1:14*"}))/COUNTA('Coffee Audit'!A2:A2000),"0%")</f>
        <v>13%</v>
      </c>
      <c r="E61" s="67" t="s">
        <v>915</v>
      </c>
      <c r="F61" s="63" t="s">
        <v>916</v>
      </c>
      <c r="G61" s="63"/>
      <c r="H61" s="63"/>
      <c r="I61" s="63"/>
      <c r="J61" s="63"/>
      <c r="K61" s="63"/>
      <c r="L61" s="63"/>
      <c r="M61" s="63"/>
    </row>
    <row r="62" customFormat="false" ht="12.75" hidden="false" customHeight="true" outlineLevel="0" collapsed="false">
      <c r="B62" s="58" t="s">
        <v>917</v>
      </c>
      <c r="C62" s="39" t="n">
        <f aca="false">SUM(COUNTIF('Coffee Audit'!M2:M2000,{"1:15*"}))</f>
        <v>22</v>
      </c>
      <c r="D62" s="41" t="str">
        <f aca="false">TEXT(SUM(COUNTIF('Coffee Audit'!M2:M2000,{"1:15*"}))/COUNTA('Coffee Audit'!A2:A2000),"0%")</f>
        <v>29%</v>
      </c>
      <c r="E62" s="68" t="s">
        <v>918</v>
      </c>
      <c r="F62" s="66" t="s">
        <v>919</v>
      </c>
      <c r="G62" s="66"/>
      <c r="H62" s="66"/>
      <c r="I62" s="66"/>
      <c r="J62" s="66"/>
      <c r="K62" s="66"/>
      <c r="L62" s="66"/>
      <c r="M62" s="66"/>
    </row>
    <row r="63" customFormat="false" ht="12.75" hidden="false" customHeight="true" outlineLevel="0" collapsed="false">
      <c r="B63" s="55" t="s">
        <v>920</v>
      </c>
      <c r="C63" s="44" t="n">
        <f aca="false">SUM(COUNTIF('Coffee Audit'!M2:M2000,{"1:16*"}))</f>
        <v>16</v>
      </c>
      <c r="D63" s="46" t="str">
        <f aca="false">TEXT(SUM(COUNTIF('Coffee Audit'!M2:M2000,{"1:16*"}))/COUNTA('Coffee Audit'!A2:A2000),"0%")</f>
        <v>21%</v>
      </c>
      <c r="E63" s="67" t="s">
        <v>918</v>
      </c>
      <c r="F63" s="63" t="s">
        <v>921</v>
      </c>
      <c r="G63" s="63"/>
      <c r="H63" s="63"/>
      <c r="I63" s="63"/>
      <c r="J63" s="63"/>
      <c r="K63" s="63"/>
      <c r="L63" s="63"/>
      <c r="M63" s="63"/>
    </row>
    <row r="64" customFormat="false" ht="12.75" hidden="false" customHeight="true" outlineLevel="0" collapsed="false">
      <c r="B64" s="58" t="s">
        <v>922</v>
      </c>
      <c r="C64" s="39" t="n">
        <f aca="false">SUM(COUNTIF('Coffee Audit'!M2:M2000,{"1:17*"}))</f>
        <v>7</v>
      </c>
      <c r="D64" s="41" t="str">
        <f aca="false">TEXT(SUM(COUNTIF('Coffee Audit'!M2:M2000,{"1:17*"}))/COUNTA('Coffee Audit'!A2:A2000),"0%")</f>
        <v>9%</v>
      </c>
      <c r="E64" s="68" t="s">
        <v>923</v>
      </c>
      <c r="F64" s="66" t="s">
        <v>924</v>
      </c>
      <c r="G64" s="66"/>
      <c r="H64" s="66"/>
      <c r="I64" s="66"/>
      <c r="J64" s="66"/>
      <c r="K64" s="66"/>
      <c r="L64" s="66"/>
      <c r="M64" s="66"/>
    </row>
    <row r="65" customFormat="false" ht="13.5" hidden="false" customHeight="true" outlineLevel="0" collapsed="false">
      <c r="B65" s="6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45 of 75 logged brews sit inside the 1:15–1:17 Palate DNA band (60% of all entries, including those logged Unknown)</v>
      </c>
      <c r="C65" s="69"/>
      <c r="D65" s="69"/>
      <c r="E65" s="69"/>
      <c r="F65" s="69"/>
      <c r="G65" s="69"/>
      <c r="H65" s="69"/>
      <c r="I65" s="69"/>
      <c r="J65" s="69"/>
      <c r="K65" s="69"/>
      <c r="L65" s="69"/>
      <c r="M65" s="69"/>
    </row>
    <row r="67" customFormat="false" ht="16.5" hidden="false" customHeight="true" outlineLevel="0" collapsed="false">
      <c r="B67" s="16" t="s">
        <v>925</v>
      </c>
      <c r="C67" s="16"/>
      <c r="D67" s="16"/>
      <c r="E67" s="16"/>
      <c r="F67" s="16"/>
      <c r="G67" s="16"/>
      <c r="H67" s="16"/>
      <c r="I67" s="16"/>
      <c r="J67" s="16"/>
      <c r="K67" s="16"/>
      <c r="L67" s="16"/>
      <c r="M67" s="16"/>
    </row>
    <row r="68" customFormat="false" ht="15" hidden="false" customHeight="true" outlineLevel="0" collapsed="false">
      <c r="B68" s="32" t="s">
        <v>926</v>
      </c>
      <c r="C68" s="32" t="s">
        <v>871</v>
      </c>
      <c r="D68" s="32" t="s">
        <v>894</v>
      </c>
      <c r="E68" s="33" t="s">
        <v>927</v>
      </c>
      <c r="F68" s="33"/>
      <c r="G68" s="33"/>
      <c r="H68" s="33"/>
      <c r="I68" s="33"/>
      <c r="J68" s="33"/>
      <c r="K68" s="33"/>
      <c r="L68" s="33"/>
      <c r="M68" s="33"/>
    </row>
    <row r="69" customFormat="false" ht="12.75" hidden="false" customHeight="true" outlineLevel="0" collapsed="false">
      <c r="B69" s="55" t="s">
        <v>928</v>
      </c>
      <c r="C69" s="44" t="n">
        <f aca="false">COUNTIF('Coffee Audit'!P2:P2000,"*EK43*")</f>
        <v>25</v>
      </c>
      <c r="D69" s="46" t="str">
        <f aca="false">TEXT(COUNTIF('Coffee Audit'!P2:P2000,"*EK43*")/COUNTA('Coffee Audit'!A2:A2000),"0%")</f>
        <v>33%</v>
      </c>
      <c r="E69" s="63" t="s">
        <v>929</v>
      </c>
      <c r="F69" s="63"/>
      <c r="G69" s="63"/>
      <c r="H69" s="63"/>
      <c r="I69" s="63"/>
      <c r="J69" s="63"/>
      <c r="K69" s="63"/>
      <c r="L69" s="63"/>
      <c r="M69" s="63"/>
    </row>
    <row r="70" customFormat="false" ht="12.75" hidden="false" customHeight="true" outlineLevel="0" collapsed="false">
      <c r="B70" s="58" t="s">
        <v>930</v>
      </c>
      <c r="C70" s="39" t="n">
        <f aca="false">COUNTIF('Coffee Audit'!P2:P2000,"*Lagom*")</f>
        <v>12</v>
      </c>
      <c r="D70" s="41" t="str">
        <f aca="false">TEXT(COUNTIF('Coffee Audit'!P2:P2000,"*Lagom*")/COUNTA('Coffee Audit'!A2:A2000),"0%")</f>
        <v>16%</v>
      </c>
      <c r="E70" s="66" t="s">
        <v>931</v>
      </c>
      <c r="F70" s="66"/>
      <c r="G70" s="66"/>
      <c r="H70" s="66"/>
      <c r="I70" s="66"/>
      <c r="J70" s="66"/>
      <c r="K70" s="66"/>
      <c r="L70" s="66"/>
      <c r="M70" s="66"/>
    </row>
    <row r="71" customFormat="false" ht="12.75" hidden="false" customHeight="true" outlineLevel="0" collapsed="false">
      <c r="B71" s="55" t="s">
        <v>932</v>
      </c>
      <c r="C71" s="44" t="n">
        <f aca="false">SUMPRODUCT(--ISNUMBER(SEARCH("Flat-Bottom",'Coffee Audit'!J2:J2000)))</f>
        <v>28</v>
      </c>
      <c r="D71" s="46" t="str">
        <f aca="false">TEXT(SUMPRODUCT(--ISNUMBER(SEARCH("Flat-Bottom",'Coffee Audit'!J2:J2000)))/COUNTA('Coffee Audit'!A2:A2000),"0%")</f>
        <v>37%</v>
      </c>
      <c r="E71" s="63" t="s">
        <v>933</v>
      </c>
      <c r="F71" s="63"/>
      <c r="G71" s="63"/>
      <c r="H71" s="63"/>
      <c r="I71" s="63"/>
      <c r="J71" s="63"/>
      <c r="K71" s="63"/>
      <c r="L71" s="63"/>
      <c r="M71" s="63"/>
    </row>
    <row r="72" customFormat="false" ht="12.75" hidden="false" customHeight="true" outlineLevel="0" collapsed="false">
      <c r="B72" s="58" t="s">
        <v>934</v>
      </c>
      <c r="C72" s="39" t="n">
        <f aca="false">COUNTIF('Coffee Audit'!J2:J2000,"*V60*")</f>
        <v>17</v>
      </c>
      <c r="D72" s="41" t="str">
        <f aca="false">TEXT(COUNTIF('Coffee Audit'!J2:J2000,"*V60*")/COUNTA('Coffee Audit'!A2:A2000),"0%")</f>
        <v>23%</v>
      </c>
      <c r="E72" s="66" t="s">
        <v>935</v>
      </c>
      <c r="F72" s="66"/>
      <c r="G72" s="66"/>
      <c r="H72" s="66"/>
      <c r="I72" s="66"/>
      <c r="J72" s="66"/>
      <c r="K72" s="66"/>
      <c r="L72" s="66"/>
      <c r="M72" s="66"/>
    </row>
    <row r="73" customFormat="false" ht="12.75" hidden="false" customHeight="true" outlineLevel="0" collapsed="false">
      <c r="B73" s="55" t="s">
        <v>936</v>
      </c>
      <c r="C73" s="44" t="n">
        <f aca="false">COUNTIF('Coffee Audit'!J2:J2000,"*Switch*")</f>
        <v>7</v>
      </c>
      <c r="D73" s="46" t="str">
        <f aca="false">TEXT(COUNTIF('Coffee Audit'!J2:J2000,"*Switch*")/COUNTA('Coffee Audit'!A2:A2000),"0%")</f>
        <v>9%</v>
      </c>
      <c r="E73" s="63" t="s">
        <v>937</v>
      </c>
      <c r="F73" s="63"/>
      <c r="G73" s="63"/>
      <c r="H73" s="63"/>
      <c r="I73" s="63"/>
      <c r="J73" s="63"/>
      <c r="K73" s="63"/>
      <c r="L73" s="63"/>
      <c r="M73" s="63"/>
    </row>
    <row r="75" customFormat="false" ht="12.75" hidden="false" customHeight="true" outlineLevel="0" collapsed="false">
      <c r="B75" s="70" t="str">
        <f aca="false">"THE HARI COFFEE ARCHIVE   ·   "&amp;COUNTA('Coffee Audit'!A2:A2000)&amp;" field-audited cups   ·   "&amp;TEXT(MIN('Coffee Audit'!A2:A2000),"dd mmm yyyy")&amp;"  —  "&amp;TEXT(MAX('Coffee Audit'!A2:A2000),"dd mmm yyyy")&amp;"     |     Every metric on this sheet is a live formula. Append a row to Coffee Audit and every panel re-reads itself.     |     Source hierarchy: barista confirmation &gt; direct observation &gt; bean card &gt; menu. Never inferred."</f>
        <v>THE HARI COFFEE ARCHIVE   ·   75 field-audited cups   ·   03 Jan 2026  —  01 Aug 2026     |     Every metric on this sheet is a live formula. Append a row to Coffee Audit and every panel re-reads itself.     |     Source hierarchy: barista confirmation &gt; direct observation &gt; bean card &gt; menu. Never inferred.</v>
      </c>
      <c r="C75" s="70"/>
      <c r="D75" s="70"/>
      <c r="E75" s="70"/>
      <c r="F75" s="70"/>
      <c r="G75" s="70"/>
      <c r="H75" s="70"/>
      <c r="I75" s="70"/>
      <c r="J75" s="70"/>
      <c r="K75" s="70"/>
      <c r="L75" s="70"/>
      <c r="M75" s="70"/>
    </row>
    <row r="76" customFormat="false" ht="12.75" hidden="false" customHeight="true" outlineLevel="0" collapsed="false">
      <c r="B76" s="70"/>
      <c r="C76" s="70"/>
      <c r="D76" s="70"/>
      <c r="E76" s="70"/>
      <c r="F76" s="70"/>
      <c r="G76" s="70"/>
      <c r="H76" s="70"/>
      <c r="I76" s="70"/>
      <c r="J76" s="70"/>
      <c r="K76" s="70"/>
      <c r="L76" s="70"/>
      <c r="M76" s="70"/>
    </row>
    <row r="77" customFormat="false" ht="12.75" hidden="false" customHeight="true" outlineLevel="0" collapsed="false">
      <c r="B77" s="70"/>
      <c r="C77" s="70"/>
      <c r="D77" s="70"/>
      <c r="E77" s="70"/>
      <c r="F77" s="70"/>
      <c r="G77" s="70"/>
      <c r="H77" s="70"/>
      <c r="I77" s="70"/>
      <c r="J77" s="70"/>
      <c r="K77" s="70"/>
      <c r="L77" s="70"/>
      <c r="M77" s="70"/>
    </row>
  </sheetData>
  <mergeCells count="73">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B35:M35"/>
    <mergeCell ref="B37:M37"/>
    <mergeCell ref="F38:M38"/>
    <mergeCell ref="F39:M39"/>
    <mergeCell ref="F40:M40"/>
    <mergeCell ref="F41:M41"/>
    <mergeCell ref="F42:M42"/>
    <mergeCell ref="F43:M43"/>
    <mergeCell ref="F44:M44"/>
    <mergeCell ref="B46:M46"/>
    <mergeCell ref="G47:M47"/>
    <mergeCell ref="G48:M48"/>
    <mergeCell ref="G49:M49"/>
    <mergeCell ref="G50:M50"/>
    <mergeCell ref="G51:M51"/>
    <mergeCell ref="G52:M52"/>
    <mergeCell ref="G53:M53"/>
    <mergeCell ref="G54:M54"/>
    <mergeCell ref="G55:M55"/>
    <mergeCell ref="G56:M56"/>
    <mergeCell ref="G57:M57"/>
    <mergeCell ref="B59:M59"/>
    <mergeCell ref="F60:M60"/>
    <mergeCell ref="F61:M61"/>
    <mergeCell ref="F62:M62"/>
    <mergeCell ref="F63:M63"/>
    <mergeCell ref="F64:M64"/>
    <mergeCell ref="B65:M65"/>
    <mergeCell ref="B67:M67"/>
    <mergeCell ref="E68:M68"/>
    <mergeCell ref="E69:M69"/>
    <mergeCell ref="E70:M70"/>
    <mergeCell ref="E71:M71"/>
    <mergeCell ref="E72:M72"/>
    <mergeCell ref="E73:M73"/>
    <mergeCell ref="B75:M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938</v>
      </c>
      <c r="C1" s="71"/>
      <c r="D1" s="71"/>
      <c r="E1" s="71"/>
      <c r="F1" s="71"/>
      <c r="G1" s="71"/>
      <c r="H1" s="71"/>
      <c r="I1" s="71"/>
      <c r="J1" s="71"/>
      <c r="K1" s="71"/>
      <c r="L1" s="71"/>
    </row>
    <row r="2" customFormat="false" ht="13.5" hidden="false" customHeight="true" outlineLevel="0" collapsed="false">
      <c r="B2" s="72" t="str">
        <f aca="false">"What "&amp;COUNTA('Coffee Audit'!A2:A2000)&amp;" cups reveal about one palate — malic acid · linalool · flat-bottom geometry · washed clarity"</f>
        <v>What 75 cups reveal about one palate — malic acid · linalool · flat-bottom geometry · washed clarity</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939</v>
      </c>
      <c r="C4" s="73"/>
      <c r="D4" s="73"/>
      <c r="E4" s="73"/>
      <c r="F4" s="73"/>
      <c r="G4" s="73"/>
      <c r="H4" s="73"/>
      <c r="I4" s="73"/>
      <c r="J4" s="73"/>
      <c r="K4" s="73"/>
      <c r="L4" s="73"/>
    </row>
    <row r="5" customFormat="false" ht="13.5" hidden="false" customHeight="true" outlineLevel="0" collapsed="false">
      <c r="B5" s="7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75 cups and seven months, one pattern dominates: 51%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20 cups (27%), commanding a 76% premium over everything else.</v>
      </c>
      <c r="C5" s="74"/>
      <c r="D5" s="74"/>
      <c r="E5" s="74"/>
      <c r="F5" s="74"/>
      <c r="G5" s="74"/>
      <c r="H5" s="74"/>
      <c r="I5" s="74"/>
      <c r="J5" s="74"/>
      <c r="K5" s="74"/>
      <c r="L5" s="74"/>
    </row>
    <row r="6" customFormat="false" ht="13.5" hidden="false" customHeight="true" outlineLevel="0" collapsed="false">
      <c r="B6" s="74"/>
      <c r="C6" s="74"/>
      <c r="D6" s="74"/>
      <c r="E6" s="74"/>
      <c r="F6" s="74"/>
      <c r="G6" s="74"/>
      <c r="H6" s="74"/>
      <c r="I6" s="74"/>
      <c r="J6" s="74"/>
      <c r="K6" s="74"/>
      <c r="L6" s="74"/>
    </row>
    <row r="7" customFormat="false" ht="13.5" hidden="false" customHeight="true" outlineLevel="0" collapsed="false">
      <c r="B7" s="74"/>
      <c r="C7" s="74"/>
      <c r="D7" s="74"/>
      <c r="E7" s="74"/>
      <c r="F7" s="74"/>
      <c r="G7" s="74"/>
      <c r="H7" s="74"/>
      <c r="I7" s="74"/>
      <c r="J7" s="74"/>
      <c r="K7" s="74"/>
      <c r="L7" s="74"/>
    </row>
    <row r="9" customFormat="false" ht="6" hidden="false" customHeight="true" outlineLevel="0" collapsed="false"/>
    <row r="10" customFormat="false" ht="15.75" hidden="false" customHeight="true" outlineLevel="0" collapsed="false">
      <c r="B10" s="73" t="str">
        <f aca="false">"  🍯  PROCESS PREFERENCE SPECTRUM   —   live across "&amp;COUNTA('Coffee Audit'!A2:A2000)&amp;" entries"</f>
        <v>  🍯  PROCESS PREFERENCE SPECTRUM   —   live across 75 entries</v>
      </c>
      <c r="C10" s="73"/>
      <c r="D10" s="73"/>
      <c r="E10" s="73"/>
      <c r="F10" s="73"/>
      <c r="G10" s="73"/>
      <c r="H10" s="73" t="s">
        <v>940</v>
      </c>
      <c r="I10" s="73"/>
      <c r="J10" s="73"/>
      <c r="K10" s="73"/>
      <c r="L10" s="73"/>
    </row>
    <row r="11" customFormat="false" ht="15.75" hidden="false" customHeight="true" outlineLevel="0" collapsed="false">
      <c r="B11" s="75" t="s">
        <v>7</v>
      </c>
      <c r="C11" s="75" t="s">
        <v>941</v>
      </c>
      <c r="D11" s="75" t="s">
        <v>942</v>
      </c>
      <c r="E11" s="75" t="s">
        <v>873</v>
      </c>
      <c r="F11" s="75" t="s">
        <v>943</v>
      </c>
      <c r="H11" s="75" t="s">
        <v>944</v>
      </c>
      <c r="I11" s="75" t="s">
        <v>941</v>
      </c>
      <c r="J11" s="75" t="s">
        <v>945</v>
      </c>
    </row>
    <row r="12" customFormat="false" ht="12.75" hidden="false" customHeight="true" outlineLevel="0" collapsed="false">
      <c r="B12" s="76" t="s">
        <v>58</v>
      </c>
      <c r="C12" s="76" t="n">
        <f aca="false">COUNTIF('Coffee Audit'!H2:H2000,"*Washed*")</f>
        <v>38</v>
      </c>
      <c r="D12" s="77" t="str">
        <f aca="false">TEXT(COUNTIF('Coffee Audit'!H2:H2000,"*Washed*")/COUNTA('Coffee Audit'!A2:A2000),"0%")</f>
        <v>51%</v>
      </c>
      <c r="E12" s="78" t="s">
        <v>946</v>
      </c>
      <c r="F12" s="79" t="s">
        <v>947</v>
      </c>
      <c r="H12" s="80" t="s">
        <v>948</v>
      </c>
      <c r="I12" s="81" t="s">
        <v>949</v>
      </c>
      <c r="J12" s="81" t="s">
        <v>950</v>
      </c>
    </row>
    <row r="13" customFormat="false" ht="12.75" hidden="false" customHeight="true" outlineLevel="0" collapsed="false">
      <c r="B13" s="82" t="s">
        <v>29</v>
      </c>
      <c r="C13" s="82" t="n">
        <f aca="false">COUNTIF('Coffee Audit'!H2:H2000,"*Natural*")</f>
        <v>25</v>
      </c>
      <c r="D13" s="83" t="str">
        <f aca="false">TEXT(COUNTIF('Coffee Audit'!H2:H2000,"*Natural*")/COUNTA('Coffee Audit'!A2:A2000),"0%")</f>
        <v>33%</v>
      </c>
      <c r="E13" s="84" t="s">
        <v>951</v>
      </c>
      <c r="F13" s="85" t="s">
        <v>952</v>
      </c>
      <c r="H13" s="86" t="s">
        <v>953</v>
      </c>
      <c r="I13" s="87" t="s">
        <v>954</v>
      </c>
      <c r="J13" s="87" t="s">
        <v>955</v>
      </c>
    </row>
    <row r="14" customFormat="false" ht="12.75" hidden="false" customHeight="true" outlineLevel="0" collapsed="false">
      <c r="B14" s="76" t="s">
        <v>404</v>
      </c>
      <c r="C14" s="76" t="n">
        <f aca="false">COUNTIF('Coffee Audit'!H2:H2000,"*Honey*")</f>
        <v>7</v>
      </c>
      <c r="D14" s="77" t="str">
        <f aca="false">TEXT(COUNTIF('Coffee Audit'!H2:H2000,"*Honey*")/COUNTA('Coffee Audit'!A2:A2000),"0%")</f>
        <v>9%</v>
      </c>
      <c r="E14" s="78" t="s">
        <v>956</v>
      </c>
      <c r="F14" s="79" t="s">
        <v>957</v>
      </c>
      <c r="H14" s="80" t="s">
        <v>958</v>
      </c>
      <c r="I14" s="81" t="n">
        <v>8</v>
      </c>
      <c r="J14" s="81" t="s">
        <v>959</v>
      </c>
    </row>
    <row r="15" customFormat="false" ht="12.75" hidden="false" customHeight="true" outlineLevel="0" collapsed="false">
      <c r="B15" s="82" t="s">
        <v>960</v>
      </c>
      <c r="C15" s="82" t="n">
        <f aca="false">COUNTIF('Coffee Audit'!H2:H2000,"*Anaerobic*")</f>
        <v>10</v>
      </c>
      <c r="D15" s="83" t="str">
        <f aca="false">TEXT(COUNTIF('Coffee Audit'!H2:H2000,"*Anaerobic*")/COUNTA('Coffee Audit'!A2:A2000),"0%")</f>
        <v>13%</v>
      </c>
      <c r="E15" s="84" t="s">
        <v>961</v>
      </c>
      <c r="F15" s="85" t="s">
        <v>962</v>
      </c>
      <c r="H15" s="86" t="s">
        <v>963</v>
      </c>
      <c r="I15" s="87" t="s">
        <v>964</v>
      </c>
      <c r="J15" s="87" t="s">
        <v>965</v>
      </c>
    </row>
    <row r="16" customFormat="false" ht="12.75" hidden="false" customHeight="true" outlineLevel="0" collapsed="false">
      <c r="B16" s="76" t="s">
        <v>966</v>
      </c>
      <c r="C16" s="76" t="n">
        <f aca="false">COUNTIF('Coffee Audit'!H2:H2000,"*Ferment*")</f>
        <v>7</v>
      </c>
      <c r="D16" s="77" t="str">
        <f aca="false">TEXT(COUNTIF('Coffee Audit'!H2:H2000,"*Ferment*")/COUNTA('Coffee Audit'!A2:A2000),"0%")</f>
        <v>9%</v>
      </c>
      <c r="E16" s="78" t="s">
        <v>967</v>
      </c>
      <c r="F16" s="79" t="s">
        <v>968</v>
      </c>
      <c r="H16" s="80" t="s">
        <v>969</v>
      </c>
      <c r="I16" s="81" t="s">
        <v>970</v>
      </c>
      <c r="J16" s="81" t="s">
        <v>971</v>
      </c>
    </row>
    <row r="17" customFormat="false" ht="12.75" hidden="false" customHeight="true" outlineLevel="0" collapsed="false">
      <c r="B17" s="82" t="s">
        <v>40</v>
      </c>
      <c r="C17" s="82" t="n">
        <f aca="false">COUNTIF('Coffee Audit'!H2:H2000,"*Hulled*")</f>
        <v>1</v>
      </c>
      <c r="D17" s="83" t="str">
        <f aca="false">TEXT(COUNTIF('Coffee Audit'!H2:H2000,"*Hulled*")/COUNTA('Coffee Audit'!A2:A2000),"0%")</f>
        <v>1%</v>
      </c>
      <c r="E17" s="84" t="s">
        <v>972</v>
      </c>
      <c r="F17" s="85" t="s">
        <v>973</v>
      </c>
      <c r="H17" s="86" t="s">
        <v>974</v>
      </c>
      <c r="I17" s="87" t="s">
        <v>975</v>
      </c>
      <c r="J17" s="87" t="s">
        <v>976</v>
      </c>
    </row>
    <row r="18" customFormat="false" ht="12.75" hidden="false" customHeight="true" outlineLevel="0" collapsed="false">
      <c r="B18" s="88"/>
      <c r="C18" s="4"/>
      <c r="D18" s="4"/>
      <c r="E18" s="4"/>
      <c r="F18" s="4"/>
      <c r="H18" s="80" t="s">
        <v>977</v>
      </c>
      <c r="I18" s="81" t="s">
        <v>949</v>
      </c>
      <c r="J18" s="81" t="s">
        <v>978</v>
      </c>
    </row>
    <row r="19" customFormat="false" ht="12.75" hidden="false" customHeight="true" outlineLevel="0" collapsed="false">
      <c r="B19" s="88"/>
      <c r="C19" s="4"/>
      <c r="D19" s="4"/>
      <c r="E19" s="4"/>
      <c r="F19" s="4"/>
      <c r="H19" s="86" t="s">
        <v>979</v>
      </c>
      <c r="I19" s="87" t="s">
        <v>949</v>
      </c>
      <c r="J19" s="87" t="s">
        <v>980</v>
      </c>
    </row>
    <row r="20" customFormat="false" ht="7.5" hidden="false" customHeight="true" outlineLevel="0" collapsed="false"/>
    <row r="21" customFormat="false" ht="15.75" hidden="false" customHeight="true" outlineLevel="0" collapsed="false">
      <c r="B21" s="73" t="s">
        <v>981</v>
      </c>
      <c r="C21" s="73"/>
      <c r="D21" s="73"/>
      <c r="E21" s="73"/>
      <c r="F21" s="73"/>
      <c r="G21" s="73"/>
      <c r="H21" s="73" t="s">
        <v>982</v>
      </c>
      <c r="I21" s="73"/>
      <c r="J21" s="73"/>
      <c r="K21" s="73"/>
      <c r="L21" s="73"/>
    </row>
    <row r="22" customFormat="false" ht="15.75" hidden="false" customHeight="true" outlineLevel="0" collapsed="false">
      <c r="B22" s="75" t="s">
        <v>7</v>
      </c>
      <c r="C22" s="75" t="s">
        <v>843</v>
      </c>
      <c r="D22" s="75" t="s">
        <v>983</v>
      </c>
      <c r="E22" s="75" t="s">
        <v>984</v>
      </c>
      <c r="H22" s="75" t="s">
        <v>985</v>
      </c>
      <c r="I22" s="75" t="s">
        <v>986</v>
      </c>
      <c r="J22" s="75" t="s">
        <v>987</v>
      </c>
      <c r="K22" s="75" t="s">
        <v>988</v>
      </c>
    </row>
    <row r="23" customFormat="false" ht="12.75" hidden="false" customHeight="true" outlineLevel="0" collapsed="false">
      <c r="B23" s="86" t="s">
        <v>989</v>
      </c>
      <c r="C23" s="87" t="s">
        <v>990</v>
      </c>
      <c r="D23" s="87" t="s">
        <v>991</v>
      </c>
      <c r="E23" s="87" t="s">
        <v>992</v>
      </c>
      <c r="H23" s="86" t="s">
        <v>993</v>
      </c>
      <c r="I23" s="87" t="s">
        <v>949</v>
      </c>
      <c r="J23" s="87" t="s">
        <v>994</v>
      </c>
      <c r="K23" s="87" t="s">
        <v>995</v>
      </c>
    </row>
    <row r="24" customFormat="false" ht="12.75" hidden="false" customHeight="true" outlineLevel="0" collapsed="false">
      <c r="B24" s="80" t="s">
        <v>404</v>
      </c>
      <c r="C24" s="81" t="s">
        <v>996</v>
      </c>
      <c r="D24" s="81" t="s">
        <v>997</v>
      </c>
      <c r="E24" s="81" t="s">
        <v>998</v>
      </c>
      <c r="H24" s="80" t="s">
        <v>999</v>
      </c>
      <c r="I24" s="81" t="s">
        <v>949</v>
      </c>
      <c r="J24" s="81" t="s">
        <v>1000</v>
      </c>
      <c r="K24" s="81" t="s">
        <v>1001</v>
      </c>
    </row>
    <row r="25" customFormat="false" ht="12.75" hidden="false" customHeight="true" outlineLevel="0" collapsed="false">
      <c r="B25" s="86" t="s">
        <v>404</v>
      </c>
      <c r="C25" s="87" t="s">
        <v>1002</v>
      </c>
      <c r="D25" s="87" t="s">
        <v>1003</v>
      </c>
      <c r="E25" s="87" t="s">
        <v>1004</v>
      </c>
      <c r="H25" s="86" t="s">
        <v>1005</v>
      </c>
      <c r="I25" s="87" t="s">
        <v>970</v>
      </c>
      <c r="J25" s="87" t="s">
        <v>1006</v>
      </c>
      <c r="K25" s="87" t="s">
        <v>1007</v>
      </c>
    </row>
    <row r="26" customFormat="false" ht="12.75" hidden="false" customHeight="true" outlineLevel="0" collapsed="false">
      <c r="B26" s="80" t="s">
        <v>29</v>
      </c>
      <c r="C26" s="81" t="s">
        <v>1008</v>
      </c>
      <c r="D26" s="81" t="s">
        <v>1009</v>
      </c>
      <c r="E26" s="81" t="s">
        <v>998</v>
      </c>
      <c r="H26" s="80" t="s">
        <v>1010</v>
      </c>
      <c r="I26" s="81" t="s">
        <v>1011</v>
      </c>
      <c r="J26" s="81" t="s">
        <v>1012</v>
      </c>
      <c r="K26" s="81" t="s">
        <v>1013</v>
      </c>
    </row>
    <row r="27" customFormat="false" ht="12.75" hidden="false" customHeight="true" outlineLevel="0" collapsed="false">
      <c r="B27" s="86" t="s">
        <v>29</v>
      </c>
      <c r="C27" s="87" t="s">
        <v>1014</v>
      </c>
      <c r="D27" s="87" t="s">
        <v>1015</v>
      </c>
      <c r="E27" s="87" t="s">
        <v>1016</v>
      </c>
      <c r="H27" s="86" t="s">
        <v>1017</v>
      </c>
      <c r="I27" s="87" t="s">
        <v>1018</v>
      </c>
      <c r="J27" s="87" t="s">
        <v>1019</v>
      </c>
      <c r="K27" s="87" t="s">
        <v>1020</v>
      </c>
    </row>
    <row r="28" customFormat="false" ht="12.75" hidden="false" customHeight="true" outlineLevel="0" collapsed="false">
      <c r="B28" s="89" t="s">
        <v>1021</v>
      </c>
      <c r="C28" s="89"/>
      <c r="D28" s="89"/>
      <c r="E28" s="89"/>
      <c r="F28" s="89"/>
      <c r="H28" s="80" t="s">
        <v>27</v>
      </c>
      <c r="I28" s="81" t="s">
        <v>1022</v>
      </c>
      <c r="J28" s="81" t="s">
        <v>1019</v>
      </c>
      <c r="K28" s="81" t="s">
        <v>1023</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1024</v>
      </c>
      <c r="C1" s="71"/>
      <c r="D1" s="71"/>
      <c r="E1" s="71"/>
      <c r="F1" s="71"/>
      <c r="G1" s="71"/>
      <c r="H1" s="71"/>
      <c r="I1" s="71"/>
      <c r="J1" s="71"/>
      <c r="K1" s="71"/>
      <c r="L1" s="71"/>
    </row>
    <row r="2" customFormat="false" ht="13.5" hidden="false" customHeight="true" outlineLevel="0" collapsed="false">
      <c r="B2" s="7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52 distinct origin strings · Colombia leads at 28% · 20 Gesha entries</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1025</v>
      </c>
      <c r="C4" s="73"/>
      <c r="D4" s="73"/>
      <c r="E4" s="73"/>
      <c r="F4" s="73"/>
      <c r="G4" s="73"/>
      <c r="H4" s="73" t="str">
        <f aca="false">"  ⭐  GESHA REGISTER  —  The Apex Varietal · "&amp;COUNTIF('Coffee Audit'!W2:W2000,"⭐ GESHA")&amp;" archive entries"</f>
        <v>  ⭐  GESHA REGISTER  —  The Apex Varietal · 20 archive entries</v>
      </c>
      <c r="I4" s="73"/>
      <c r="J4" s="73"/>
      <c r="K4" s="73"/>
      <c r="L4" s="73"/>
    </row>
    <row r="5" customFormat="false" ht="15.75" hidden="false" customHeight="true" outlineLevel="0" collapsed="false">
      <c r="B5" s="75" t="s">
        <v>5</v>
      </c>
      <c r="C5" s="75" t="s">
        <v>941</v>
      </c>
      <c r="D5" s="75" t="s">
        <v>894</v>
      </c>
      <c r="E5" s="75" t="s">
        <v>1026</v>
      </c>
      <c r="F5" s="75" t="s">
        <v>1027</v>
      </c>
      <c r="H5" s="75" t="s">
        <v>1028</v>
      </c>
      <c r="I5" s="75" t="s">
        <v>1029</v>
      </c>
    </row>
    <row r="6" customFormat="false" ht="12.75" hidden="false" customHeight="true" outlineLevel="0" collapsed="false">
      <c r="B6" s="80" t="s">
        <v>118</v>
      </c>
      <c r="C6" s="81" t="n">
        <f aca="false">COUNTIF('Coffee Audit'!F2:F2000,"*Colombia*")</f>
        <v>21</v>
      </c>
      <c r="D6" s="81" t="str">
        <f aca="false">TEXT(COUNTIF('Coffee Audit'!F2:F2000,"*Colombia*")/COUNTA('Coffee Audit'!A2:A2000),"0%")</f>
        <v>28%</v>
      </c>
      <c r="E6" s="81" t="str">
        <f aca="false">IF(SUMPRODUCT(ISNUMBER(SEARCH("Colombia",'Coffee Audit'!F2:F2000))*('Coffee Audit'!W2:W2000="⭐ GESHA"))=0,"—","⭐ ×"&amp;SUMPRODUCT(ISNUMBER(SEARCH("Colombia",'Coffee Audit'!F2:F2000))*('Coffee Audit'!W2:W2000="⭐ GESHA")))</f>
        <v>⭐ ×8</v>
      </c>
      <c r="F6" s="81" t="s">
        <v>1030</v>
      </c>
      <c r="H6" s="80" t="s">
        <v>1031</v>
      </c>
      <c r="I6" s="90" t="n">
        <f aca="false">COUNTIF('Coffee Audit'!W2:W2000,"⭐ GESHA")</f>
        <v>20</v>
      </c>
    </row>
    <row r="7" customFormat="false" ht="12.75" hidden="false" customHeight="true" outlineLevel="0" collapsed="false">
      <c r="B7" s="86" t="s">
        <v>266</v>
      </c>
      <c r="C7" s="87" t="n">
        <f aca="false">COUNTIF('Coffee Audit'!F2:F2000,"*Ethiopia*")</f>
        <v>8</v>
      </c>
      <c r="D7" s="87" t="str">
        <f aca="false">TEXT(COUNTIF('Coffee Audit'!F2:F2000,"*Ethiopia*")/COUNTA('Coffee Audit'!A2:A2000),"0%")</f>
        <v>11%</v>
      </c>
      <c r="E7" s="87" t="str">
        <f aca="false">IF(SUMPRODUCT(ISNUMBER(SEARCH("Ethiopia",'Coffee Audit'!F2:F2000))*('Coffee Audit'!W2:W2000="⭐ GESHA"))=0,"—","⭐ ×"&amp;SUMPRODUCT(ISNUMBER(SEARCH("Ethiopia",'Coffee Audit'!F2:F2000))*('Coffee Audit'!W2:W2000="⭐ GESHA")))</f>
        <v>—</v>
      </c>
      <c r="F7" s="87" t="s">
        <v>1032</v>
      </c>
      <c r="H7" s="86" t="s">
        <v>1033</v>
      </c>
      <c r="I7" s="91" t="n">
        <f aca="false">SUMPRODUCT(('Coffee Audit'!W2:W2000="⭐ GESHA")*(ISNUMBER(SEARCH("washed",'Coffee Audit'!H2:H2000))))</f>
        <v>10</v>
      </c>
    </row>
    <row r="8" customFormat="false" ht="12.75" hidden="false" customHeight="true" outlineLevel="0" collapsed="false">
      <c r="B8" s="80" t="s">
        <v>253</v>
      </c>
      <c r="C8" s="81" t="n">
        <f aca="false">COUNTIF('Coffee Audit'!F2:F2000,"*Brazil*")</f>
        <v>5</v>
      </c>
      <c r="D8" s="81" t="str">
        <f aca="false">TEXT(COUNTIF('Coffee Audit'!F2:F2000,"*Brazil*")/COUNTA('Coffee Audit'!A2:A2000),"0%")</f>
        <v>7%</v>
      </c>
      <c r="E8" s="81" t="str">
        <f aca="false">IF(SUMPRODUCT(ISNUMBER(SEARCH("Brazil",'Coffee Audit'!F2:F2000))*('Coffee Audit'!W2:W2000="⭐ GESHA"))=0,"—","⭐ ×"&amp;SUMPRODUCT(ISNUMBER(SEARCH("Brazil",'Coffee Audit'!F2:F2000))*('Coffee Audit'!W2:W2000="⭐ GESHA")))</f>
        <v>—</v>
      </c>
      <c r="F8" s="81" t="s">
        <v>1034</v>
      </c>
      <c r="H8" s="80" t="s">
        <v>1035</v>
      </c>
      <c r="I8" s="90" t="n">
        <f aca="false">SUMPRODUCT(('Coffee Audit'!W2:W2000="⭐ GESHA")*(ISNUMBER(SEARCH("honey",'Coffee Audit'!H2:H2000))))</f>
        <v>4</v>
      </c>
    </row>
    <row r="9" customFormat="false" ht="12.75" hidden="false" customHeight="true" outlineLevel="0" collapsed="false">
      <c r="B9" s="86" t="s">
        <v>98</v>
      </c>
      <c r="C9" s="87" t="n">
        <f aca="false">COUNTIF('Coffee Audit'!F2:F2000,"*Honduras*")</f>
        <v>3</v>
      </c>
      <c r="D9" s="87" t="str">
        <f aca="false">TEXT(COUNTIF('Coffee Audit'!F2:F2000,"*Honduras*")/COUNTA('Coffee Audit'!A2:A2000),"0%")</f>
        <v>4%</v>
      </c>
      <c r="E9" s="87" t="str">
        <f aca="false">IF(SUMPRODUCT(ISNUMBER(SEARCH("Honduras",'Coffee Audit'!F2:F2000))*('Coffee Audit'!W2:W2000="⭐ GESHA"))=0,"—","⭐ ×"&amp;SUMPRODUCT(ISNUMBER(SEARCH("Honduras",'Coffee Audit'!F2:F2000))*('Coffee Audit'!W2:W2000="⭐ GESHA")))</f>
        <v>—</v>
      </c>
      <c r="F9" s="87" t="s">
        <v>905</v>
      </c>
      <c r="H9" s="86" t="s">
        <v>1036</v>
      </c>
      <c r="I9" s="91" t="n">
        <f aca="false">SUMPRODUCT(('Coffee Audit'!W2:W2000="⭐ GESHA")*(ISNUMBER(SEARCH("natural",'Coffee Audit'!H2:H2000))))</f>
        <v>6</v>
      </c>
    </row>
    <row r="10" customFormat="false" ht="12.75" hidden="false" customHeight="true" outlineLevel="0" collapsed="false">
      <c r="B10" s="80" t="s">
        <v>903</v>
      </c>
      <c r="C10" s="81" t="n">
        <f aca="false">COUNTIF('Coffee Audit'!F2:F2000,"*Indonesia*")</f>
        <v>3</v>
      </c>
      <c r="D10" s="81" t="str">
        <f aca="false">TEXT(COUNTIF('Coffee Audit'!F2:F2000,"*Indonesia*")/COUNTA('Coffee Audit'!A2:A2000),"0%")</f>
        <v>4%</v>
      </c>
      <c r="E10" s="81" t="str">
        <f aca="false">IF(SUMPRODUCT(ISNUMBER(SEARCH("Indonesia",'Coffee Audit'!F2:F2000))*('Coffee Audit'!W2:W2000="⭐ GESHA"))=0,"—","⭐ ×"&amp;SUMPRODUCT(ISNUMBER(SEARCH("Indonesia",'Coffee Audit'!F2:F2000))*('Coffee Audit'!W2:W2000="⭐ GESHA")))</f>
        <v>—</v>
      </c>
      <c r="F10" s="81" t="s">
        <v>1037</v>
      </c>
      <c r="H10" s="80" t="s">
        <v>1038</v>
      </c>
      <c r="I10" s="90" t="str">
        <f aca="false">"S$"&amp;TEXT(AVERAGEIFS('Coffee Audit'!Q2:Q2000,'Coffee Audit'!W2:W2000,"⭐ GESHA",'Coffee Audit'!Q2:Q2000,"&gt;0"),"0.00")</f>
        <v>S$16.92</v>
      </c>
    </row>
    <row r="11" customFormat="false" ht="12.75" hidden="false" customHeight="true" outlineLevel="0" collapsed="false">
      <c r="B11" s="86" t="s">
        <v>639</v>
      </c>
      <c r="C11" s="87" t="n">
        <f aca="false">COUNTIF('Coffee Audit'!F2:F2000,"*Peru*")</f>
        <v>6</v>
      </c>
      <c r="D11" s="87" t="str">
        <f aca="false">TEXT(COUNTIF('Coffee Audit'!F2:F2000,"*Peru*")/COUNTA('Coffee Audit'!A2:A2000),"0%")</f>
        <v>8%</v>
      </c>
      <c r="E11" s="87" t="str">
        <f aca="false">IF(SUMPRODUCT(ISNUMBER(SEARCH("Peru",'Coffee Audit'!F2:F2000))*('Coffee Audit'!W2:W2000="⭐ GESHA"))=0,"—","⭐ ×"&amp;SUMPRODUCT(ISNUMBER(SEARCH("Peru",'Coffee Audit'!F2:F2000))*('Coffee Audit'!W2:W2000="⭐ GESHA")))</f>
        <v>⭐ ×5</v>
      </c>
      <c r="F11" s="87" t="s">
        <v>1039</v>
      </c>
      <c r="H11" s="86" t="s">
        <v>1040</v>
      </c>
      <c r="I11" s="91" t="str">
        <f aca="false">"S$"&amp;TEXT(AVERAGEIFS('Coffee Audit'!Q2:Q2000,'Coffee Audit'!W2:W2000,"&lt;&gt;⭐ GESHA",'Coffee Audit'!Q2:Q2000,"&gt;0"),"0.00")</f>
        <v>S$9.59</v>
      </c>
    </row>
    <row r="12" customFormat="false" ht="12.75" hidden="false" customHeight="true" outlineLevel="0" collapsed="false">
      <c r="B12" s="80" t="s">
        <v>127</v>
      </c>
      <c r="C12" s="81" t="n">
        <f aca="false">COUNTIF('Coffee Audit'!F2:F2000,"*Kenya*")</f>
        <v>4</v>
      </c>
      <c r="D12" s="81" t="str">
        <f aca="false">TEXT(COUNTIF('Coffee Audit'!F2:F2000,"*Kenya*")/COUNTA('Coffee Audit'!A2:A2000),"0%")</f>
        <v>5%</v>
      </c>
      <c r="E12" s="81" t="str">
        <f aca="false">IF(SUMPRODUCT(ISNUMBER(SEARCH("Kenya",'Coffee Audit'!F2:F2000))*('Coffee Audit'!W2:W2000="⭐ GESHA"))=0,"—","⭐ ×"&amp;SUMPRODUCT(ISNUMBER(SEARCH("Kenya",'Coffee Audit'!F2:F2000))*('Coffee Audit'!W2:W2000="⭐ GESHA")))</f>
        <v>—</v>
      </c>
      <c r="F12" s="81" t="s">
        <v>900</v>
      </c>
      <c r="H12" s="80" t="s">
        <v>1041</v>
      </c>
      <c r="I12" s="90" t="str">
        <f aca="false">"+"&amp;TEXT(AVERAGEIFS('Coffee Audit'!Q2:Q2000,'Coffee Audit'!W2:W2000,"⭐ GESHA",'Coffee Audit'!Q2:Q2000,"&gt;0")/AVERAGEIFS('Coffee Audit'!Q2:Q2000,'Coffee Audit'!W2:W2000,"&lt;&gt;⭐ GESHA",'Coffee Audit'!Q2:Q2000,"&gt;0")-1,"0%")</f>
        <v>+76%</v>
      </c>
    </row>
    <row r="13" customFormat="false" ht="12.75" hidden="false" customHeight="true" outlineLevel="0" collapsed="false">
      <c r="B13" s="86" t="s">
        <v>694</v>
      </c>
      <c r="C13" s="87" t="n">
        <f aca="false">COUNTIF('Coffee Audit'!F2:F2000,"*Panama*")</f>
        <v>5</v>
      </c>
      <c r="D13" s="87" t="str">
        <f aca="false">TEXT(COUNTIF('Coffee Audit'!F2:F2000,"*Panama*")/COUNTA('Coffee Audit'!A2:A2000),"0%")</f>
        <v>7%</v>
      </c>
      <c r="E13" s="87" t="str">
        <f aca="false">IF(SUMPRODUCT(ISNUMBER(SEARCH("Panama",'Coffee Audit'!F2:F2000))*('Coffee Audit'!W2:W2000="⭐ GESHA"))=0,"—","⭐ ×"&amp;SUMPRODUCT(ISNUMBER(SEARCH("Panama",'Coffee Audit'!F2:F2000))*('Coffee Audit'!W2:W2000="⭐ GESHA")))</f>
        <v>⭐ ×5</v>
      </c>
      <c r="F13" s="87" t="s">
        <v>1042</v>
      </c>
      <c r="H13" s="86" t="s">
        <v>1043</v>
      </c>
      <c r="I13" s="91" t="s">
        <v>1044</v>
      </c>
    </row>
    <row r="14" customFormat="false" ht="12.75" hidden="false" customHeight="true" outlineLevel="0" collapsed="false">
      <c r="B14" s="80" t="s">
        <v>135</v>
      </c>
      <c r="C14" s="81" t="n">
        <f aca="false">COUNTIF('Coffee Audit'!F2:F2000,"*Nicaragua*")</f>
        <v>2</v>
      </c>
      <c r="D14" s="81" t="str">
        <f aca="false">TEXT(COUNTIF('Coffee Audit'!F2:F2000,"*Nicaragua*")/COUNTA('Coffee Audit'!A2:A2000),"0%")</f>
        <v>3%</v>
      </c>
      <c r="E14" s="81" t="str">
        <f aca="false">IF(SUMPRODUCT(ISNUMBER(SEARCH("Nicaragua",'Coffee Audit'!F2:F2000))*('Coffee Audit'!W2:W2000="⭐ GESHA"))=0,"—","⭐ ×"&amp;SUMPRODUCT(ISNUMBER(SEARCH("Nicaragua",'Coffee Audit'!F2:F2000))*('Coffee Audit'!W2:W2000="⭐ GESHA")))</f>
        <v>—</v>
      </c>
      <c r="F14" s="81" t="s">
        <v>1045</v>
      </c>
      <c r="H14" s="80" t="s">
        <v>1046</v>
      </c>
      <c r="I14" s="9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86" t="s">
        <v>543</v>
      </c>
      <c r="C15" s="87" t="n">
        <f aca="false">COUNTIF('Coffee Audit'!F2:F2000,"*Bolivia*")</f>
        <v>2</v>
      </c>
      <c r="D15" s="87" t="str">
        <f aca="false">TEXT(COUNTIF('Coffee Audit'!F2:F2000,"*Bolivia*")/COUNTA('Coffee Audit'!A2:A2000),"0%")</f>
        <v>3%</v>
      </c>
      <c r="E15" s="87" t="str">
        <f aca="false">IF(SUMPRODUCT(ISNUMBER(SEARCH("Bolivia",'Coffee Audit'!F2:F2000))*('Coffee Audit'!W2:W2000="⭐ GESHA"))=0,"—","⭐ ×"&amp;SUMPRODUCT(ISNUMBER(SEARCH("Bolivia",'Coffee Audit'!F2:F2000))*('Coffee Audit'!W2:W2000="⭐ GESHA")))</f>
        <v>—</v>
      </c>
      <c r="F15" s="87" t="s">
        <v>1047</v>
      </c>
      <c r="H15" s="86" t="s">
        <v>1048</v>
      </c>
      <c r="I15" s="9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S$9.50 — Peru Wilder Garcia (Apartment (Selegie Rd))</v>
      </c>
    </row>
    <row r="16" customFormat="false" ht="12.75" hidden="false" customHeight="true" outlineLevel="0" collapsed="false">
      <c r="B16" s="80" t="s">
        <v>1049</v>
      </c>
      <c r="C16" s="81" t="n">
        <f aca="false">COUNTIF('Coffee Audit'!F2:F2000,"*Ecuador*")</f>
        <v>1</v>
      </c>
      <c r="D16" s="81" t="str">
        <f aca="false">TEXT(COUNTIF('Coffee Audit'!F2:F2000,"*Ecuador*")/COUNTA('Coffee Audit'!A2:A2000),"0%")</f>
        <v>1%</v>
      </c>
      <c r="E16" s="81" t="str">
        <f aca="false">IF(SUMPRODUCT(ISNUMBER(SEARCH("Ecuador",'Coffee Audit'!F2:F2000))*('Coffee Audit'!W2:W2000="⭐ GESHA"))=0,"—","⭐ ×"&amp;SUMPRODUCT(ISNUMBER(SEARCH("Ecuador",'Coffee Audit'!F2:F2000))*('Coffee Audit'!W2:W2000="⭐ GESHA")))</f>
        <v>⭐ ×1</v>
      </c>
      <c r="F16" s="81" t="s">
        <v>1050</v>
      </c>
      <c r="H16" s="80" t="s">
        <v>1051</v>
      </c>
      <c r="I16" s="90" t="s">
        <v>1052</v>
      </c>
    </row>
    <row r="17" customFormat="false" ht="12.75" hidden="false" customHeight="true" outlineLevel="0" collapsed="false">
      <c r="B17" s="86" t="s">
        <v>73</v>
      </c>
      <c r="C17" s="87" t="n">
        <f aca="false">COUNTIF('Coffee Audit'!F2:F2000,"*India*")</f>
        <v>3</v>
      </c>
      <c r="D17" s="87" t="str">
        <f aca="false">TEXT(COUNTIF('Coffee Audit'!F2:F2000,"*India*")/COUNTA('Coffee Audit'!A2:A2000),"0%")</f>
        <v>4%</v>
      </c>
      <c r="E17" s="87" t="str">
        <f aca="false">IF(SUMPRODUCT(ISNUMBER(SEARCH("India",'Coffee Audit'!F2:F2000))*('Coffee Audit'!W2:W2000="⭐ GESHA"))=0,"—","⭐ ×"&amp;SUMPRODUCT(ISNUMBER(SEARCH("India",'Coffee Audit'!F2:F2000))*('Coffee Audit'!W2:W2000="⭐ GESHA")))</f>
        <v>—</v>
      </c>
      <c r="F17" s="87" t="s">
        <v>1053</v>
      </c>
    </row>
    <row r="18" customFormat="false" ht="12.75" hidden="false" customHeight="true" outlineLevel="0" collapsed="false">
      <c r="B18" s="80" t="s">
        <v>1054</v>
      </c>
      <c r="C18" s="81" t="n">
        <f aca="false">COUNTIF('Coffee Audit'!F2:F2000,"*Malaysia*")</f>
        <v>1</v>
      </c>
      <c r="D18" s="81" t="str">
        <f aca="false">TEXT(COUNTIF('Coffee Audit'!F2:F2000,"*Malaysia*")/COUNTA('Coffee Audit'!A2:A2000),"0%")</f>
        <v>1%</v>
      </c>
      <c r="E18" s="81" t="str">
        <f aca="false">IF(SUMPRODUCT(ISNUMBER(SEARCH("Malaysia",'Coffee Audit'!F2:F2000))*('Coffee Audit'!W2:W2000="⭐ GESHA"))=0,"—","⭐ ×"&amp;SUMPRODUCT(ISNUMBER(SEARCH("Malaysia",'Coffee Audit'!F2:F2000))*('Coffee Audit'!W2:W2000="⭐ GESHA")))</f>
        <v>—</v>
      </c>
      <c r="F18" s="81" t="s">
        <v>1055</v>
      </c>
    </row>
    <row r="19" customFormat="false" ht="12.75" hidden="false" customHeight="true" outlineLevel="0" collapsed="false">
      <c r="B19" s="86" t="s">
        <v>1056</v>
      </c>
      <c r="C19" s="87" t="n">
        <f aca="false">COUNTIF('Coffee Audit'!F2:F2000,"*China*")</f>
        <v>1</v>
      </c>
      <c r="D19" s="87" t="str">
        <f aca="false">TEXT(COUNTIF('Coffee Audit'!F2:F2000,"*China*")/COUNTA('Coffee Audit'!A2:A2000),"0%")</f>
        <v>1%</v>
      </c>
      <c r="E19" s="87" t="str">
        <f aca="false">IF(SUMPRODUCT(ISNUMBER(SEARCH("China",'Coffee Audit'!F2:F2000))*('Coffee Audit'!W2:W2000="⭐ GESHA"))=0,"—","⭐ ×"&amp;SUMPRODUCT(ISNUMBER(SEARCH("China",'Coffee Audit'!F2:F2000))*('Coffee Audit'!W2:W2000="⭐ GESHA")))</f>
        <v>—</v>
      </c>
      <c r="F19" s="87" t="s">
        <v>1057</v>
      </c>
    </row>
    <row r="20" customFormat="false" ht="12.75" hidden="false" customHeight="true" outlineLevel="0" collapsed="false">
      <c r="B20" s="80" t="s">
        <v>395</v>
      </c>
      <c r="C20" s="81" t="n">
        <f aca="false">COUNTIF('Coffee Audit'!F2:F2000,"*Rwanda*")</f>
        <v>2</v>
      </c>
      <c r="D20" s="81" t="str">
        <f aca="false">TEXT(COUNTIF('Coffee Audit'!F2:F2000,"*Rwanda*")/COUNTA('Coffee Audit'!A2:A2000),"0%")</f>
        <v>3%</v>
      </c>
      <c r="E20" s="81" t="str">
        <f aca="false">IF(SUMPRODUCT(ISNUMBER(SEARCH("Rwanda",'Coffee Audit'!F2:F2000))*('Coffee Audit'!W2:W2000="⭐ GESHA"))=0,"—","⭐ ×"&amp;SUMPRODUCT(ISNUMBER(SEARCH("Rwanda",'Coffee Audit'!F2:F2000))*('Coffee Audit'!W2:W2000="⭐ GESHA")))</f>
        <v>—</v>
      </c>
      <c r="F20" s="81" t="s">
        <v>1058</v>
      </c>
    </row>
    <row r="21" customFormat="false" ht="12.75" hidden="false" customHeight="true" outlineLevel="0" collapsed="false">
      <c r="B21" s="86" t="s">
        <v>1059</v>
      </c>
      <c r="C21" s="87" t="n">
        <f aca="false">COUNTIF('Coffee Audit'!F2:F2000,"*Myanmar*")</f>
        <v>1</v>
      </c>
      <c r="D21" s="87" t="str">
        <f aca="false">TEXT(COUNTIF('Coffee Audit'!F2:F2000,"*Myanmar*")/COUNTA('Coffee Audit'!A2:A2000),"0%")</f>
        <v>1%</v>
      </c>
      <c r="E21" s="87" t="str">
        <f aca="false">IF(SUMPRODUCT(ISNUMBER(SEARCH("Myanmar",'Coffee Audit'!F2:F2000))*('Coffee Audit'!W2:W2000="⭐ GESHA"))=0,"—","⭐ ×"&amp;SUMPRODUCT(ISNUMBER(SEARCH("Myanmar",'Coffee Audit'!F2:F2000))*('Coffee Audit'!W2:W2000="⭐ GESHA")))</f>
        <v>—</v>
      </c>
      <c r="F21" s="87" t="s">
        <v>1060</v>
      </c>
    </row>
    <row r="22" customFormat="false" ht="12.75" hidden="false" customHeight="true" outlineLevel="0" collapsed="false">
      <c r="B22" s="80" t="s">
        <v>90</v>
      </c>
      <c r="C22" s="81" t="n">
        <f aca="false">COUNTIF('Coffee Audit'!F2:F2000,"*El Salvador*")</f>
        <v>1</v>
      </c>
      <c r="D22" s="81" t="str">
        <f aca="false">TEXT(COUNTIF('Coffee Audit'!F2:F2000,"*El Salvador*")/COUNTA('Coffee Audit'!A2:A2000),"0%")</f>
        <v>1%</v>
      </c>
      <c r="E22" s="81" t="str">
        <f aca="false">IF(SUMPRODUCT(ISNUMBER(SEARCH("El Salvador",'Coffee Audit'!F2:F2000))*('Coffee Audit'!W2:W2000="⭐ GESHA"))=0,"—","⭐ ×"&amp;SUMPRODUCT(ISNUMBER(SEARCH("El Salvador",'Coffee Audit'!F2:F2000))*('Coffee Audit'!W2:W2000="⭐ GESHA")))</f>
        <v>—</v>
      </c>
      <c r="F22" s="81" t="s">
        <v>1061</v>
      </c>
    </row>
    <row r="23" customFormat="false" ht="12.75" hidden="false" customHeight="true" outlineLevel="0" collapsed="false">
      <c r="B23" s="55" t="s">
        <v>906</v>
      </c>
      <c r="C23" s="46" t="n">
        <f aca="false">COUNTIF('Coffee Audit'!F2:F2000,"*Thailand*")</f>
        <v>2</v>
      </c>
      <c r="D23" s="46" t="str">
        <f aca="false">TEXT(COUNTIF('Coffee Audit'!F2:F2000,"*Thailand*")/COUNTA('Coffee Audit'!A2:A2000),"0%")</f>
        <v>3%</v>
      </c>
      <c r="E23" s="46" t="str">
        <f aca="false">IF(SUMPRODUCT(ISNUMBER(SEARCH("Thailand",'Coffee Audit'!F2:F2000))*('Coffee Audit'!W2:W2000="⭐ GESHA"))=0,"—","⭐ ×"&amp;SUMPRODUCT(ISNUMBER(SEARCH("Thailand",'Coffee Audit'!F2:F2000))*('Coffee Audit'!W2:W2000="⭐ GESHA")))</f>
        <v>⭐ ×1</v>
      </c>
      <c r="F23" s="92" t="s">
        <v>1062</v>
      </c>
    </row>
    <row r="24" customFormat="false" ht="12.75" hidden="false" customHeight="true" outlineLevel="0" collapsed="false">
      <c r="B24" s="55" t="s">
        <v>908</v>
      </c>
      <c r="C24" s="46" t="n">
        <f aca="false">COUNTIF('Coffee Audit'!F2:F2000,"*Guatemala*")</f>
        <v>1</v>
      </c>
      <c r="D24" s="46" t="str">
        <f aca="false">TEXT(COUNTIF('Coffee Audit'!F2:F2000,"*Guatemala*")/COUNTA('Coffee Audit'!A2:A2000),"0%")</f>
        <v>1%</v>
      </c>
      <c r="E24" s="46" t="str">
        <f aca="false">IF(SUMPRODUCT(ISNUMBER(SEARCH("Guatemala",'Coffee Audit'!F2:F2000))*('Coffee Audit'!W2:W2000="⭐ GESHA"))=0,"—","⭐ ×"&amp;SUMPRODUCT(ISNUMBER(SEARCH("Guatemala",'Coffee Audit'!F2:F2000))*('Coffee Audit'!W2:W2000="⭐ GESHA")))</f>
        <v>—</v>
      </c>
      <c r="F24" s="92" t="s">
        <v>909</v>
      </c>
    </row>
    <row r="25" customFormat="false" ht="15.75" hidden="false" customHeight="true" outlineLevel="0" collapsed="false"/>
    <row r="26" customFormat="false" ht="12.75" hidden="false" customHeight="true" outlineLevel="0" collapsed="false">
      <c r="B26" s="93" t="s">
        <v>1063</v>
      </c>
    </row>
    <row r="27" customFormat="false" ht="12.75" hidden="false" customHeight="true" outlineLevel="0" collapsed="false">
      <c r="B27" s="75" t="s">
        <v>6</v>
      </c>
      <c r="C27" s="75" t="s">
        <v>987</v>
      </c>
      <c r="D27" s="75" t="s">
        <v>1064</v>
      </c>
      <c r="E27" s="75" t="s">
        <v>1065</v>
      </c>
      <c r="F27" s="75" t="s">
        <v>1066</v>
      </c>
    </row>
    <row r="28" customFormat="false" ht="12.75" hidden="false" customHeight="true" outlineLevel="0" collapsed="false">
      <c r="B28" s="94" t="s">
        <v>1067</v>
      </c>
      <c r="C28" s="95" t="s">
        <v>1068</v>
      </c>
      <c r="D28" s="95" t="s">
        <v>1069</v>
      </c>
      <c r="E28" s="95" t="s">
        <v>1070</v>
      </c>
      <c r="F28" s="95" t="str">
        <f aca="false">"Apex varietal · "&amp;COUNTIF('Coffee Audit'!W2:W2000,"⭐ GESHA")&amp;" entries"</f>
        <v>Apex varietal · 20 entries</v>
      </c>
    </row>
    <row r="29" customFormat="false" ht="12.75" hidden="false" customHeight="true" outlineLevel="0" collapsed="false">
      <c r="B29" s="94" t="s">
        <v>91</v>
      </c>
      <c r="C29" s="95" t="s">
        <v>1068</v>
      </c>
      <c r="D29" s="95" t="s">
        <v>1071</v>
      </c>
      <c r="E29" s="95" t="s">
        <v>1072</v>
      </c>
      <c r="F29" s="95" t="s">
        <v>1073</v>
      </c>
    </row>
    <row r="30" customFormat="false" ht="12.75" hidden="false" customHeight="true" outlineLevel="0" collapsed="false">
      <c r="B30" s="94" t="s">
        <v>661</v>
      </c>
      <c r="C30" s="95" t="s">
        <v>1068</v>
      </c>
      <c r="D30" s="95" t="s">
        <v>1074</v>
      </c>
      <c r="E30" s="95" t="s">
        <v>662</v>
      </c>
      <c r="F30" s="95" t="s">
        <v>1075</v>
      </c>
    </row>
    <row r="31" customFormat="false" ht="12.75" hidden="false" customHeight="true" outlineLevel="0" collapsed="false">
      <c r="B31" s="94" t="s">
        <v>183</v>
      </c>
      <c r="C31" s="95" t="s">
        <v>1068</v>
      </c>
      <c r="D31" s="95" t="s">
        <v>1076</v>
      </c>
      <c r="E31" s="95" t="s">
        <v>58</v>
      </c>
      <c r="F31" s="95" t="s">
        <v>1077</v>
      </c>
    </row>
    <row r="32" customFormat="false" ht="12.75" hidden="false" customHeight="true" outlineLevel="0" collapsed="false">
      <c r="B32" s="94" t="s">
        <v>530</v>
      </c>
      <c r="C32" s="95" t="s">
        <v>1068</v>
      </c>
      <c r="D32" s="95" t="s">
        <v>1078</v>
      </c>
      <c r="E32" s="95" t="s">
        <v>58</v>
      </c>
      <c r="F32" s="95" t="s">
        <v>1079</v>
      </c>
    </row>
    <row r="33" customFormat="false" ht="12.75" hidden="false" customHeight="true" outlineLevel="0" collapsed="false">
      <c r="B33" s="94" t="s">
        <v>119</v>
      </c>
      <c r="C33" s="95" t="s">
        <v>1068</v>
      </c>
      <c r="D33" s="95" t="s">
        <v>1080</v>
      </c>
      <c r="E33" s="95" t="s">
        <v>58</v>
      </c>
      <c r="F33" s="95" t="s">
        <v>1081</v>
      </c>
    </row>
    <row r="34" customFormat="false" ht="12.75" hidden="false" customHeight="true" outlineLevel="0" collapsed="false">
      <c r="B34" s="94" t="s">
        <v>316</v>
      </c>
      <c r="C34" s="95" t="s">
        <v>1068</v>
      </c>
      <c r="D34" s="95" t="s">
        <v>1082</v>
      </c>
      <c r="E34" s="95" t="s">
        <v>74</v>
      </c>
      <c r="F34" s="95" t="s">
        <v>1083</v>
      </c>
    </row>
    <row r="35" customFormat="false" ht="12.75" hidden="false" customHeight="true" outlineLevel="0" collapsed="false">
      <c r="B35" s="94" t="s">
        <v>373</v>
      </c>
      <c r="C35" s="95" t="s">
        <v>1068</v>
      </c>
      <c r="D35" s="95" t="s">
        <v>1084</v>
      </c>
      <c r="E35" s="95" t="s">
        <v>374</v>
      </c>
      <c r="F35" s="95" t="s">
        <v>1085</v>
      </c>
    </row>
    <row r="36" customFormat="false" ht="12.75" hidden="false" customHeight="true" outlineLevel="0" collapsed="false">
      <c r="B36" s="94" t="s">
        <v>1086</v>
      </c>
      <c r="C36" s="95" t="s">
        <v>1068</v>
      </c>
      <c r="D36" s="95" t="s">
        <v>1087</v>
      </c>
      <c r="E36" s="95" t="s">
        <v>1088</v>
      </c>
      <c r="F36" s="95" t="s">
        <v>1089</v>
      </c>
    </row>
    <row r="37" customFormat="false" ht="12.75" hidden="false" customHeight="true" outlineLevel="0" collapsed="false">
      <c r="B37" s="94" t="s">
        <v>472</v>
      </c>
      <c r="C37" s="95" t="s">
        <v>1068</v>
      </c>
      <c r="D37" s="95" t="s">
        <v>1090</v>
      </c>
      <c r="E37" s="95" t="s">
        <v>473</v>
      </c>
      <c r="F37" s="95" t="s">
        <v>1091</v>
      </c>
    </row>
    <row r="38" customFormat="false" ht="12.75" hidden="false" customHeight="true" outlineLevel="0" collapsed="false">
      <c r="B38" s="94" t="s">
        <v>230</v>
      </c>
      <c r="C38" s="95" t="s">
        <v>1068</v>
      </c>
      <c r="D38" s="95" t="s">
        <v>1092</v>
      </c>
      <c r="E38" s="95" t="s">
        <v>231</v>
      </c>
      <c r="F38" s="95" t="s">
        <v>1093</v>
      </c>
    </row>
    <row r="39" customFormat="false" ht="12.75" hidden="false" customHeight="true" outlineLevel="0" collapsed="false">
      <c r="B39" s="96" t="s">
        <v>1094</v>
      </c>
      <c r="C39" s="97" t="s">
        <v>1095</v>
      </c>
      <c r="D39" s="97" t="s">
        <v>1019</v>
      </c>
      <c r="E39" s="97" t="s">
        <v>1019</v>
      </c>
      <c r="F39" s="97" t="s">
        <v>1096</v>
      </c>
    </row>
    <row r="40" customFormat="false" ht="20.25" hidden="false" customHeight="true" outlineLevel="0" collapsed="false">
      <c r="B40" s="96" t="s">
        <v>1097</v>
      </c>
      <c r="C40" s="97" t="s">
        <v>1095</v>
      </c>
      <c r="D40" s="97" t="s">
        <v>1019</v>
      </c>
      <c r="E40" s="97" t="s">
        <v>1019</v>
      </c>
      <c r="F40" s="97" t="s">
        <v>1098</v>
      </c>
    </row>
    <row r="41" customFormat="false" ht="15" hidden="false" customHeight="true" outlineLevel="0" collapsed="false">
      <c r="B41" s="96" t="s">
        <v>1099</v>
      </c>
      <c r="C41" s="97" t="s">
        <v>1095</v>
      </c>
      <c r="D41" s="97" t="s">
        <v>1019</v>
      </c>
      <c r="E41" s="97" t="s">
        <v>1019</v>
      </c>
      <c r="F41" s="97" t="s">
        <v>1100</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1" t="s">
        <v>1101</v>
      </c>
      <c r="C1" s="71"/>
      <c r="D1" s="71"/>
      <c r="E1" s="71"/>
      <c r="F1" s="71"/>
      <c r="G1" s="71"/>
      <c r="H1" s="71"/>
      <c r="I1" s="71"/>
      <c r="J1" s="71"/>
      <c r="K1" s="71"/>
    </row>
    <row r="2" customFormat="false" ht="13.5" hidden="false" customHeight="true" outlineLevel="0" collapsed="false">
      <c r="B2" s="72" t="str">
        <f aca="false">"Flat burrs · flat beds · the physics of clarity   ·   measured live across "&amp;COUNTA('Coffee Audit'!A2:A2000)&amp;" field audits"</f>
        <v>Flat burrs · flat beds · the physics of clarity   ·   measured live across 75 field audits</v>
      </c>
      <c r="C2" s="72"/>
      <c r="D2" s="72"/>
      <c r="E2" s="72"/>
      <c r="F2" s="72"/>
      <c r="G2" s="72"/>
      <c r="H2" s="72"/>
      <c r="I2" s="72"/>
      <c r="J2" s="72"/>
      <c r="K2" s="72"/>
    </row>
    <row r="3" customFormat="false" ht="6" hidden="false" customHeight="true" outlineLevel="0" collapsed="false"/>
    <row r="4" customFormat="false" ht="15.75" hidden="false" customHeight="true" outlineLevel="0" collapsed="false">
      <c r="B4" s="73" t="s">
        <v>1102</v>
      </c>
      <c r="C4" s="73"/>
      <c r="D4" s="73"/>
      <c r="E4" s="73"/>
      <c r="F4" s="73"/>
      <c r="G4" s="73"/>
      <c r="H4" s="73"/>
      <c r="I4" s="73"/>
      <c r="J4" s="73"/>
      <c r="K4" s="73"/>
    </row>
    <row r="5" customFormat="false" ht="15.75" hidden="false" customHeight="true" outlineLevel="0" collapsed="false">
      <c r="B5" s="75" t="s">
        <v>1103</v>
      </c>
      <c r="C5" s="75" t="s">
        <v>941</v>
      </c>
      <c r="D5" s="75" t="s">
        <v>1104</v>
      </c>
      <c r="E5" s="75" t="s">
        <v>1105</v>
      </c>
      <c r="F5" s="75" t="s">
        <v>1106</v>
      </c>
    </row>
    <row r="6" customFormat="false" ht="12.75" hidden="false" customHeight="true" outlineLevel="0" collapsed="false">
      <c r="B6" s="80" t="s">
        <v>1107</v>
      </c>
      <c r="C6" s="81" t="n">
        <f aca="false">COUNTIF('Coffee Audit'!P2:P2000,"*P80*")</f>
        <v>2</v>
      </c>
      <c r="D6" s="81" t="s">
        <v>1108</v>
      </c>
      <c r="E6" s="81" t="s">
        <v>1109</v>
      </c>
      <c r="F6" s="81" t="s">
        <v>1110</v>
      </c>
    </row>
    <row r="7" customFormat="false" ht="12.75" hidden="false" customHeight="true" outlineLevel="0" collapsed="false">
      <c r="B7" s="86" t="s">
        <v>174</v>
      </c>
      <c r="C7" s="87" t="n">
        <f aca="false">COUNTIF('Coffee Audit'!P2:P2000,"*P64*")</f>
        <v>10</v>
      </c>
      <c r="D7" s="87" t="s">
        <v>1111</v>
      </c>
      <c r="E7" s="87" t="s">
        <v>1112</v>
      </c>
      <c r="F7" s="87" t="s">
        <v>1113</v>
      </c>
    </row>
    <row r="8" customFormat="false" ht="12.75" hidden="false" customHeight="true" outlineLevel="0" collapsed="false">
      <c r="B8" s="80" t="s">
        <v>1114</v>
      </c>
      <c r="C8" s="81" t="n">
        <f aca="false">COUNTIF('Coffee Audit'!P2:P2000,"*EK43*")</f>
        <v>25</v>
      </c>
      <c r="D8" s="81" t="s">
        <v>1115</v>
      </c>
      <c r="E8" s="81" t="s">
        <v>1116</v>
      </c>
      <c r="F8" s="81" t="s">
        <v>1117</v>
      </c>
    </row>
    <row r="9" customFormat="false" ht="12.75" hidden="false" customHeight="true" outlineLevel="0" collapsed="false">
      <c r="B9" s="86" t="s">
        <v>235</v>
      </c>
      <c r="C9" s="87" t="n">
        <f aca="false">COUNTIF('Coffee Audit'!P2:P2000,"*Omnia*")</f>
        <v>5</v>
      </c>
      <c r="D9" s="87" t="s">
        <v>1115</v>
      </c>
      <c r="E9" s="87" t="s">
        <v>1118</v>
      </c>
      <c r="F9" s="87" t="s">
        <v>1119</v>
      </c>
    </row>
    <row r="10" customFormat="false" ht="12.75" hidden="false" customHeight="true" outlineLevel="0" collapsed="false">
      <c r="B10" s="80" t="s">
        <v>1120</v>
      </c>
      <c r="C10" s="81" t="n">
        <f aca="false">COUNTIF('Coffee Audit'!P2:P2000,"*Ditting*")</f>
        <v>5</v>
      </c>
      <c r="D10" s="81" t="s">
        <v>1121</v>
      </c>
      <c r="E10" s="81" t="s">
        <v>1122</v>
      </c>
      <c r="F10" s="81" t="s">
        <v>1123</v>
      </c>
    </row>
    <row r="11" customFormat="false" ht="12.75" hidden="false" customHeight="true" outlineLevel="0" collapsed="false">
      <c r="B11" s="86" t="s">
        <v>1124</v>
      </c>
      <c r="C11" s="87" t="n">
        <f aca="false">COUNTIF('Coffee Audit'!P2:P2000,"*DF83*")</f>
        <v>2</v>
      </c>
      <c r="D11" s="87" t="s">
        <v>1125</v>
      </c>
      <c r="E11" s="87" t="s">
        <v>1126</v>
      </c>
      <c r="F11" s="87" t="s">
        <v>370</v>
      </c>
    </row>
    <row r="12" customFormat="false" ht="12.75" hidden="false" customHeight="true" outlineLevel="0" collapsed="false">
      <c r="B12" s="80" t="s">
        <v>222</v>
      </c>
      <c r="C12" s="81" t="n">
        <f aca="false">COUNTIF('Coffee Audit'!P2:P2000,"*Sculptor*")</f>
        <v>2</v>
      </c>
      <c r="D12" s="81" t="s">
        <v>1127</v>
      </c>
      <c r="E12" s="81" t="s">
        <v>1128</v>
      </c>
      <c r="F12" s="81" t="s">
        <v>1129</v>
      </c>
    </row>
    <row r="13" customFormat="false" ht="12.75" hidden="false" customHeight="true" outlineLevel="0" collapsed="false">
      <c r="B13" s="86" t="s">
        <v>1130</v>
      </c>
      <c r="C13" s="87" t="n">
        <f aca="false">COUNTIF('Coffee Audit'!P2:P2000,"*FM 120*")</f>
        <v>0</v>
      </c>
      <c r="D13" s="87" t="s">
        <v>1131</v>
      </c>
      <c r="E13" s="87" t="s">
        <v>1132</v>
      </c>
      <c r="F13" s="87" t="s">
        <v>1133</v>
      </c>
    </row>
    <row r="14" customFormat="false" ht="12.75" hidden="false" customHeight="true" outlineLevel="0" collapsed="false">
      <c r="B14" s="80" t="s">
        <v>1134</v>
      </c>
      <c r="C14" s="81" t="n">
        <f aca="false">COUNTIF('Coffee Audit'!P2:P2000,"*Mazzer*")</f>
        <v>1</v>
      </c>
      <c r="D14" s="81" t="s">
        <v>1125</v>
      </c>
      <c r="E14" s="81" t="s">
        <v>1135</v>
      </c>
      <c r="F14" s="81" t="s">
        <v>456</v>
      </c>
    </row>
    <row r="15" customFormat="false" ht="12.75" hidden="false" customHeight="true" outlineLevel="0" collapsed="false">
      <c r="B15" s="86" t="s">
        <v>1136</v>
      </c>
      <c r="C15" s="87" t="n">
        <f aca="false">COUNTIF('Coffee Audit'!P2:P2000,"*Conical Gold*")</f>
        <v>1</v>
      </c>
      <c r="D15" s="87" t="s">
        <v>1137</v>
      </c>
      <c r="E15" s="87" t="s">
        <v>1138</v>
      </c>
      <c r="F15" s="87" t="s">
        <v>416</v>
      </c>
    </row>
    <row r="16" customFormat="false" ht="7.5" hidden="false" customHeight="true" outlineLevel="0" collapsed="false"/>
    <row r="17" customFormat="false" ht="15.75" hidden="false" customHeight="true" outlineLevel="0" collapsed="false">
      <c r="B17" s="73" t="s">
        <v>1139</v>
      </c>
      <c r="C17" s="73"/>
      <c r="D17" s="73"/>
      <c r="E17" s="73"/>
      <c r="F17" s="73"/>
      <c r="G17" s="73"/>
      <c r="H17" s="73"/>
      <c r="I17" s="73"/>
      <c r="J17" s="73"/>
      <c r="K17" s="73"/>
    </row>
    <row r="18" customFormat="false" ht="15.75" hidden="false" customHeight="true" outlineLevel="0" collapsed="false">
      <c r="B18" s="75" t="s">
        <v>1140</v>
      </c>
      <c r="C18" s="75" t="s">
        <v>941</v>
      </c>
      <c r="D18" s="75" t="s">
        <v>1141</v>
      </c>
      <c r="E18" s="75" t="s">
        <v>988</v>
      </c>
    </row>
    <row r="19" customFormat="false" ht="15.75" hidden="false" customHeight="true" outlineLevel="0" collapsed="false">
      <c r="B19" s="94" t="s">
        <v>1142</v>
      </c>
      <c r="C19" s="95" t="n">
        <f aca="false">SUMPRODUCT(--ISNUMBER(SEARCH("Flat-Bottom",'Coffee Audit'!J2:J2000)))</f>
        <v>28</v>
      </c>
      <c r="D19" s="95" t="s">
        <v>1143</v>
      </c>
      <c r="E19" s="95" t="s">
        <v>1144</v>
      </c>
    </row>
    <row r="20" customFormat="false" ht="15.75" hidden="false" customHeight="true" outlineLevel="0" collapsed="false">
      <c r="B20" s="94" t="s">
        <v>1145</v>
      </c>
      <c r="C20" s="95" t="s">
        <v>949</v>
      </c>
      <c r="D20" s="95" t="s">
        <v>1146</v>
      </c>
      <c r="E20" s="95" t="s">
        <v>1147</v>
      </c>
    </row>
    <row r="21" customFormat="false" ht="15.75" hidden="false" customHeight="true" outlineLevel="0" collapsed="false">
      <c r="B21" s="98" t="s">
        <v>1148</v>
      </c>
      <c r="C21" s="99" t="n">
        <f aca="false">COUNTIF('Coffee Audit'!J2:J2000,"*V60*")</f>
        <v>17</v>
      </c>
      <c r="D21" s="99" t="s">
        <v>1149</v>
      </c>
      <c r="E21" s="99" t="s">
        <v>1150</v>
      </c>
    </row>
    <row r="22" customFormat="false" ht="15.75" hidden="false" customHeight="true" outlineLevel="0" collapsed="false">
      <c r="B22" s="98" t="s">
        <v>1151</v>
      </c>
      <c r="C22" s="99" t="s">
        <v>975</v>
      </c>
      <c r="D22" s="99" t="s">
        <v>1152</v>
      </c>
      <c r="E22" s="99" t="s">
        <v>1153</v>
      </c>
    </row>
    <row r="23" customFormat="false" ht="15.75" hidden="false" customHeight="true" outlineLevel="0" collapsed="false">
      <c r="B23" s="94" t="s">
        <v>1154</v>
      </c>
      <c r="C23" s="95" t="n">
        <f aca="false">COUNTIF('Coffee Audit'!J2:J2000,"*Switch*")</f>
        <v>7</v>
      </c>
      <c r="D23" s="95" t="s">
        <v>1155</v>
      </c>
      <c r="E23" s="95" t="s">
        <v>1156</v>
      </c>
    </row>
    <row r="24" customFormat="false" ht="15.75" hidden="false" customHeight="true" outlineLevel="0" collapsed="false">
      <c r="B24" s="96" t="s">
        <v>1157</v>
      </c>
      <c r="C24" s="97" t="s">
        <v>949</v>
      </c>
      <c r="D24" s="97" t="s">
        <v>1158</v>
      </c>
      <c r="E24" s="97" t="s">
        <v>1159</v>
      </c>
    </row>
    <row r="25" customFormat="false" ht="7.5" hidden="false" customHeight="true" outlineLevel="0" collapsed="false"/>
    <row r="26" customFormat="false" ht="15.75" hidden="false" customHeight="true" outlineLevel="0" collapsed="false">
      <c r="B26" s="73" t="str">
        <f aca="false">"  📜  SEVEN EXTRACTION LAWS  —  empirically proven across "&amp;COUNTA('Coffee Audit'!A2:A2000)&amp;" field audits"</f>
        <v>  📜  SEVEN EXTRACTION LAWS  —  empirically proven across 75 field audits</v>
      </c>
      <c r="C26" s="73"/>
      <c r="D26" s="73"/>
      <c r="E26" s="73"/>
      <c r="F26" s="73"/>
      <c r="G26" s="73"/>
      <c r="H26" s="73"/>
      <c r="I26" s="73"/>
      <c r="J26" s="73"/>
      <c r="K26" s="73"/>
    </row>
    <row r="27" customFormat="false" ht="19.5" hidden="false" customHeight="true" outlineLevel="0" collapsed="false">
      <c r="B27" s="100" t="s">
        <v>1160</v>
      </c>
      <c r="C27" s="100"/>
      <c r="D27" s="100"/>
      <c r="E27" s="100"/>
      <c r="F27" s="100"/>
      <c r="G27" s="100"/>
      <c r="H27" s="100"/>
      <c r="I27" s="100"/>
      <c r="J27" s="100"/>
    </row>
    <row r="28" customFormat="false" ht="19.5" hidden="false" customHeight="true" outlineLevel="0" collapsed="false">
      <c r="B28" s="101" t="s">
        <v>1161</v>
      </c>
      <c r="C28" s="101"/>
      <c r="D28" s="101"/>
      <c r="E28" s="101"/>
      <c r="F28" s="101"/>
      <c r="G28" s="101"/>
      <c r="H28" s="101"/>
      <c r="I28" s="101"/>
      <c r="J28" s="101"/>
    </row>
    <row r="29" customFormat="false" ht="19.5" hidden="false" customHeight="true" outlineLevel="0" collapsed="false">
      <c r="B29" s="102" t="s">
        <v>1162</v>
      </c>
      <c r="C29" s="102"/>
      <c r="D29" s="102"/>
      <c r="E29" s="102"/>
      <c r="F29" s="102"/>
      <c r="G29" s="102"/>
      <c r="H29" s="102"/>
      <c r="I29" s="102"/>
      <c r="J29" s="102"/>
    </row>
    <row r="30" customFormat="false" ht="19.5" hidden="false" customHeight="true" outlineLevel="0" collapsed="false">
      <c r="B30" s="101" t="s">
        <v>1163</v>
      </c>
      <c r="C30" s="101"/>
      <c r="D30" s="101"/>
      <c r="E30" s="101"/>
      <c r="F30" s="101"/>
      <c r="G30" s="101"/>
      <c r="H30" s="101"/>
      <c r="I30" s="101"/>
      <c r="J30" s="101"/>
    </row>
    <row r="31" customFormat="false" ht="19.5" hidden="false" customHeight="true" outlineLevel="0" collapsed="false">
      <c r="B31" s="102" t="s">
        <v>1164</v>
      </c>
      <c r="C31" s="102"/>
      <c r="D31" s="102"/>
      <c r="E31" s="102"/>
      <c r="F31" s="102"/>
      <c r="G31" s="102"/>
      <c r="H31" s="102"/>
      <c r="I31" s="102"/>
      <c r="J31" s="102"/>
    </row>
    <row r="32" customFormat="false" ht="19.5" hidden="false" customHeight="true" outlineLevel="0" collapsed="false">
      <c r="B32" s="101" t="s">
        <v>1165</v>
      </c>
      <c r="C32" s="101"/>
      <c r="D32" s="101"/>
      <c r="E32" s="101"/>
      <c r="F32" s="101"/>
      <c r="G32" s="101"/>
      <c r="H32" s="101"/>
      <c r="I32" s="101"/>
      <c r="J32" s="101"/>
    </row>
    <row r="33" customFormat="false" ht="24" hidden="false" customHeight="true" outlineLevel="0" collapsed="false">
      <c r="B33" s="103" t="s">
        <v>1166</v>
      </c>
      <c r="C33" s="103"/>
      <c r="D33" s="103"/>
      <c r="E33" s="103"/>
      <c r="F33" s="103"/>
      <c r="G33" s="103"/>
      <c r="H33" s="103"/>
      <c r="I33" s="103"/>
      <c r="J33" s="103"/>
      <c r="K33" s="103"/>
    </row>
  </sheetData>
  <mergeCells count="12">
    <mergeCell ref="B1:K1"/>
    <mergeCell ref="B2:K2"/>
    <mergeCell ref="B4:K4"/>
    <mergeCell ref="B17:K17"/>
    <mergeCell ref="B26:K26"/>
    <mergeCell ref="B27:J27"/>
    <mergeCell ref="B28:J28"/>
    <mergeCell ref="B29:J29"/>
    <mergeCell ref="B30:J30"/>
    <mergeCell ref="B31:J31"/>
    <mergeCell ref="B32:J32"/>
    <mergeCell ref="B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1" t="str">
        <f aca="false">"🏙️  CAFÉ DIRECTORY   —   "&amp;SUMPRODUCT(('Coffee Audit'!C2:C2000&lt;&gt;"")/COUNTIF('Coffee Audit'!C2:C2000,'Coffee Audit'!C2:C2000&amp;""))&amp;" VENUES · 4 CITIES"</f>
        <v>🏙️  CAFÉ DIRECTORY   —   38 VENUES · 4 CITIES</v>
      </c>
      <c r="C1" s="71"/>
      <c r="D1" s="71"/>
      <c r="E1" s="71"/>
      <c r="F1" s="71"/>
      <c r="G1" s="71"/>
      <c r="H1" s="71"/>
      <c r="I1" s="71"/>
      <c r="J1" s="71"/>
      <c r="K1" s="71"/>
      <c r="L1" s="71"/>
    </row>
    <row r="2" customFormat="false" ht="13.5" hidden="false" customHeight="true" outlineLevel="0" collapsed="false">
      <c r="B2" s="104" t="str">
        <f aca="false">"Live-verified July 2026  ·  four-tier confidence rating  ·  entry counts and averages are live formulas across "&amp;COUNTA('Coffee Audit'!A2:A2000)&amp;" audits"</f>
        <v>Live-verified July 2026  ·  four-tier confidence rating  ·  entry counts and averages are live formulas across 75 audits</v>
      </c>
      <c r="C2" s="104"/>
      <c r="D2" s="104"/>
      <c r="E2" s="104"/>
      <c r="F2" s="104"/>
      <c r="G2" s="104"/>
      <c r="H2" s="104"/>
      <c r="I2" s="104"/>
      <c r="J2" s="104"/>
      <c r="K2" s="104"/>
      <c r="L2" s="104"/>
    </row>
    <row r="3" customFormat="false" ht="6" hidden="false" customHeight="true" outlineLevel="0" collapsed="false"/>
    <row r="4" customFormat="false" ht="15.75" hidden="false" customHeight="true" outlineLevel="0" collapsed="false">
      <c r="B4" s="73" t="s">
        <v>1167</v>
      </c>
      <c r="C4" s="73"/>
      <c r="D4" s="73"/>
      <c r="E4" s="73"/>
      <c r="F4" s="73"/>
      <c r="G4" s="73"/>
      <c r="H4" s="73"/>
      <c r="I4" s="73"/>
      <c r="J4" s="73"/>
      <c r="K4" s="73"/>
      <c r="L4" s="73"/>
    </row>
    <row r="5" customFormat="false" ht="15.75" hidden="false" customHeight="true" outlineLevel="0" collapsed="false">
      <c r="B5" s="75" t="s">
        <v>1</v>
      </c>
      <c r="C5" s="75" t="s">
        <v>941</v>
      </c>
      <c r="D5" s="75" t="s">
        <v>1168</v>
      </c>
      <c r="E5" s="75" t="s">
        <v>1169</v>
      </c>
      <c r="F5" s="75" t="s">
        <v>1170</v>
      </c>
    </row>
    <row r="6" customFormat="false" ht="12.75" hidden="false" customHeight="true" outlineLevel="0" collapsed="false">
      <c r="B6" s="80" t="s">
        <v>52</v>
      </c>
      <c r="C6" s="81" t="n">
        <f aca="false">COUNTIF('Coffee Audit'!B2:B2000,"*Singapore*")</f>
        <v>69</v>
      </c>
      <c r="D6" s="81" t="n">
        <f aca="false">SUMPRODUCT((ISNUMBER(SEARCH("Singapore",'Coffee Audit'!B2:B2000)))*('Coffee Audit'!C2:C2000&lt;&gt;"")/COUNTIF('Coffee Audit'!C2:C2000,'Coffee Audit'!C2:C2000&amp;""))</f>
        <v>34</v>
      </c>
      <c r="E6" s="81" t="str">
        <f aca="false">TEXT(COUNTIF('Coffee Audit'!B2:B2000,"*Singapore*")/COUNTA('Coffee Audit'!A2:A2000),"0%")</f>
        <v>92%</v>
      </c>
      <c r="F6" s="81" t="s">
        <v>1171</v>
      </c>
    </row>
    <row r="7" customFormat="false" ht="12.75" hidden="false" customHeight="true" outlineLevel="0" collapsed="false">
      <c r="B7" s="86" t="s">
        <v>24</v>
      </c>
      <c r="C7" s="87" t="n">
        <f aca="false">COUNTIF('Coffee Audit'!B2:B2000,"*Bali*")</f>
        <v>3</v>
      </c>
      <c r="D7" s="87" t="n">
        <f aca="false">SUMPRODUCT((ISNUMBER(SEARCH("Bali",'Coffee Audit'!B2:B2000)))*('Coffee Audit'!C2:C2000&lt;&gt;"")/COUNTIF('Coffee Audit'!C2:C2000,'Coffee Audit'!C2:C2000&amp;""))</f>
        <v>1</v>
      </c>
      <c r="E7" s="87" t="str">
        <f aca="false">TEXT(COUNTIF('Coffee Audit'!B2:B2000,"*Bali*")/COUNTA('Coffee Audit'!A2:A2000),"0%")</f>
        <v>4%</v>
      </c>
      <c r="F7" s="87" t="s">
        <v>1172</v>
      </c>
    </row>
    <row r="8" customFormat="false" ht="12.75" hidden="false" customHeight="true" outlineLevel="0" collapsed="false">
      <c r="B8" s="80" t="s">
        <v>69</v>
      </c>
      <c r="C8" s="81" t="n">
        <f aca="false">COUNTIF('Coffee Audit'!B2:B2000,"*Mumbai*")</f>
        <v>2</v>
      </c>
      <c r="D8" s="81" t="n">
        <f aca="false">SUMPRODUCT((ISNUMBER(SEARCH("Mumbai",'Coffee Audit'!B2:B2000)))*('Coffee Audit'!C2:C2000&lt;&gt;"")/COUNTIF('Coffee Audit'!C2:C2000,'Coffee Audit'!C2:C2000&amp;""))</f>
        <v>2</v>
      </c>
      <c r="E8" s="81" t="str">
        <f aca="false">TEXT(COUNTIF('Coffee Audit'!B2:B2000,"*Mumbai*")/COUNTA('Coffee Audit'!A2:A2000),"0%")</f>
        <v>3%</v>
      </c>
      <c r="F8" s="81" t="s">
        <v>1173</v>
      </c>
    </row>
    <row r="9" customFormat="false" ht="12.75" hidden="false" customHeight="true" outlineLevel="0" collapsed="false">
      <c r="B9" s="86" t="s">
        <v>227</v>
      </c>
      <c r="C9" s="87" t="n">
        <f aca="false">COUNTIF('Coffee Audit'!B2:B2000,"*Johor*")</f>
        <v>1</v>
      </c>
      <c r="D9" s="87" t="n">
        <f aca="false">SUMPRODUCT((ISNUMBER(SEARCH("Johor",'Coffee Audit'!B2:B2000)))*('Coffee Audit'!C2:C2000&lt;&gt;"")/COUNTIF('Coffee Audit'!C2:C2000,'Coffee Audit'!C2:C2000&amp;""))</f>
        <v>1</v>
      </c>
      <c r="E9" s="87" t="str">
        <f aca="false">TEXT(COUNTIF('Coffee Audit'!B2:B2000,"*Johor*")/COUNTA('Coffee Audit'!A2:A2000),"0%")</f>
        <v>1%</v>
      </c>
      <c r="F9" s="87" t="s">
        <v>1174</v>
      </c>
    </row>
    <row r="10" customFormat="false" ht="7.5" hidden="false" customHeight="true" outlineLevel="0" collapsed="false"/>
    <row r="11" customFormat="false" ht="15.75" hidden="false" customHeight="true" outlineLevel="0" collapsed="false">
      <c r="B11" s="73" t="s">
        <v>1175</v>
      </c>
      <c r="C11" s="73"/>
      <c r="D11" s="73"/>
      <c r="E11" s="73"/>
      <c r="F11" s="73"/>
      <c r="G11" s="73"/>
      <c r="H11" s="73"/>
      <c r="I11" s="73"/>
      <c r="J11" s="73"/>
      <c r="K11" s="73"/>
      <c r="L11" s="73"/>
    </row>
    <row r="12" customFormat="false" ht="15.75" hidden="false" customHeight="true" outlineLevel="0" collapsed="false">
      <c r="B12" s="75" t="s">
        <v>843</v>
      </c>
      <c r="C12" s="75" t="s">
        <v>1</v>
      </c>
      <c r="D12" s="75" t="s">
        <v>941</v>
      </c>
      <c r="E12" s="75" t="s">
        <v>171</v>
      </c>
      <c r="F12" s="75" t="s">
        <v>1176</v>
      </c>
      <c r="G12" s="75" t="s">
        <v>1177</v>
      </c>
      <c r="H12" s="75" t="s">
        <v>1178</v>
      </c>
      <c r="I12" s="75" t="s">
        <v>1179</v>
      </c>
      <c r="J12" s="75" t="s">
        <v>1180</v>
      </c>
      <c r="K12" s="75" t="s">
        <v>1181</v>
      </c>
    </row>
    <row r="13" customFormat="false" ht="13.5" hidden="false" customHeight="true" outlineLevel="0" collapsed="false">
      <c r="B13" s="105" t="s">
        <v>251</v>
      </c>
      <c r="C13" s="106" t="s">
        <v>52</v>
      </c>
      <c r="D13" s="106" t="n">
        <f aca="false">COUNTIF('Coffee Audit'!C2:C2000,B13)</f>
        <v>6</v>
      </c>
      <c r="E13" s="106" t="n">
        <f aca="false">SUMPRODUCT(('Coffee Audit'!C2:C2000=B13)*('Coffee Audit'!W2:W2000="⭐ GESHA"))</f>
        <v>0</v>
      </c>
      <c r="F13" s="106" t="str">
        <f aca="false">IFERROR("S$"&amp;TEXT(AVERAGEIFS('Coffee Audit'!Q2:Q2000,'Coffee Audit'!C2:C2000,B13,'Coffee Audit'!Q2:Q2000,"&gt;0"),"0.00"),"—")</f>
        <v>S$8.00</v>
      </c>
      <c r="G13" s="106" t="s">
        <v>1182</v>
      </c>
      <c r="H13" s="106" t="s">
        <v>1183</v>
      </c>
      <c r="I13" s="106" t="s">
        <v>1184</v>
      </c>
      <c r="J13" s="106" t="s">
        <v>1185</v>
      </c>
      <c r="K13" s="106" t="s">
        <v>1186</v>
      </c>
    </row>
    <row r="14" customFormat="false" ht="13.5" hidden="false" customHeight="true" outlineLevel="0" collapsed="false">
      <c r="B14" s="107" t="s">
        <v>322</v>
      </c>
      <c r="C14" s="108" t="s">
        <v>52</v>
      </c>
      <c r="D14" s="108" t="n">
        <f aca="false">COUNTIF('Coffee Audit'!C2:C2000,B14)</f>
        <v>5</v>
      </c>
      <c r="E14" s="108" t="n">
        <f aca="false">SUMPRODUCT(('Coffee Audit'!C2:C2000=B14)*('Coffee Audit'!W2:W2000="⭐ GESHA"))</f>
        <v>2</v>
      </c>
      <c r="F14" s="108" t="str">
        <f aca="false">IFERROR("S$"&amp;TEXT(AVERAGEIFS('Coffee Audit'!Q2:Q2000,'Coffee Audit'!C2:C2000,B14,'Coffee Audit'!Q2:Q2000,"&gt;0"),"0.00"),"—")</f>
        <v>S$16.50</v>
      </c>
      <c r="G14" s="108" t="s">
        <v>1187</v>
      </c>
      <c r="H14" s="108" t="s">
        <v>1188</v>
      </c>
      <c r="I14" s="108" t="s">
        <v>1019</v>
      </c>
      <c r="J14" s="108" t="s">
        <v>1185</v>
      </c>
      <c r="K14" s="108" t="s">
        <v>1189</v>
      </c>
    </row>
    <row r="15" customFormat="false" ht="13.5" hidden="false" customHeight="true" outlineLevel="0" collapsed="false">
      <c r="B15" s="105" t="s">
        <v>167</v>
      </c>
      <c r="C15" s="106" t="s">
        <v>52</v>
      </c>
      <c r="D15" s="106" t="n">
        <f aca="false">COUNTIF('Coffee Audit'!C2:C2000,B15)</f>
        <v>4</v>
      </c>
      <c r="E15" s="106" t="n">
        <f aca="false">SUMPRODUCT(('Coffee Audit'!C2:C2000=B15)*('Coffee Audit'!W2:W2000="⭐ GESHA"))</f>
        <v>2</v>
      </c>
      <c r="F15" s="106" t="str">
        <f aca="false">IFERROR("S$"&amp;TEXT(AVERAGEIFS('Coffee Audit'!Q2:Q2000,'Coffee Audit'!C2:C2000,B15,'Coffee Audit'!Q2:Q2000,"&gt;0"),"0.00"),"—")</f>
        <v>S$12.50</v>
      </c>
      <c r="G15" s="106" t="s">
        <v>1190</v>
      </c>
      <c r="H15" s="106" t="s">
        <v>1019</v>
      </c>
      <c r="I15" s="106" t="s">
        <v>1019</v>
      </c>
      <c r="J15" s="106" t="s">
        <v>1185</v>
      </c>
      <c r="K15" s="106" t="s">
        <v>1191</v>
      </c>
    </row>
    <row r="16" customFormat="false" ht="13.5" hidden="false" customHeight="true" outlineLevel="0" collapsed="false">
      <c r="B16" s="107" t="s">
        <v>370</v>
      </c>
      <c r="C16" s="108" t="s">
        <v>52</v>
      </c>
      <c r="D16" s="108" t="n">
        <f aca="false">COUNTIF('Coffee Audit'!C2:C2000,B16)</f>
        <v>2</v>
      </c>
      <c r="E16" s="108" t="n">
        <f aca="false">SUMPRODUCT(('Coffee Audit'!C2:C2000=B16)*('Coffee Audit'!W2:W2000="⭐ GESHA"))</f>
        <v>0</v>
      </c>
      <c r="F16" s="108" t="str">
        <f aca="false">IFERROR("S$"&amp;TEXT(AVERAGEIFS('Coffee Audit'!Q2:Q2000,'Coffee Audit'!C2:C2000,B16,'Coffee Audit'!Q2:Q2000,"&gt;0"),"0.00"),"—")</f>
        <v>S$10.50</v>
      </c>
      <c r="G16" s="108" t="s">
        <v>1192</v>
      </c>
      <c r="H16" s="108" t="s">
        <v>1193</v>
      </c>
      <c r="I16" s="108" t="s">
        <v>1194</v>
      </c>
      <c r="J16" s="108" t="s">
        <v>1185</v>
      </c>
      <c r="K16" s="108" t="s">
        <v>1195</v>
      </c>
    </row>
    <row r="17" customFormat="false" ht="13.5" hidden="false" customHeight="true" outlineLevel="0" collapsed="false">
      <c r="B17" s="105" t="s">
        <v>53</v>
      </c>
      <c r="C17" s="106" t="s">
        <v>52</v>
      </c>
      <c r="D17" s="106" t="n">
        <f aca="false">COUNTIF('Coffee Audit'!C2:C2000,B17)</f>
        <v>3</v>
      </c>
      <c r="E17" s="106" t="n">
        <f aca="false">SUMPRODUCT(('Coffee Audit'!C2:C2000=B17)*('Coffee Audit'!W2:W2000="⭐ GESHA"))</f>
        <v>0</v>
      </c>
      <c r="F17" s="106" t="str">
        <f aca="false">IFERROR("S$"&amp;TEXT(AVERAGEIFS('Coffee Audit'!Q2:Q2000,'Coffee Audit'!C2:C2000,B17,'Coffee Audit'!Q2:Q2000,"&gt;0"),"0.00"),"—")</f>
        <v>S$8.67</v>
      </c>
      <c r="G17" s="106" t="s">
        <v>1196</v>
      </c>
      <c r="H17" s="106" t="s">
        <v>1197</v>
      </c>
      <c r="I17" s="106" t="s">
        <v>1198</v>
      </c>
      <c r="J17" s="106" t="s">
        <v>1185</v>
      </c>
      <c r="K17" s="106" t="s">
        <v>1199</v>
      </c>
    </row>
    <row r="18" customFormat="false" ht="13.5" hidden="false" customHeight="true" outlineLevel="0" collapsed="false">
      <c r="B18" s="107" t="s">
        <v>646</v>
      </c>
      <c r="C18" s="108" t="s">
        <v>52</v>
      </c>
      <c r="D18" s="108" t="n">
        <f aca="false">COUNTIF('Coffee Audit'!C2:C2000,B18)</f>
        <v>1</v>
      </c>
      <c r="E18" s="108" t="n">
        <f aca="false">SUMPRODUCT(('Coffee Audit'!C2:C2000=B18)*('Coffee Audit'!W2:W2000="⭐ GESHA"))</f>
        <v>1</v>
      </c>
      <c r="F18" s="108" t="str">
        <f aca="false">IFERROR("S$"&amp;TEXT(AVERAGEIFS('Coffee Audit'!Q2:Q2000,'Coffee Audit'!C2:C2000,B18,'Coffee Audit'!Q2:Q2000,"&gt;0"),"0.00"),"—")</f>
        <v>S$21.00</v>
      </c>
      <c r="G18" s="108" t="s">
        <v>1200</v>
      </c>
      <c r="H18" s="108" t="s">
        <v>1201</v>
      </c>
      <c r="I18" s="108" t="s">
        <v>1202</v>
      </c>
      <c r="J18" s="108" t="s">
        <v>1185</v>
      </c>
      <c r="K18" s="108" t="s">
        <v>1203</v>
      </c>
    </row>
    <row r="19" customFormat="false" ht="13.5" hidden="false" customHeight="true" outlineLevel="0" collapsed="false">
      <c r="B19" s="109" t="s">
        <v>540</v>
      </c>
      <c r="C19" s="110" t="s">
        <v>52</v>
      </c>
      <c r="D19" s="110" t="n">
        <f aca="false">COUNTIF('Coffee Audit'!C2:C2000,B19)</f>
        <v>2</v>
      </c>
      <c r="E19" s="110" t="n">
        <f aca="false">SUMPRODUCT(('Coffee Audit'!C2:C2000=B19)*('Coffee Audit'!W2:W2000="⭐ GESHA"))</f>
        <v>0</v>
      </c>
      <c r="F19" s="110" t="str">
        <f aca="false">IFERROR("S$"&amp;TEXT(AVERAGEIFS('Coffee Audit'!Q2:Q2000,'Coffee Audit'!C2:C2000,B19,'Coffee Audit'!Q2:Q2000,"&gt;0"),"0.00"),"—")</f>
        <v>S$9.00</v>
      </c>
      <c r="G19" s="110" t="s">
        <v>1204</v>
      </c>
      <c r="H19" s="110" t="s">
        <v>1205</v>
      </c>
      <c r="I19" s="110" t="s">
        <v>1206</v>
      </c>
      <c r="J19" s="110" t="s">
        <v>1207</v>
      </c>
      <c r="K19" s="110" t="s">
        <v>1208</v>
      </c>
    </row>
    <row r="20" customFormat="false" ht="13.5" hidden="false" customHeight="true" outlineLevel="0" collapsed="false">
      <c r="B20" s="107" t="s">
        <v>555</v>
      </c>
      <c r="C20" s="108" t="s">
        <v>52</v>
      </c>
      <c r="D20" s="108" t="n">
        <f aca="false">COUNTIF('Coffee Audit'!C2:C2000,B20)</f>
        <v>2</v>
      </c>
      <c r="E20" s="108" t="n">
        <f aca="false">SUMPRODUCT(('Coffee Audit'!C2:C2000=B20)*('Coffee Audit'!W2:W2000="⭐ GESHA"))</f>
        <v>1</v>
      </c>
      <c r="F20" s="108" t="str">
        <f aca="false">IFERROR("S$"&amp;TEXT(AVERAGEIFS('Coffee Audit'!Q2:Q2000,'Coffee Audit'!C2:C2000,B20,'Coffee Audit'!Q2:Q2000,"&gt;0"),"0.00"),"—")</f>
        <v>S$14.50</v>
      </c>
      <c r="G20" s="108" t="s">
        <v>1209</v>
      </c>
      <c r="H20" s="108" t="s">
        <v>1210</v>
      </c>
      <c r="I20" s="108" t="s">
        <v>1211</v>
      </c>
      <c r="J20" s="108" t="s">
        <v>1185</v>
      </c>
      <c r="K20" s="108" t="s">
        <v>1212</v>
      </c>
    </row>
    <row r="21" customFormat="false" ht="13.5" hidden="false" customHeight="true" outlineLevel="0" collapsed="false">
      <c r="B21" s="105" t="s">
        <v>607</v>
      </c>
      <c r="C21" s="106" t="s">
        <v>52</v>
      </c>
      <c r="D21" s="106" t="n">
        <f aca="false">COUNTIF('Coffee Audit'!C2:C2000,B21)</f>
        <v>1</v>
      </c>
      <c r="E21" s="106" t="n">
        <f aca="false">SUMPRODUCT(('Coffee Audit'!C2:C2000=B21)*('Coffee Audit'!W2:W2000="⭐ GESHA"))</f>
        <v>1</v>
      </c>
      <c r="F21" s="106" t="str">
        <f aca="false">IFERROR("S$"&amp;TEXT(AVERAGEIFS('Coffee Audit'!Q2:Q2000,'Coffee Audit'!C2:C2000,B21,'Coffee Audit'!Q2:Q2000,"&gt;0"),"0.00"),"—")</f>
        <v>S$15.00</v>
      </c>
      <c r="G21" s="106" t="s">
        <v>1213</v>
      </c>
      <c r="H21" s="106" t="s">
        <v>1214</v>
      </c>
      <c r="I21" s="106" t="s">
        <v>1215</v>
      </c>
      <c r="J21" s="106" t="s">
        <v>1185</v>
      </c>
      <c r="K21" s="106"/>
    </row>
    <row r="22" customFormat="false" ht="13.5" hidden="false" customHeight="true" outlineLevel="0" collapsed="false">
      <c r="B22" s="107" t="s">
        <v>622</v>
      </c>
      <c r="C22" s="108" t="s">
        <v>52</v>
      </c>
      <c r="D22" s="108" t="n">
        <f aca="false">COUNTIF('Coffee Audit'!C2:C2000,B22)</f>
        <v>1</v>
      </c>
      <c r="E22" s="108" t="n">
        <f aca="false">SUMPRODUCT(('Coffee Audit'!C2:C2000=B22)*('Coffee Audit'!W2:W2000="⭐ GESHA"))</f>
        <v>1</v>
      </c>
      <c r="F22" s="108" t="str">
        <f aca="false">IFERROR("S$"&amp;TEXT(AVERAGEIFS('Coffee Audit'!Q2:Q2000,'Coffee Audit'!C2:C2000,B22,'Coffee Audit'!Q2:Q2000,"&gt;0"),"0.00"),"—")</f>
        <v>S$16.00</v>
      </c>
      <c r="G22" s="108" t="s">
        <v>1216</v>
      </c>
      <c r="H22" s="108" t="s">
        <v>1019</v>
      </c>
      <c r="I22" s="108" t="s">
        <v>1217</v>
      </c>
      <c r="J22" s="108" t="s">
        <v>1185</v>
      </c>
      <c r="K22" s="108" t="s">
        <v>1218</v>
      </c>
    </row>
    <row r="23" customFormat="false" ht="13.5" hidden="false" customHeight="true" outlineLevel="0" collapsed="false">
      <c r="B23" s="105" t="s">
        <v>115</v>
      </c>
      <c r="C23" s="106" t="s">
        <v>52</v>
      </c>
      <c r="D23" s="106" t="n">
        <f aca="false">COUNTIF('Coffee Audit'!C2:C2000,B23)</f>
        <v>3</v>
      </c>
      <c r="E23" s="106" t="n">
        <f aca="false">SUMPRODUCT(('Coffee Audit'!C2:C2000=B23)*('Coffee Audit'!W2:W2000="⭐ GESHA"))</f>
        <v>1</v>
      </c>
      <c r="F23" s="106" t="str">
        <f aca="false">IFERROR("S$"&amp;TEXT(AVERAGEIFS('Coffee Audit'!Q2:Q2000,'Coffee Audit'!C2:C2000,B23,'Coffee Audit'!Q2:Q2000,"&gt;0"),"0.00"),"—")</f>
        <v>S$9.25</v>
      </c>
      <c r="G23" s="106" t="s">
        <v>1219</v>
      </c>
      <c r="H23" s="106" t="s">
        <v>1220</v>
      </c>
      <c r="I23" s="106" t="s">
        <v>1221</v>
      </c>
      <c r="J23" s="106" t="s">
        <v>1185</v>
      </c>
      <c r="K23" s="106" t="s">
        <v>1222</v>
      </c>
    </row>
    <row r="24" customFormat="false" ht="13.5" hidden="false" customHeight="true" outlineLevel="0" collapsed="false">
      <c r="B24" s="107" t="s">
        <v>443</v>
      </c>
      <c r="C24" s="108" t="s">
        <v>52</v>
      </c>
      <c r="D24" s="108" t="n">
        <f aca="false">COUNTIF('Coffee Audit'!C2:C2000,B24)</f>
        <v>2</v>
      </c>
      <c r="E24" s="108" t="n">
        <f aca="false">SUMPRODUCT(('Coffee Audit'!C2:C2000=B24)*('Coffee Audit'!W2:W2000="⭐ GESHA"))</f>
        <v>0</v>
      </c>
      <c r="F24" s="108" t="str">
        <f aca="false">IFERROR("S$"&amp;TEXT(AVERAGEIFS('Coffee Audit'!Q2:Q2000,'Coffee Audit'!C2:C2000,B24,'Coffee Audit'!Q2:Q2000,"&gt;0"),"0.00"),"—")</f>
        <v>S$9.50</v>
      </c>
      <c r="G24" s="108" t="s">
        <v>455</v>
      </c>
      <c r="H24" s="108" t="s">
        <v>1220</v>
      </c>
      <c r="I24" s="108" t="s">
        <v>1221</v>
      </c>
      <c r="J24" s="108" t="s">
        <v>1207</v>
      </c>
      <c r="K24" s="108" t="s">
        <v>1223</v>
      </c>
    </row>
    <row r="25" customFormat="false" ht="13.5" hidden="false" customHeight="true" outlineLevel="0" collapsed="false">
      <c r="B25" s="105" t="s">
        <v>401</v>
      </c>
      <c r="C25" s="106" t="s">
        <v>52</v>
      </c>
      <c r="D25" s="106" t="n">
        <f aca="false">COUNTIF('Coffee Audit'!C2:C2000,B25)</f>
        <v>2</v>
      </c>
      <c r="E25" s="106" t="n">
        <f aca="false">SUMPRODUCT(('Coffee Audit'!C2:C2000=B25)*('Coffee Audit'!W2:W2000="⭐ GESHA"))</f>
        <v>1</v>
      </c>
      <c r="F25" s="106" t="str">
        <f aca="false">IFERROR("S$"&amp;TEXT(AVERAGEIFS('Coffee Audit'!Q2:Q2000,'Coffee Audit'!C2:C2000,B25,'Coffee Audit'!Q2:Q2000,"&gt;0"),"0.00"),"—")</f>
        <v>S$14.00</v>
      </c>
      <c r="G25" s="106" t="s">
        <v>1224</v>
      </c>
      <c r="H25" s="106" t="s">
        <v>1225</v>
      </c>
      <c r="I25" s="106" t="s">
        <v>1226</v>
      </c>
      <c r="J25" s="106" t="s">
        <v>1185</v>
      </c>
      <c r="K25" s="106" t="s">
        <v>1227</v>
      </c>
    </row>
    <row r="26" customFormat="false" ht="13.5" hidden="false" customHeight="true" outlineLevel="0" collapsed="false">
      <c r="B26" s="107" t="s">
        <v>179</v>
      </c>
      <c r="C26" s="108" t="s">
        <v>52</v>
      </c>
      <c r="D26" s="108" t="n">
        <f aca="false">COUNTIF('Coffee Audit'!C2:C2000,B26)</f>
        <v>2</v>
      </c>
      <c r="E26" s="108" t="n">
        <f aca="false">SUMPRODUCT(('Coffee Audit'!C2:C2000=B26)*('Coffee Audit'!W2:W2000="⭐ GESHA"))</f>
        <v>0</v>
      </c>
      <c r="F26" s="108" t="str">
        <f aca="false">IFERROR("S$"&amp;TEXT(AVERAGEIFS('Coffee Audit'!Q2:Q2000,'Coffee Audit'!C2:C2000,B26,'Coffee Audit'!Q2:Q2000,"&gt;0"),"0.00"),"—")</f>
        <v>S$9.00</v>
      </c>
      <c r="G26" s="108" t="s">
        <v>1228</v>
      </c>
      <c r="H26" s="108" t="s">
        <v>1019</v>
      </c>
      <c r="I26" s="108" t="s">
        <v>1229</v>
      </c>
      <c r="J26" s="108" t="s">
        <v>1185</v>
      </c>
      <c r="K26" s="108" t="s">
        <v>1230</v>
      </c>
    </row>
    <row r="27" customFormat="false" ht="13.5" hidden="false" customHeight="true" outlineLevel="0" collapsed="false">
      <c r="B27" s="105" t="s">
        <v>332</v>
      </c>
      <c r="C27" s="106" t="s">
        <v>52</v>
      </c>
      <c r="D27" s="106" t="n">
        <f aca="false">COUNTIF('Coffee Audit'!C2:C2000,B27)</f>
        <v>1</v>
      </c>
      <c r="E27" s="106" t="n">
        <f aca="false">SUMPRODUCT(('Coffee Audit'!C2:C2000=B27)*('Coffee Audit'!W2:W2000="⭐ GESHA"))</f>
        <v>1</v>
      </c>
      <c r="F27" s="106" t="str">
        <f aca="false">IFERROR("S$"&amp;TEXT(AVERAGEIFS('Coffee Audit'!Q2:Q2000,'Coffee Audit'!C2:C2000,B27,'Coffee Audit'!Q2:Q2000,"&gt;0"),"0.00"),"—")</f>
        <v>S$18.00</v>
      </c>
      <c r="G27" s="106" t="s">
        <v>1231</v>
      </c>
      <c r="H27" s="106" t="s">
        <v>1232</v>
      </c>
      <c r="I27" s="106" t="s">
        <v>1019</v>
      </c>
      <c r="J27" s="106" t="s">
        <v>1185</v>
      </c>
      <c r="K27" s="106" t="s">
        <v>1233</v>
      </c>
    </row>
    <row r="28" customFormat="false" ht="13.5" hidden="false" customHeight="true" outlineLevel="0" collapsed="false">
      <c r="B28" s="107" t="s">
        <v>104</v>
      </c>
      <c r="C28" s="108" t="s">
        <v>52</v>
      </c>
      <c r="D28" s="108" t="n">
        <f aca="false">COUNTIF('Coffee Audit'!C2:C2000,B28)</f>
        <v>2</v>
      </c>
      <c r="E28" s="108" t="n">
        <f aca="false">SUMPRODUCT(('Coffee Audit'!C2:C2000=B28)*('Coffee Audit'!W2:W2000="⭐ GESHA"))</f>
        <v>0</v>
      </c>
      <c r="F28" s="108" t="str">
        <f aca="false">IFERROR("S$"&amp;TEXT(AVERAGEIFS('Coffee Audit'!Q2:Q2000,'Coffee Audit'!C2:C2000,B28,'Coffee Audit'!Q2:Q2000,"&gt;0"),"0.00"),"—")</f>
        <v>S$15.00</v>
      </c>
      <c r="G28" s="108" t="s">
        <v>1234</v>
      </c>
      <c r="H28" s="108" t="s">
        <v>1235</v>
      </c>
      <c r="I28" s="108" t="s">
        <v>1019</v>
      </c>
      <c r="J28" s="108" t="s">
        <v>1185</v>
      </c>
      <c r="K28" s="108" t="s">
        <v>1236</v>
      </c>
    </row>
    <row r="29" customFormat="false" ht="13.5" hidden="false" customHeight="true" outlineLevel="0" collapsed="false">
      <c r="B29" s="105" t="s">
        <v>132</v>
      </c>
      <c r="C29" s="106" t="s">
        <v>52</v>
      </c>
      <c r="D29" s="106" t="n">
        <f aca="false">COUNTIF('Coffee Audit'!C2:C2000,B29)</f>
        <v>3</v>
      </c>
      <c r="E29" s="106" t="n">
        <f aca="false">SUMPRODUCT(('Coffee Audit'!C2:C2000=B29)*('Coffee Audit'!W2:W2000="⭐ GESHA"))</f>
        <v>0</v>
      </c>
      <c r="F29" s="106" t="str">
        <f aca="false">IFERROR("S$"&amp;TEXT(AVERAGEIFS('Coffee Audit'!Q2:Q2000,'Coffee Audit'!C2:C2000,B29,'Coffee Audit'!Q2:Q2000,"&gt;0"),"0.00"),"—")</f>
        <v>—</v>
      </c>
      <c r="G29" s="106" t="s">
        <v>1237</v>
      </c>
      <c r="H29" s="106" t="s">
        <v>1238</v>
      </c>
      <c r="I29" s="106" t="s">
        <v>1019</v>
      </c>
      <c r="J29" s="106" t="s">
        <v>1185</v>
      </c>
      <c r="K29" s="106" t="s">
        <v>1239</v>
      </c>
    </row>
    <row r="30" customFormat="false" ht="13.5" hidden="false" customHeight="true" outlineLevel="0" collapsed="false">
      <c r="B30" s="107" t="s">
        <v>431</v>
      </c>
      <c r="C30" s="108" t="s">
        <v>52</v>
      </c>
      <c r="D30" s="108" t="n">
        <f aca="false">COUNTIF('Coffee Audit'!C2:C2000,B30)</f>
        <v>2</v>
      </c>
      <c r="E30" s="108" t="n">
        <f aca="false">SUMPRODUCT(('Coffee Audit'!C2:C2000=B30)*('Coffee Audit'!W2:W2000="⭐ GESHA"))</f>
        <v>2</v>
      </c>
      <c r="F30" s="108" t="str">
        <f aca="false">IFERROR("S$"&amp;TEXT(AVERAGEIFS('Coffee Audit'!Q2:Q2000,'Coffee Audit'!C2:C2000,B30,'Coffee Audit'!Q2:Q2000,"&gt;0"),"0.00"),"—")</f>
        <v>S$12.50</v>
      </c>
      <c r="G30" s="108" t="s">
        <v>1240</v>
      </c>
      <c r="H30" s="108" t="s">
        <v>1241</v>
      </c>
      <c r="I30" s="108" t="s">
        <v>1242</v>
      </c>
      <c r="J30" s="108" t="s">
        <v>1185</v>
      </c>
      <c r="K30" s="108" t="s">
        <v>1243</v>
      </c>
    </row>
    <row r="31" customFormat="false" ht="13.5" hidden="false" customHeight="true" outlineLevel="0" collapsed="false">
      <c r="B31" s="105" t="s">
        <v>577</v>
      </c>
      <c r="C31" s="106" t="s">
        <v>52</v>
      </c>
      <c r="D31" s="106" t="n">
        <f aca="false">COUNTIF('Coffee Audit'!C2:C2000,B31)</f>
        <v>1</v>
      </c>
      <c r="E31" s="106" t="n">
        <f aca="false">SUMPRODUCT(('Coffee Audit'!C2:C2000=B31)*('Coffee Audit'!W2:W2000="⭐ GESHA"))</f>
        <v>1</v>
      </c>
      <c r="F31" s="106" t="str">
        <f aca="false">IFERROR("S$"&amp;TEXT(AVERAGEIFS('Coffee Audit'!Q2:Q2000,'Coffee Audit'!C2:C2000,B31,'Coffee Audit'!Q2:Q2000,"&gt;0"),"0.00"),"—")</f>
        <v>S$9.90</v>
      </c>
      <c r="G31" s="106" t="s">
        <v>1244</v>
      </c>
      <c r="H31" s="106" t="s">
        <v>1245</v>
      </c>
      <c r="I31" s="106" t="s">
        <v>1246</v>
      </c>
      <c r="J31" s="106" t="s">
        <v>1185</v>
      </c>
      <c r="K31" s="106" t="s">
        <v>1247</v>
      </c>
    </row>
    <row r="32" customFormat="false" ht="13.5" hidden="false" customHeight="true" outlineLevel="0" collapsed="false">
      <c r="B32" s="107" t="s">
        <v>278</v>
      </c>
      <c r="C32" s="108" t="s">
        <v>52</v>
      </c>
      <c r="D32" s="108" t="n">
        <f aca="false">COUNTIF('Coffee Audit'!C2:C2000,B32)</f>
        <v>2</v>
      </c>
      <c r="E32" s="108" t="n">
        <f aca="false">SUMPRODUCT(('Coffee Audit'!C2:C2000=B32)*('Coffee Audit'!W2:W2000="⭐ GESHA"))</f>
        <v>0</v>
      </c>
      <c r="F32" s="108" t="str">
        <f aca="false">IFERROR("S$"&amp;TEXT(AVERAGEIFS('Coffee Audit'!Q2:Q2000,'Coffee Audit'!C2:C2000,B32,'Coffee Audit'!Q2:Q2000,"&gt;0"),"0.00"),"—")</f>
        <v>S$8.50</v>
      </c>
      <c r="G32" s="108" t="s">
        <v>1248</v>
      </c>
      <c r="H32" s="108" t="s">
        <v>1249</v>
      </c>
      <c r="I32" s="108" t="s">
        <v>1250</v>
      </c>
      <c r="J32" s="108" t="s">
        <v>1185</v>
      </c>
      <c r="K32" s="108" t="s">
        <v>1251</v>
      </c>
    </row>
    <row r="33" customFormat="false" ht="13.5" hidden="false" customHeight="true" outlineLevel="0" collapsed="false">
      <c r="B33" s="105" t="s">
        <v>1252</v>
      </c>
      <c r="C33" s="106" t="s">
        <v>52</v>
      </c>
      <c r="D33" s="106" t="n">
        <f aca="false">COUNTIF('Coffee Audit'!C2:C2000,B33)</f>
        <v>0</v>
      </c>
      <c r="E33" s="106" t="n">
        <f aca="false">SUMPRODUCT(('Coffee Audit'!C2:C2000=B33)*('Coffee Audit'!W2:W2000="⭐ GESHA"))</f>
        <v>0</v>
      </c>
      <c r="F33" s="106" t="str">
        <f aca="false">IFERROR("S$"&amp;TEXT(AVERAGEIFS('Coffee Audit'!Q2:Q2000,'Coffee Audit'!C2:C2000,B33,'Coffee Audit'!Q2:Q2000,"&gt;0"),"0.00"),"—")</f>
        <v>—</v>
      </c>
      <c r="G33" s="106" t="s">
        <v>1253</v>
      </c>
      <c r="H33" s="106" t="s">
        <v>1249</v>
      </c>
      <c r="I33" s="106" t="s">
        <v>1250</v>
      </c>
      <c r="J33" s="106" t="s">
        <v>1185</v>
      </c>
      <c r="K33" s="106" t="s">
        <v>1254</v>
      </c>
    </row>
    <row r="34" customFormat="false" ht="13.5" hidden="false" customHeight="true" outlineLevel="0" collapsed="false">
      <c r="B34" s="107" t="s">
        <v>192</v>
      </c>
      <c r="C34" s="108" t="s">
        <v>52</v>
      </c>
      <c r="D34" s="108" t="n">
        <f aca="false">COUNTIF('Coffee Audit'!C2:C2000,B34)</f>
        <v>2</v>
      </c>
      <c r="E34" s="108" t="n">
        <f aca="false">SUMPRODUCT(('Coffee Audit'!C2:C2000=B34)*('Coffee Audit'!W2:W2000="⭐ GESHA"))</f>
        <v>1</v>
      </c>
      <c r="F34" s="108" t="str">
        <f aca="false">IFERROR("S$"&amp;TEXT(AVERAGEIFS('Coffee Audit'!Q2:Q2000,'Coffee Audit'!C2:C2000,B34,'Coffee Audit'!Q2:Q2000,"&gt;0"),"0.00"),"—")</f>
        <v>S$11.00</v>
      </c>
      <c r="G34" s="108" t="s">
        <v>1255</v>
      </c>
      <c r="H34" s="108" t="s">
        <v>1256</v>
      </c>
      <c r="I34" s="108" t="s">
        <v>1257</v>
      </c>
      <c r="J34" s="108" t="s">
        <v>1185</v>
      </c>
      <c r="K34" s="108" t="s">
        <v>1258</v>
      </c>
    </row>
    <row r="35" customFormat="false" ht="13.5" hidden="false" customHeight="true" outlineLevel="0" collapsed="false">
      <c r="B35" s="105" t="s">
        <v>153</v>
      </c>
      <c r="C35" s="106" t="s">
        <v>52</v>
      </c>
      <c r="D35" s="106" t="n">
        <f aca="false">COUNTIF('Coffee Audit'!C2:C2000,B35)</f>
        <v>2</v>
      </c>
      <c r="E35" s="106" t="n">
        <f aca="false">SUMPRODUCT(('Coffee Audit'!C2:C2000=B35)*('Coffee Audit'!W2:W2000="⭐ GESHA"))</f>
        <v>0</v>
      </c>
      <c r="F35" s="106" t="str">
        <f aca="false">IFERROR("S$"&amp;TEXT(AVERAGEIFS('Coffee Audit'!Q2:Q2000,'Coffee Audit'!C2:C2000,B35,'Coffee Audit'!Q2:Q2000,"&gt;0"),"0.00"),"—")</f>
        <v>S$6.55</v>
      </c>
      <c r="G35" s="106" t="s">
        <v>1259</v>
      </c>
      <c r="H35" s="106" t="s">
        <v>1019</v>
      </c>
      <c r="I35" s="106" t="s">
        <v>1260</v>
      </c>
      <c r="J35" s="106" t="s">
        <v>1185</v>
      </c>
      <c r="K35" s="106" t="s">
        <v>1261</v>
      </c>
    </row>
    <row r="36" customFormat="false" ht="13.5" hidden="false" customHeight="true" outlineLevel="0" collapsed="false">
      <c r="B36" s="107" t="s">
        <v>289</v>
      </c>
      <c r="C36" s="108" t="s">
        <v>52</v>
      </c>
      <c r="D36" s="108" t="n">
        <f aca="false">COUNTIF('Coffee Audit'!C2:C2000,B36)</f>
        <v>2</v>
      </c>
      <c r="E36" s="108" t="n">
        <f aca="false">SUMPRODUCT(('Coffee Audit'!C2:C2000=B36)*('Coffee Audit'!W2:W2000="⭐ GESHA"))</f>
        <v>0</v>
      </c>
      <c r="F36" s="108" t="str">
        <f aca="false">IFERROR("S$"&amp;TEXT(AVERAGEIFS('Coffee Audit'!Q2:Q2000,'Coffee Audit'!C2:C2000,B36,'Coffee Audit'!Q2:Q2000,"&gt;0"),"0.00"),"—")</f>
        <v>S$9.39</v>
      </c>
      <c r="G36" s="108" t="s">
        <v>1262</v>
      </c>
      <c r="H36" s="108" t="s">
        <v>1263</v>
      </c>
      <c r="I36" s="108" t="s">
        <v>1264</v>
      </c>
      <c r="J36" s="108" t="s">
        <v>1185</v>
      </c>
      <c r="K36" s="108" t="s">
        <v>1265</v>
      </c>
    </row>
    <row r="37" customFormat="false" ht="13.5" hidden="false" customHeight="true" outlineLevel="0" collapsed="false">
      <c r="B37" s="105" t="s">
        <v>416</v>
      </c>
      <c r="C37" s="106" t="s">
        <v>52</v>
      </c>
      <c r="D37" s="106" t="n">
        <f aca="false">COUNTIF('Coffee Audit'!C2:C2000,B37)</f>
        <v>1</v>
      </c>
      <c r="E37" s="106" t="n">
        <f aca="false">SUMPRODUCT(('Coffee Audit'!C2:C2000=B37)*('Coffee Audit'!W2:W2000="⭐ GESHA"))</f>
        <v>0</v>
      </c>
      <c r="F37" s="106" t="str">
        <f aca="false">IFERROR("S$"&amp;TEXT(AVERAGEIFS('Coffee Audit'!Q2:Q2000,'Coffee Audit'!C2:C2000,B37,'Coffee Audit'!Q2:Q2000,"&gt;0"),"0.00"),"—")</f>
        <v>S$13.00</v>
      </c>
      <c r="G37" s="106" t="s">
        <v>1266</v>
      </c>
      <c r="H37" s="106" t="s">
        <v>1267</v>
      </c>
      <c r="I37" s="106" t="s">
        <v>1019</v>
      </c>
      <c r="J37" s="106" t="s">
        <v>1185</v>
      </c>
      <c r="K37" s="106" t="s">
        <v>1268</v>
      </c>
    </row>
    <row r="38" customFormat="false" ht="13.5" hidden="false" customHeight="true" outlineLevel="0" collapsed="false">
      <c r="B38" s="107" t="s">
        <v>502</v>
      </c>
      <c r="C38" s="108" t="s">
        <v>52</v>
      </c>
      <c r="D38" s="108" t="n">
        <f aca="false">COUNTIF('Coffee Audit'!C2:C2000,B38)</f>
        <v>1</v>
      </c>
      <c r="E38" s="108" t="n">
        <f aca="false">SUMPRODUCT(('Coffee Audit'!C2:C2000=B38)*('Coffee Audit'!W2:W2000="⭐ GESHA"))</f>
        <v>0</v>
      </c>
      <c r="F38" s="108" t="str">
        <f aca="false">IFERROR("S$"&amp;TEXT(AVERAGEIFS('Coffee Audit'!Q2:Q2000,'Coffee Audit'!C2:C2000,B38,'Coffee Audit'!Q2:Q2000,"&gt;0"),"0.00"),"—")</f>
        <v>S$6.00</v>
      </c>
      <c r="G38" s="108" t="s">
        <v>1269</v>
      </c>
      <c r="H38" s="108" t="s">
        <v>1270</v>
      </c>
      <c r="I38" s="108" t="s">
        <v>1019</v>
      </c>
      <c r="J38" s="108" t="s">
        <v>1185</v>
      </c>
      <c r="K38" s="108" t="s">
        <v>1271</v>
      </c>
    </row>
    <row r="39" customFormat="false" ht="13.5" hidden="false" customHeight="true" outlineLevel="0" collapsed="false">
      <c r="B39" s="105" t="s">
        <v>456</v>
      </c>
      <c r="C39" s="106" t="s">
        <v>52</v>
      </c>
      <c r="D39" s="106" t="n">
        <f aca="false">COUNTIF('Coffee Audit'!C2:C2000,B39)</f>
        <v>1</v>
      </c>
      <c r="E39" s="106" t="n">
        <f aca="false">SUMPRODUCT(('Coffee Audit'!C2:C2000=B39)*('Coffee Audit'!W2:W2000="⭐ GESHA"))</f>
        <v>0</v>
      </c>
      <c r="F39" s="106" t="str">
        <f aca="false">IFERROR("S$"&amp;TEXT(AVERAGEIFS('Coffee Audit'!Q2:Q2000,'Coffee Audit'!C2:C2000,B39,'Coffee Audit'!Q2:Q2000,"&gt;0"),"0.00"),"—")</f>
        <v>S$9.00</v>
      </c>
      <c r="G39" s="106" t="s">
        <v>1272</v>
      </c>
      <c r="H39" s="106" t="s">
        <v>1019</v>
      </c>
      <c r="I39" s="106" t="s">
        <v>1019</v>
      </c>
      <c r="J39" s="106" t="s">
        <v>1185</v>
      </c>
      <c r="K39" s="106" t="s">
        <v>1273</v>
      </c>
    </row>
    <row r="40" customFormat="false" ht="13.5" hidden="false" customHeight="true" outlineLevel="0" collapsed="false">
      <c r="B40" s="111" t="s">
        <v>302</v>
      </c>
      <c r="C40" s="112" t="s">
        <v>52</v>
      </c>
      <c r="D40" s="112" t="n">
        <f aca="false">COUNTIF('Coffee Audit'!C2:C2000,B40)</f>
        <v>1</v>
      </c>
      <c r="E40" s="112" t="n">
        <f aca="false">SUMPRODUCT(('Coffee Audit'!C2:C2000=B40)*('Coffee Audit'!W2:W2000="⭐ GESHA"))</f>
        <v>0</v>
      </c>
      <c r="F40" s="112" t="str">
        <f aca="false">IFERROR("S$"&amp;TEXT(AVERAGEIFS('Coffee Audit'!Q2:Q2000,'Coffee Audit'!C2:C2000,B40,'Coffee Audit'!Q2:Q2000,"&gt;0"),"0.00"),"—")</f>
        <v>S$9.00</v>
      </c>
      <c r="G40" s="112" t="s">
        <v>1274</v>
      </c>
      <c r="H40" s="112" t="s">
        <v>1019</v>
      </c>
      <c r="I40" s="112" t="s">
        <v>1019</v>
      </c>
      <c r="J40" s="112" t="s">
        <v>1275</v>
      </c>
      <c r="K40" s="112" t="s">
        <v>1276</v>
      </c>
    </row>
    <row r="41" customFormat="false" ht="13.5" hidden="false" customHeight="true" outlineLevel="0" collapsed="false">
      <c r="B41" s="111" t="s">
        <v>88</v>
      </c>
      <c r="C41" s="112" t="s">
        <v>52</v>
      </c>
      <c r="D41" s="112" t="n">
        <f aca="false">COUNTIF('Coffee Audit'!C2:C2000,B41)</f>
        <v>2</v>
      </c>
      <c r="E41" s="112" t="n">
        <f aca="false">SUMPRODUCT(('Coffee Audit'!C2:C2000=B41)*('Coffee Audit'!W2:W2000="⭐ GESHA"))</f>
        <v>0</v>
      </c>
      <c r="F41" s="112" t="str">
        <f aca="false">IFERROR("S$"&amp;TEXT(AVERAGEIFS('Coffee Audit'!Q2:Q2000,'Coffee Audit'!C2:C2000,B41,'Coffee Audit'!Q2:Q2000,"&gt;0"),"0.00"),"—")</f>
        <v>—</v>
      </c>
      <c r="G41" s="112" t="s">
        <v>1277</v>
      </c>
      <c r="H41" s="112" t="s">
        <v>1019</v>
      </c>
      <c r="I41" s="112" t="s">
        <v>1019</v>
      </c>
      <c r="J41" s="112" t="s">
        <v>1275</v>
      </c>
      <c r="K41" s="112" t="s">
        <v>1278</v>
      </c>
    </row>
    <row r="42" customFormat="false" ht="13.5" hidden="false" customHeight="true" outlineLevel="0" collapsed="false">
      <c r="B42" s="105" t="s">
        <v>25</v>
      </c>
      <c r="C42" s="106" t="s">
        <v>24</v>
      </c>
      <c r="D42" s="106" t="n">
        <f aca="false">COUNTIF('Coffee Audit'!C2:C2000,B42)</f>
        <v>3</v>
      </c>
      <c r="E42" s="106" t="n">
        <f aca="false">SUMPRODUCT(('Coffee Audit'!C2:C2000=B42)*('Coffee Audit'!W2:W2000="⭐ GESHA"))</f>
        <v>0</v>
      </c>
      <c r="F42" s="106" t="str">
        <f aca="false">IFERROR("S$"&amp;TEXT(AVERAGEIFS('Coffee Audit'!Q2:Q2000,'Coffee Audit'!C2:C2000,B42,'Coffee Audit'!Q2:Q2000,"&gt;0"),"0.00"),"—")</f>
        <v>—</v>
      </c>
      <c r="G42" s="106" t="s">
        <v>1279</v>
      </c>
      <c r="H42" s="106" t="s">
        <v>1280</v>
      </c>
      <c r="I42" s="106" t="s">
        <v>1281</v>
      </c>
      <c r="J42" s="106" t="s">
        <v>1282</v>
      </c>
      <c r="K42" s="106" t="s">
        <v>1283</v>
      </c>
    </row>
    <row r="43" customFormat="false" ht="13.5" hidden="false" customHeight="true" outlineLevel="0" collapsed="false">
      <c r="B43" s="105" t="s">
        <v>70</v>
      </c>
      <c r="C43" s="106" t="s">
        <v>69</v>
      </c>
      <c r="D43" s="106" t="n">
        <f aca="false">COUNTIF('Coffee Audit'!C2:C2000,B43)</f>
        <v>1</v>
      </c>
      <c r="E43" s="106" t="n">
        <f aca="false">SUMPRODUCT(('Coffee Audit'!C2:C2000=B43)*('Coffee Audit'!W2:W2000="⭐ GESHA"))</f>
        <v>0</v>
      </c>
      <c r="F43" s="106" t="str">
        <f aca="false">IFERROR("S$"&amp;TEXT(AVERAGEIFS('Coffee Audit'!Q2:Q2000,'Coffee Audit'!C2:C2000,B43,'Coffee Audit'!Q2:Q2000,"&gt;0"),"0.00"),"—")</f>
        <v>—</v>
      </c>
      <c r="G43" s="106" t="s">
        <v>1284</v>
      </c>
      <c r="H43" s="106" t="s">
        <v>1285</v>
      </c>
      <c r="I43" s="106" t="s">
        <v>1286</v>
      </c>
      <c r="J43" s="106" t="s">
        <v>1282</v>
      </c>
      <c r="K43" s="106" t="s">
        <v>1287</v>
      </c>
    </row>
    <row r="44" customFormat="false" ht="13.5" hidden="false" customHeight="true" outlineLevel="0" collapsed="false">
      <c r="B44" s="105" t="s">
        <v>80</v>
      </c>
      <c r="C44" s="106" t="s">
        <v>69</v>
      </c>
      <c r="D44" s="106" t="n">
        <f aca="false">COUNTIF('Coffee Audit'!C2:C2000,B44)</f>
        <v>1</v>
      </c>
      <c r="E44" s="106" t="n">
        <f aca="false">SUMPRODUCT(('Coffee Audit'!C2:C2000=B44)*('Coffee Audit'!W2:W2000="⭐ GESHA"))</f>
        <v>0</v>
      </c>
      <c r="F44" s="106" t="str">
        <f aca="false">IFERROR("S$"&amp;TEXT(AVERAGEIFS('Coffee Audit'!Q2:Q2000,'Coffee Audit'!C2:C2000,B44,'Coffee Audit'!Q2:Q2000,"&gt;0"),"0.00"),"—")</f>
        <v>—</v>
      </c>
      <c r="G44" s="106" t="s">
        <v>1288</v>
      </c>
      <c r="H44" s="106" t="s">
        <v>1289</v>
      </c>
      <c r="I44" s="106" t="s">
        <v>1019</v>
      </c>
      <c r="J44" s="106" t="s">
        <v>1282</v>
      </c>
      <c r="K44" s="106" t="s">
        <v>1287</v>
      </c>
    </row>
    <row r="45" customFormat="false" ht="13.5" hidden="false" customHeight="true" outlineLevel="0" collapsed="false">
      <c r="B45" s="109" t="s">
        <v>228</v>
      </c>
      <c r="C45" s="110" t="s">
        <v>227</v>
      </c>
      <c r="D45" s="110" t="n">
        <f aca="false">COUNTIF('Coffee Audit'!C2:C2000,B45)</f>
        <v>1</v>
      </c>
      <c r="E45" s="110" t="n">
        <f aca="false">SUMPRODUCT(('Coffee Audit'!C2:C2000=B45)*('Coffee Audit'!W2:W2000="⭐ GESHA"))</f>
        <v>0</v>
      </c>
      <c r="F45" s="110" t="str">
        <f aca="false">IFERROR("S$"&amp;TEXT(AVERAGEIFS('Coffee Audit'!Q2:Q2000,'Coffee Audit'!C2:C2000,B45,'Coffee Audit'!Q2:Q2000,"&gt;0"),"0.00"),"—")</f>
        <v>S$11.08</v>
      </c>
      <c r="G45" s="110" t="s">
        <v>1290</v>
      </c>
      <c r="H45" s="110" t="s">
        <v>1019</v>
      </c>
      <c r="I45" s="110" t="s">
        <v>1019</v>
      </c>
      <c r="J45" s="110" t="s">
        <v>1207</v>
      </c>
      <c r="K45" s="110" t="s">
        <v>1291</v>
      </c>
    </row>
    <row r="46" customFormat="false" ht="7.5" hidden="false" customHeight="true" outlineLevel="0" collapsed="false">
      <c r="B46" s="109" t="s">
        <v>748</v>
      </c>
      <c r="C46" s="110" t="s">
        <v>52</v>
      </c>
      <c r="D46" s="110" t="n">
        <f aca="false">COUNTIF('Coffee Audit'!C2:C2000,B46)</f>
        <v>1</v>
      </c>
      <c r="E46" s="110" t="n">
        <f aca="false">SUMPRODUCT(('Coffee Audit'!C2:C2000=B46)*('Coffee Audit'!W2:W2000="⭐ GESHA"))</f>
        <v>1</v>
      </c>
      <c r="F46" s="110" t="str">
        <f aca="false">IFERROR("S$"&amp;TEXT(AVERAGEIFS('Coffee Audit'!Q2:Q2000,'Coffee Audit'!C2:C2000,B46,'Coffee Audit'!Q2:Q2000,"&gt;0"),"0.00"),"—")</f>
        <v>S$12.00</v>
      </c>
      <c r="G46" s="110" t="s">
        <v>758</v>
      </c>
      <c r="H46" s="110" t="s">
        <v>1292</v>
      </c>
      <c r="I46" s="110" t="s">
        <v>1293</v>
      </c>
      <c r="J46" s="110" t="s">
        <v>1207</v>
      </c>
      <c r="K46" s="110" t="s">
        <v>1294</v>
      </c>
    </row>
    <row r="47" customFormat="false" ht="15.75" hidden="false" customHeight="true" outlineLevel="0" collapsed="false">
      <c r="B47" s="109" t="s">
        <v>737</v>
      </c>
      <c r="C47" s="110" t="s">
        <v>52</v>
      </c>
      <c r="D47" s="110" t="n">
        <f aca="false">COUNTIF('Coffee Audit'!C2:C2000,B47)</f>
        <v>2</v>
      </c>
      <c r="E47" s="110" t="n">
        <f aca="false">SUMPRODUCT(('Coffee Audit'!C2:C2000=B47)*('Coffee Audit'!W2:W2000="⭐ GESHA"))</f>
        <v>0</v>
      </c>
      <c r="F47" s="110" t="str">
        <f aca="false">IFERROR("S$"&amp;TEXT(AVERAGEIFS('Coffee Audit'!Q2:Q2000,'Coffee Audit'!C2:C2000,B47,'Coffee Audit'!Q2:Q2000,"&gt;0"),"0.00"),"—")</f>
        <v>S$9.50</v>
      </c>
      <c r="G47" s="110" t="s">
        <v>747</v>
      </c>
      <c r="H47" s="110" t="s">
        <v>1249</v>
      </c>
      <c r="I47" s="110" t="s">
        <v>1250</v>
      </c>
      <c r="J47" s="110" t="s">
        <v>1185</v>
      </c>
      <c r="K47" s="110" t="s">
        <v>1295</v>
      </c>
    </row>
    <row r="48" customFormat="false" ht="13.5" hidden="false" customHeight="true" outlineLevel="0" collapsed="false">
      <c r="B48" s="109" t="s">
        <v>668</v>
      </c>
      <c r="C48" s="110" t="s">
        <v>52</v>
      </c>
      <c r="D48" s="110" t="n">
        <f aca="false">COUNTIF('Coffee Audit'!C2:C2000,B48)</f>
        <v>3</v>
      </c>
      <c r="E48" s="110" t="n">
        <f aca="false">SUMPRODUCT(('Coffee Audit'!C2:C2000=B48)*('Coffee Audit'!W2:W2000="⭐ GESHA"))</f>
        <v>2</v>
      </c>
      <c r="F48" s="110" t="str">
        <f aca="false">IFERROR("S$"&amp;TEXT(AVERAGEIFS('Coffee Audit'!Q2:Q2000,'Coffee Audit'!C2:C2000,B48,'Coffee Audit'!Q2:Q2000,"&gt;0"),"0.00"),"—")</f>
        <v>S$26.67</v>
      </c>
      <c r="G48" s="110" t="s">
        <v>1296</v>
      </c>
      <c r="H48" s="110" t="s">
        <v>1297</v>
      </c>
      <c r="I48" s="110" t="s">
        <v>1019</v>
      </c>
      <c r="J48" s="110" t="s">
        <v>1275</v>
      </c>
      <c r="K48" s="110" t="s">
        <v>1298</v>
      </c>
    </row>
    <row r="49" customFormat="false" ht="13.5" hidden="false" customHeight="true" outlineLevel="0" collapsed="false">
      <c r="B49" s="109" t="s">
        <v>344</v>
      </c>
      <c r="C49" s="110" t="s">
        <v>52</v>
      </c>
      <c r="D49" s="110" t="n">
        <f aca="false">COUNTIF('Coffee Audit'!C2:C2000,B49)</f>
        <v>2</v>
      </c>
      <c r="E49" s="110" t="n">
        <f aca="false">SUMPRODUCT(('Coffee Audit'!C2:C2000=B49)*('Coffee Audit'!W2:W2000="⭐ GESHA"))</f>
        <v>0</v>
      </c>
      <c r="F49" s="110" t="str">
        <f aca="false">IFERROR("S$"&amp;TEXT(AVERAGEIFS('Coffee Audit'!Q2:Q2000,'Coffee Audit'!C2:C2000,B49,'Coffee Audit'!Q2:Q2000,"&gt;0"),"0.00"),"—")</f>
        <v>S$9.50</v>
      </c>
      <c r="G49" s="110" t="s">
        <v>1299</v>
      </c>
      <c r="H49" s="110" t="s">
        <v>1300</v>
      </c>
      <c r="I49" s="110" t="s">
        <v>1019</v>
      </c>
      <c r="J49" s="110" t="s">
        <v>1282</v>
      </c>
      <c r="K49" s="110" t="s">
        <v>1301</v>
      </c>
    </row>
    <row r="50" customFormat="false" ht="13.5" hidden="false" customHeight="true" outlineLevel="0" collapsed="false">
      <c r="B50" s="109" t="s">
        <v>713</v>
      </c>
      <c r="C50" s="110" t="s">
        <v>52</v>
      </c>
      <c r="D50" s="110" t="n">
        <f aca="false">COUNTIF('Coffee Audit'!C2:C2000,B50)</f>
        <v>1</v>
      </c>
      <c r="E50" s="110" t="n">
        <f aca="false">SUMPRODUCT(('Coffee Audit'!C2:C2000=B50)*('Coffee Audit'!W2:W2000="⭐ GESHA"))</f>
        <v>1</v>
      </c>
      <c r="F50" s="110" t="str">
        <f aca="false">IFERROR("S$"&amp;TEXT(AVERAGEIFS('Coffee Audit'!Q2:Q2000,'Coffee Audit'!C2:C2000,B50,'Coffee Audit'!Q2:Q2000,"&gt;0"),"0.00"),"—")</f>
        <v>S$16.00</v>
      </c>
      <c r="G50" s="110" t="s">
        <v>1302</v>
      </c>
      <c r="H50" s="110" t="s">
        <v>1303</v>
      </c>
      <c r="I50" s="110" t="s">
        <v>1019</v>
      </c>
      <c r="J50" s="110" t="s">
        <v>1207</v>
      </c>
      <c r="K50" s="110" t="s">
        <v>1304</v>
      </c>
    </row>
    <row r="51" customFormat="false" ht="13.5" hidden="false" customHeight="true" outlineLevel="0" collapsed="false">
      <c r="B51" s="109" t="s">
        <v>784</v>
      </c>
      <c r="C51" s="110" t="s">
        <v>52</v>
      </c>
      <c r="D51" s="110" t="n">
        <f aca="false">COUNTIF('Coffee Audit'!C2:C2000,B51)</f>
        <v>1</v>
      </c>
      <c r="E51" s="110" t="n">
        <f aca="false">SUMPRODUCT(('Coffee Audit'!C2:C2000=B51)*('Coffee Audit'!W2:W2000="⭐ GESHA"))</f>
        <v>1</v>
      </c>
      <c r="F51" s="110" t="str">
        <f aca="false">IFERROR("S$"&amp;TEXT(AVERAGEIFS('Coffee Audit'!Q2:Q2000,'Coffee Audit'!C2:C2000,B51,'Coffee Audit'!Q2:Q2000,"&gt;0"),"0.00"),"—")</f>
        <v>S$10.50</v>
      </c>
      <c r="G51" s="110" t="s">
        <v>794</v>
      </c>
      <c r="H51" s="110" t="s">
        <v>1249</v>
      </c>
      <c r="I51" s="110" t="s">
        <v>1250</v>
      </c>
      <c r="J51" s="110" t="s">
        <v>1207</v>
      </c>
      <c r="K51" s="110" t="s">
        <v>1305</v>
      </c>
    </row>
    <row r="52" customFormat="false" ht="12.75" hidden="false" customHeight="true" outlineLevel="0" collapsed="false">
      <c r="B52" s="113"/>
      <c r="C52" s="113"/>
      <c r="D52" s="113"/>
      <c r="E52" s="113"/>
      <c r="F52" s="113"/>
      <c r="G52" s="113"/>
      <c r="H52" s="113"/>
      <c r="I52" s="113"/>
      <c r="J52" s="113"/>
      <c r="K52" s="113"/>
      <c r="L52" s="113"/>
    </row>
    <row r="53" customFormat="false" ht="59.25" hidden="false" customHeight="true" outlineLevel="0" collapsed="false">
      <c r="B53" s="93" t="s">
        <v>1306</v>
      </c>
    </row>
    <row r="54" customFormat="false" ht="39.75" hidden="false" customHeight="true" outlineLevel="0" collapsed="false">
      <c r="B54" s="75" t="s">
        <v>1307</v>
      </c>
      <c r="C54" s="75" t="s">
        <v>1308</v>
      </c>
      <c r="D54" s="75" t="s">
        <v>1309</v>
      </c>
    </row>
    <row r="55" customFormat="false" ht="69" hidden="false" customHeight="true" outlineLevel="0" collapsed="false">
      <c r="B55" s="94" t="s">
        <v>1207</v>
      </c>
      <c r="C55" s="95" t="s">
        <v>1310</v>
      </c>
      <c r="D55" s="95" t="s">
        <v>1311</v>
      </c>
    </row>
    <row r="56" customFormat="false" ht="59.25" hidden="false" customHeight="true" outlineLevel="0" collapsed="false">
      <c r="B56" s="80" t="s">
        <v>1185</v>
      </c>
      <c r="C56" s="81" t="s">
        <v>1312</v>
      </c>
      <c r="D56" s="81" t="s">
        <v>1313</v>
      </c>
    </row>
    <row r="57" customFormat="false" ht="39.75" hidden="false" customHeight="true" outlineLevel="0" collapsed="false">
      <c r="B57" s="86" t="s">
        <v>1282</v>
      </c>
      <c r="C57" s="87" t="s">
        <v>1314</v>
      </c>
      <c r="D57" s="87" t="s">
        <v>1315</v>
      </c>
    </row>
    <row r="58" customFormat="false" ht="39.75" hidden="false" customHeight="true" outlineLevel="0" collapsed="false">
      <c r="B58" s="98" t="s">
        <v>1275</v>
      </c>
      <c r="C58" s="99" t="s">
        <v>1316</v>
      </c>
      <c r="D58" s="99" t="s">
        <v>1317</v>
      </c>
    </row>
  </sheetData>
  <mergeCells count="5">
    <mergeCell ref="B1:L1"/>
    <mergeCell ref="B2:L2"/>
    <mergeCell ref="B4:L4"/>
    <mergeCell ref="B11:L11"/>
    <mergeCell ref="B52:L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1" t="s">
        <v>1318</v>
      </c>
      <c r="C1" s="71"/>
      <c r="D1" s="71"/>
      <c r="E1" s="71"/>
      <c r="F1" s="71"/>
      <c r="G1" s="71"/>
      <c r="H1" s="71"/>
      <c r="I1" s="71"/>
      <c r="J1" s="71"/>
    </row>
    <row r="2" customFormat="false" ht="13.5" hidden="false" customHeight="true" outlineLevel="0" collapsed="false">
      <c r="B2" s="104" t="s">
        <v>1319</v>
      </c>
      <c r="C2" s="104"/>
      <c r="D2" s="104"/>
      <c r="E2" s="104"/>
      <c r="F2" s="104"/>
      <c r="G2" s="104"/>
      <c r="H2" s="104"/>
      <c r="I2" s="104"/>
      <c r="J2" s="104"/>
    </row>
    <row r="3" customFormat="false" ht="6" hidden="false" customHeight="true" outlineLevel="0" collapsed="false"/>
    <row r="4" customFormat="false" ht="15.75" hidden="false" customHeight="true" outlineLevel="0" collapsed="false">
      <c r="B4" s="73" t="s">
        <v>1320</v>
      </c>
      <c r="C4" s="73"/>
      <c r="D4" s="73"/>
      <c r="E4" s="73"/>
      <c r="F4" s="73"/>
      <c r="G4" s="73"/>
      <c r="H4" s="73"/>
      <c r="I4" s="73"/>
      <c r="J4" s="73"/>
    </row>
    <row r="5" customFormat="false" ht="15.75" hidden="false" customHeight="true" outlineLevel="0" collapsed="false">
      <c r="B5" s="75" t="s">
        <v>1321</v>
      </c>
      <c r="C5" s="75" t="s">
        <v>1308</v>
      </c>
    </row>
    <row r="6" customFormat="false" ht="12.75" hidden="false" customHeight="true" outlineLevel="0" collapsed="false">
      <c r="B6" s="114"/>
      <c r="C6" s="115" t="s">
        <v>1322</v>
      </c>
    </row>
    <row r="7" customFormat="false" ht="12.75" hidden="false" customHeight="true" outlineLevel="0" collapsed="false">
      <c r="B7" s="116"/>
      <c r="C7" s="115" t="s">
        <v>1323</v>
      </c>
    </row>
    <row r="8" customFormat="false" ht="12.75" hidden="false" customHeight="true" outlineLevel="0" collapsed="false">
      <c r="B8" s="117"/>
      <c r="C8" s="115" t="s">
        <v>1324</v>
      </c>
    </row>
    <row r="9" customFormat="false" ht="12.75" hidden="false" customHeight="true" outlineLevel="0" collapsed="false">
      <c r="B9" s="118"/>
      <c r="C9" s="115" t="s">
        <v>1325</v>
      </c>
    </row>
    <row r="10" customFormat="false" ht="7.5" hidden="false" customHeight="true" outlineLevel="0" collapsed="false"/>
    <row r="11" customFormat="false" ht="15.75" hidden="false" customHeight="true" outlineLevel="0" collapsed="false">
      <c r="B11" s="73" t="s">
        <v>1326</v>
      </c>
      <c r="C11" s="73"/>
      <c r="D11" s="73"/>
      <c r="E11" s="73"/>
      <c r="F11" s="73"/>
      <c r="G11" s="73"/>
      <c r="H11" s="73"/>
      <c r="I11" s="73"/>
      <c r="J11" s="73"/>
    </row>
    <row r="12" customFormat="false" ht="19.5" hidden="false" customHeight="true" outlineLevel="0" collapsed="false">
      <c r="B12" s="101" t="s">
        <v>1327</v>
      </c>
      <c r="C12" s="101"/>
      <c r="D12" s="101"/>
      <c r="E12" s="101"/>
      <c r="F12" s="101"/>
      <c r="G12" s="101"/>
      <c r="H12" s="101"/>
      <c r="I12" s="101"/>
    </row>
    <row r="13" customFormat="false" ht="19.5" hidden="false" customHeight="true" outlineLevel="0" collapsed="false">
      <c r="B13" s="102" t="s">
        <v>1328</v>
      </c>
      <c r="C13" s="102"/>
      <c r="D13" s="102"/>
      <c r="E13" s="102"/>
      <c r="F13" s="102"/>
      <c r="G13" s="102"/>
      <c r="H13" s="102"/>
      <c r="I13" s="102"/>
    </row>
    <row r="14" customFormat="false" ht="19.5" hidden="false" customHeight="true" outlineLevel="0" collapsed="false">
      <c r="B14" s="101" t="s">
        <v>1329</v>
      </c>
      <c r="C14" s="101"/>
      <c r="D14" s="101"/>
      <c r="E14" s="101"/>
      <c r="F14" s="101"/>
      <c r="G14" s="101"/>
      <c r="H14" s="101"/>
      <c r="I14" s="101"/>
    </row>
    <row r="15" customFormat="false" ht="19.5" hidden="false" customHeight="true" outlineLevel="0" collapsed="false">
      <c r="B15" s="102" t="s">
        <v>1330</v>
      </c>
      <c r="C15" s="102"/>
      <c r="D15" s="102"/>
      <c r="E15" s="102"/>
      <c r="F15" s="102"/>
      <c r="G15" s="102"/>
      <c r="H15" s="102"/>
      <c r="I15" s="102"/>
    </row>
    <row r="16" customFormat="false" ht="19.5" hidden="false" customHeight="true" outlineLevel="0" collapsed="false">
      <c r="B16" s="101" t="s">
        <v>1331</v>
      </c>
      <c r="C16" s="101"/>
      <c r="D16" s="101"/>
      <c r="E16" s="101"/>
      <c r="F16" s="101"/>
      <c r="G16" s="101"/>
      <c r="H16" s="101"/>
      <c r="I16" s="101"/>
    </row>
    <row r="17" customFormat="false" ht="19.5" hidden="false" customHeight="true" outlineLevel="0" collapsed="false">
      <c r="B17" s="102" t="s">
        <v>1332</v>
      </c>
      <c r="C17" s="102"/>
      <c r="D17" s="102"/>
      <c r="E17" s="102"/>
      <c r="F17" s="102"/>
      <c r="G17" s="102"/>
      <c r="H17" s="102"/>
      <c r="I17" s="102"/>
    </row>
    <row r="18" customFormat="false" ht="19.5" hidden="false" customHeight="true" outlineLevel="0" collapsed="false">
      <c r="B18" s="101" t="s">
        <v>1333</v>
      </c>
      <c r="C18" s="101"/>
      <c r="D18" s="101"/>
      <c r="E18" s="101"/>
      <c r="F18" s="101"/>
      <c r="G18" s="101"/>
      <c r="H18" s="101"/>
      <c r="I18" s="101"/>
    </row>
    <row r="19" customFormat="false" ht="7.5" hidden="false" customHeight="true" outlineLevel="0" collapsed="false"/>
    <row r="20" customFormat="false" ht="15.75" hidden="false" customHeight="true" outlineLevel="0" collapsed="false">
      <c r="B20" s="73" t="s">
        <v>1334</v>
      </c>
      <c r="C20" s="73"/>
      <c r="D20" s="73"/>
      <c r="E20" s="73"/>
      <c r="F20" s="73"/>
      <c r="G20" s="73"/>
      <c r="H20" s="73"/>
      <c r="I20" s="73"/>
      <c r="J20" s="73"/>
    </row>
    <row r="21" customFormat="false" ht="18" hidden="false" customHeight="true" outlineLevel="0" collapsed="false">
      <c r="B21" s="119" t="s">
        <v>1335</v>
      </c>
      <c r="C21" s="119"/>
      <c r="D21" s="119"/>
      <c r="E21" s="119"/>
      <c r="F21" s="119"/>
      <c r="G21" s="119"/>
      <c r="H21" s="119"/>
      <c r="I21" s="119"/>
    </row>
    <row r="22" customFormat="false" ht="18" hidden="false" customHeight="true" outlineLevel="0" collapsed="false">
      <c r="B22" s="120" t="s">
        <v>1336</v>
      </c>
      <c r="C22" s="120"/>
      <c r="D22" s="120"/>
      <c r="E22" s="120"/>
      <c r="F22" s="120"/>
      <c r="G22" s="120"/>
      <c r="H22" s="120"/>
      <c r="I22" s="120"/>
    </row>
    <row r="23" customFormat="false" ht="18" hidden="false" customHeight="true" outlineLevel="0" collapsed="false">
      <c r="B23" s="119" t="s">
        <v>1337</v>
      </c>
      <c r="C23" s="119"/>
      <c r="D23" s="119"/>
      <c r="E23" s="119"/>
      <c r="F23" s="119"/>
      <c r="G23" s="119"/>
      <c r="H23" s="119"/>
      <c r="I23" s="119"/>
    </row>
    <row r="24" customFormat="false" ht="18" hidden="false" customHeight="true" outlineLevel="0" collapsed="false">
      <c r="B24" s="120" t="s">
        <v>1338</v>
      </c>
      <c r="C24" s="120"/>
      <c r="D24" s="120"/>
      <c r="E24" s="120"/>
      <c r="F24" s="120"/>
      <c r="G24" s="120"/>
      <c r="H24" s="120"/>
      <c r="I24" s="120"/>
    </row>
    <row r="25" customFormat="false" ht="18" hidden="false" customHeight="true" outlineLevel="0" collapsed="false">
      <c r="B25" s="119" t="s">
        <v>1339</v>
      </c>
      <c r="C25" s="119"/>
      <c r="D25" s="119"/>
      <c r="E25" s="119"/>
      <c r="F25" s="119"/>
      <c r="G25" s="119"/>
      <c r="H25" s="119"/>
      <c r="I25" s="119"/>
    </row>
    <row r="26" customFormat="false" ht="18" hidden="false" customHeight="true" outlineLevel="0" collapsed="false">
      <c r="B26" s="120" t="s">
        <v>1340</v>
      </c>
      <c r="C26" s="120"/>
      <c r="D26" s="120"/>
      <c r="E26" s="120"/>
      <c r="F26" s="120"/>
      <c r="G26" s="120"/>
      <c r="H26" s="120"/>
      <c r="I26" s="120"/>
    </row>
    <row r="27" customFormat="false" ht="18" hidden="false" customHeight="true" outlineLevel="0" collapsed="false">
      <c r="B27" s="119" t="s">
        <v>1341</v>
      </c>
      <c r="C27" s="119"/>
      <c r="D27" s="119"/>
      <c r="E27" s="119"/>
      <c r="F27" s="119"/>
      <c r="G27" s="119"/>
      <c r="H27" s="119"/>
      <c r="I27" s="119"/>
    </row>
    <row r="28" customFormat="false" ht="18" hidden="false" customHeight="true" outlineLevel="0" collapsed="false">
      <c r="B28" s="120" t="s">
        <v>1342</v>
      </c>
      <c r="C28" s="120"/>
      <c r="D28" s="120"/>
      <c r="E28" s="120"/>
      <c r="F28" s="120"/>
      <c r="G28" s="120"/>
      <c r="H28" s="120"/>
      <c r="I28" s="120"/>
    </row>
    <row r="29" customFormat="false" ht="18" hidden="false" customHeight="true" outlineLevel="0" collapsed="false">
      <c r="B29" s="119" t="s">
        <v>1343</v>
      </c>
      <c r="C29" s="119"/>
      <c r="D29" s="119"/>
      <c r="E29" s="119"/>
      <c r="F29" s="119"/>
      <c r="G29" s="119"/>
      <c r="H29" s="119"/>
      <c r="I29" s="11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21" t="s">
        <v>1344</v>
      </c>
    </row>
    <row r="3" customFormat="false" ht="15" hidden="false" customHeight="true" outlineLevel="0" collapsed="false">
      <c r="A3" s="121" t="s">
        <v>1345</v>
      </c>
      <c r="B3" s="122" t="n">
        <f aca="false">COUNTA('Coffee Audit'!A2:A2000)</f>
        <v>75</v>
      </c>
    </row>
    <row r="4" customFormat="false" ht="15" hidden="false" customHeight="true" outlineLevel="0" collapsed="false">
      <c r="A4" s="121" t="s">
        <v>1346</v>
      </c>
      <c r="B4" s="122" t="n">
        <v>15</v>
      </c>
    </row>
    <row r="5" customFormat="false" ht="15" hidden="false" customHeight="true" outlineLevel="0" collapsed="false">
      <c r="A5" s="121" t="s">
        <v>1347</v>
      </c>
      <c r="B5" s="122" t="n">
        <v>8</v>
      </c>
    </row>
    <row r="6" customFormat="false" ht="15" hidden="false" customHeight="true" outlineLevel="0" collapsed="false">
      <c r="A6" s="121" t="s">
        <v>1348</v>
      </c>
      <c r="B6" s="122" t="n">
        <v>5</v>
      </c>
    </row>
    <row r="7" customFormat="false" ht="15" hidden="false" customHeight="true" outlineLevel="0" collapsed="false">
      <c r="A7" s="121" t="s">
        <v>1349</v>
      </c>
      <c r="B7" s="122" t="n">
        <f aca="false">SUMPRODUCT(('Coffee Audit'!B2:B2000&lt;&gt;"")/COUNTIF('Coffee Audit'!B2:B2000,'Coffee Audit'!B2:B2000&amp;""))</f>
        <v>4</v>
      </c>
    </row>
    <row r="8" customFormat="false" ht="15" hidden="false" customHeight="true" outlineLevel="0" collapsed="false">
      <c r="A8" s="121" t="s">
        <v>1350</v>
      </c>
      <c r="B8" s="122" t="n">
        <f aca="false">SUMPRODUCT(('Coffee Audit'!C2:C2000&lt;&gt;"")/COUNTIF('Coffee Audit'!C2:C2000,'Coffee Audit'!C2:C2000&amp;""))</f>
        <v>38</v>
      </c>
    </row>
    <row r="9" customFormat="false" ht="15" hidden="false" customHeight="true" outlineLevel="0" collapsed="false">
      <c r="A9" s="121" t="s">
        <v>1351</v>
      </c>
      <c r="B9" s="122" t="str">
        <f aca="false">TEXT(MIN('Coffee Audit'!A2:A2000),"YYYY-MM-DD")&amp;"  →  "&amp;TEXT(MAX('Coffee Audit'!A2:A2000),"YYYY-MM-DD")</f>
        <v>2026-01-03  →  2026-08-01</v>
      </c>
    </row>
    <row r="11" customFormat="false" ht="16.5" hidden="false" customHeight="true" outlineLevel="0" collapsed="false">
      <c r="B11" s="123" t="s">
        <v>1352</v>
      </c>
      <c r="C11" s="123"/>
      <c r="D11" s="123"/>
      <c r="E11" s="123"/>
      <c r="F11" s="123"/>
    </row>
    <row r="12" customFormat="false" ht="15" hidden="false" customHeight="true" outlineLevel="0" collapsed="false">
      <c r="B12" s="32" t="s">
        <v>1353</v>
      </c>
      <c r="C12" s="32" t="s">
        <v>1354</v>
      </c>
      <c r="D12" s="32" t="s">
        <v>987</v>
      </c>
      <c r="E12" s="32" t="s">
        <v>1355</v>
      </c>
    </row>
    <row r="13" customFormat="false" ht="12.75" hidden="false" customHeight="true" outlineLevel="0" collapsed="false">
      <c r="B13" s="55" t="s">
        <v>1356</v>
      </c>
      <c r="C13" s="46" t="n">
        <f aca="false">COUNTA('Coffee Audit'!A2:A2000)</f>
        <v>75</v>
      </c>
      <c r="D13" s="44" t="str">
        <f aca="false">IF(COUNTA('Coffee Audit'!A2:A2000)&gt;0,"✅ OK","🚨 EMPTY")</f>
        <v>✅ OK</v>
      </c>
      <c r="E13" s="92" t="s">
        <v>1357</v>
      </c>
    </row>
    <row r="14" customFormat="false" ht="12.75" hidden="false" customHeight="true" outlineLevel="0" collapsed="false">
      <c r="B14" s="58" t="s">
        <v>1358</v>
      </c>
      <c r="C14" s="41" t="n">
        <f aca="false">SUMPRODUCT((('Coffee Audit'!W2:W2000="⭐ GESHA")&lt;&gt;(ISNUMBER(SEARCH("gesha",'Coffee Audit'!G2:G2000&amp;""))+ISNUMBER(SEARCH("geisha",'Coffee Audit'!G2:G2000&amp;""))&gt;0))*('Coffee Audit'!A2:A2000&lt;&gt;""))</f>
        <v>0</v>
      </c>
      <c r="D14" s="39" t="str">
        <f aca="false">IF(SUMPRODUCT((('Coffee Audit'!W2:W2000="⭐ GESHA")&lt;&gt;(ISNUMBER(SEARCH("gesha",'Coffee Audit'!G2:G2000&amp;""))+ISNUMBER(SEARCH("geisha",'Coffee Audit'!G2:G2000&amp;""))&gt;0))*('Coffee Audit'!A2:A2000&lt;&gt;""))=0,"✅ OK","🚨 MISMATCH")</f>
        <v>✅ OK</v>
      </c>
      <c r="E14" s="124" t="s">
        <v>1359</v>
      </c>
    </row>
    <row r="15" customFormat="false" ht="12.75" hidden="false" customHeight="true" outlineLevel="0" collapsed="false">
      <c r="B15" s="55" t="s">
        <v>1360</v>
      </c>
      <c r="C15" s="46" t="n">
        <f aca="false">SUMPRODUCT(--('Coffee Audit'!A2:A2000=""))-COUNTBLANK('Coffee Audit'!A2:A2000)+COUNTBLANK('Coffee Audit'!A2:A2000)-(2000-1-COUNTA('Coffee Audit'!A2:A2000))</f>
        <v>0</v>
      </c>
      <c r="D15" s="44" t="str">
        <f aca="false">IF(COUNT('Coffee Audit'!A2:A2000)=COUNTA('Coffee Audit'!A2:A2000),"✅ OK","⚠️ CHECK")</f>
        <v>✅ OK</v>
      </c>
      <c r="E15" s="92" t="s">
        <v>1361</v>
      </c>
    </row>
    <row r="16" customFormat="false" ht="12.75" hidden="false" customHeight="true" outlineLevel="0" collapsed="false">
      <c r="B16" s="58" t="s">
        <v>1362</v>
      </c>
      <c r="C16" s="41" t="n">
        <f aca="false">SUMPRODUCT(('Coffee Audit'!A2:A2000&lt;&gt;"")*('Coffee Audit'!C2:C2000=""))</f>
        <v>0</v>
      </c>
      <c r="D16" s="39" t="str">
        <f aca="false">IF(SUMPRODUCT(('Coffee Audit'!A2:A2000&lt;&gt;"")*('Coffee Audit'!C2:C2000=""))=0,"✅ OK","🚨 BLANK")</f>
        <v>✅ OK</v>
      </c>
      <c r="E16" s="124" t="s">
        <v>1363</v>
      </c>
    </row>
    <row r="17" customFormat="false" ht="12.75" hidden="false" customHeight="true" outlineLevel="0" collapsed="false">
      <c r="B17" s="55" t="s">
        <v>1364</v>
      </c>
      <c r="C17" s="46" t="n">
        <f aca="false">SUMPRODUCT(('Coffee Audit'!A2:A2000&lt;&gt;"")*('Coffee Audit'!Q2:Q2000&lt;0))</f>
        <v>0</v>
      </c>
      <c r="D17" s="44" t="str">
        <f aca="false">IF(SUMPRODUCT(('Coffee Audit'!A2:A2000&lt;&gt;"")*('Coffee Audit'!Q2:Q2000&lt;0))=0,"✅ OK","🚨 NEGATIVE")</f>
        <v>✅ OK</v>
      </c>
      <c r="E17" s="92" t="s">
        <v>1365</v>
      </c>
    </row>
    <row r="18" customFormat="false" ht="12.75" hidden="false" customHeight="true" outlineLevel="0" collapsed="false">
      <c r="B18" s="58" t="s">
        <v>1366</v>
      </c>
      <c r="C18" s="41" t="n">
        <f aca="false">'🏙️ Café Directory'!D13+0</f>
        <v>6</v>
      </c>
      <c r="D18" s="39" t="str">
        <f aca="false">IF(SUM('🏙️ Café Directory'!D13:D51)=COUNTA('Coffee Audit'!A2:A2000),"✅ BALANCED","⚠️ DRIFT")</f>
        <v>✅ BALANCED</v>
      </c>
      <c r="E18" s="124" t="s">
        <v>1367</v>
      </c>
    </row>
    <row r="19" customFormat="false" ht="12.75" hidden="false" customHeight="true" outlineLevel="0" collapsed="false">
      <c r="B19" s="55" t="s">
        <v>1368</v>
      </c>
      <c r="C19" s="125" t="n">
        <f aca="false">MAX('Coffee Audit'!A2:A2000)</f>
        <v>46235</v>
      </c>
      <c r="D19" s="44" t="str">
        <f aca="false">IF(MAX('Coffee Audit'!A2:A2000)&gt;=DATE(2026,7,29),"✅ CURRENT","⚠️ STALE")</f>
        <v>✅ CURRENT</v>
      </c>
      <c r="E19" s="92" t="s">
        <v>1369</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2026-08-01T02:54:14Z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