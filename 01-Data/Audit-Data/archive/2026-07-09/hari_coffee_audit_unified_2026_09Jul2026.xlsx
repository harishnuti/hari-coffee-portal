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0"/>
  <fonts count="65">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
      <name val="Arial"/>
      <b val="1"/>
      <color rgb="00FFFFFF"/>
      <sz val="9"/>
    </font>
    <font>
      <name val="Arial"/>
      <color rgb="001A0A00"/>
      <sz val="9"/>
    </font>
    <font>
      <name val="Arial"/>
      <color rgb="003D1C02"/>
      <sz val="9"/>
    </font>
    <font>
      <name val="Arial"/>
      <b val="1"/>
      <color rgb="00D4A017"/>
      <sz val="16"/>
    </font>
    <font>
      <name val="Arial"/>
      <color rgb="00F5E6D0"/>
      <sz val="10"/>
    </font>
    <font>
      <name val="Arial"/>
      <b val="1"/>
      <color rgb="00FFFFFF"/>
      <sz val="14"/>
    </font>
    <font>
      <name val="Arial"/>
      <b val="1"/>
      <color rgb="00F5E6D0"/>
      <sz val="8"/>
    </font>
    <font>
      <name val="Arial"/>
      <b val="1"/>
      <color rgb="00FFFFFF"/>
      <sz val="11"/>
    </font>
    <font>
      <name val="Arial"/>
      <b val="1"/>
      <color rgb="00D4A017"/>
      <sz val="14"/>
    </font>
    <font>
      <name val="Arial"/>
      <b val="1"/>
      <color rgb="00FFFFFF"/>
      <sz val="10"/>
    </font>
    <font>
      <name val="Arial"/>
      <b val="1"/>
      <color rgb="00FFFFFF"/>
      <sz val="12"/>
    </font>
    <font>
      <name val="Arial"/>
      <b val="1"/>
      <color rgb="001A0A00"/>
      <sz val="9"/>
    </font>
    <font>
      <name val="Arial"/>
      <b val="1"/>
      <color rgb="003D1C02"/>
      <sz val="9"/>
    </font>
    <font>
      <name val="Arial"/>
      <color rgb="00BBBBBB"/>
      <sz val="9"/>
    </font>
    <font>
      <name val="Arial"/>
      <color rgb="003D1C02"/>
      <sz val="8"/>
    </font>
    <font>
      <name val="Arial"/>
      <b val="1"/>
      <color rgb="003D1C02"/>
      <sz val="8"/>
    </font>
    <font>
      <name val="Arial"/>
      <b val="1"/>
      <color rgb="00F5E6D0"/>
      <sz val="9"/>
    </font>
    <font>
      <name val="Arial"/>
      <b val="1"/>
      <color rgb="00D4A017"/>
      <sz val="12"/>
    </font>
    <font>
      <name val="Arial"/>
      <i val="1"/>
      <color rgb="00F5E6C8"/>
      <sz val="9"/>
    </font>
    <font>
      <name val="Arial"/>
      <b val="1"/>
      <color rgb="00D4A017"/>
      <sz val="13"/>
    </font>
    <font>
      <name val="Arial"/>
      <color rgb="00E8B84B"/>
      <sz val="7"/>
    </font>
    <font>
      <name val="Arial"/>
      <b val="1"/>
      <color rgb="00E8B84B"/>
      <sz val="13"/>
    </font>
    <font>
      <name val="Arial"/>
      <color rgb="00F5E6C8"/>
      <sz val="7"/>
    </font>
    <font>
      <name val="Arial"/>
      <b val="1"/>
      <color rgb="00FFFFFF"/>
      <sz val="13"/>
    </font>
    <font>
      <name val="Arial"/>
      <color rgb="00EDE0FF"/>
      <sz val="7"/>
    </font>
    <font>
      <name val="Arial"/>
      <b val="1"/>
      <color rgb="00A8C49A"/>
      <sz val="13"/>
    </font>
    <font>
      <name val="Arial"/>
      <color rgb="00D8EDD0"/>
      <sz val="7"/>
    </font>
    <font>
      <name val="Arial"/>
      <color rgb="00D8EAF5"/>
      <sz val="7"/>
    </font>
    <font>
      <name val="Arial"/>
      <b val="1"/>
      <color rgb="00EDE0FF"/>
      <sz val="11"/>
    </font>
    <font>
      <name val="Arial"/>
      <i val="1"/>
      <color rgb="006B3600"/>
      <sz val="8"/>
    </font>
    <font>
      <name val="Arial"/>
      <b val="1"/>
      <color rgb="00FFFFFF"/>
      <sz val="8"/>
    </font>
    <font>
      <name val="Arial"/>
      <color rgb="004A2200"/>
      <sz val="9"/>
    </font>
    <font>
      <name val="Arial"/>
      <b val="1"/>
      <color rgb="00E8B84B"/>
      <sz val="11"/>
    </font>
    <font>
      <name val="Arial"/>
      <b val="1"/>
      <color rgb="00F5E6C8"/>
      <sz val="8"/>
    </font>
    <font>
      <name val="Arial"/>
      <b val="1"/>
      <color rgb="00A8C49A"/>
      <sz val="8"/>
    </font>
    <font>
      <name val="Arial"/>
      <b val="1"/>
      <color rgb="00D4A017"/>
      <sz val="11"/>
    </font>
    <font>
      <name val="Arial"/>
      <b val="1"/>
      <color rgb="004A2200"/>
      <sz val="9"/>
    </font>
    <font>
      <name val="Arial"/>
      <b val="1"/>
      <color rgb="002C1503"/>
      <sz val="11"/>
    </font>
    <font>
      <name val="Arial"/>
      <b val="1"/>
      <color rgb="002C1503"/>
      <sz val="8"/>
    </font>
    <font>
      <name val="Arial"/>
      <b val="1"/>
      <color rgb="00D4A017"/>
      <sz val="9"/>
    </font>
    <font>
      <name val="Arial"/>
      <b val="1"/>
      <color rgb="00F5E6C8"/>
      <sz val="9"/>
    </font>
    <font>
      <name val="Calibri"/>
      <sz val="10"/>
    </font>
  </fonts>
  <fills count="4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
      <patternFill patternType="solid">
        <fgColor rgb="006B3FA0"/>
      </patternFill>
    </fill>
    <fill>
      <patternFill patternType="solid">
        <fgColor rgb="00FFF8F0"/>
      </patternFill>
    </fill>
    <fill>
      <patternFill patternType="solid">
        <fgColor rgb="00EDE0FF"/>
      </patternFill>
    </fill>
    <fill>
      <patternFill patternType="solid">
        <fgColor rgb="001A0A00"/>
      </patternFill>
    </fill>
    <fill>
      <patternFill patternType="solid">
        <fgColor rgb="003D1C02"/>
      </patternFill>
    </fill>
    <fill>
      <patternFill patternType="solid">
        <fgColor rgb="00B5651D"/>
      </patternFill>
    </fill>
    <fill>
      <patternFill patternType="solid">
        <fgColor rgb="004A2080"/>
      </patternFill>
    </fill>
    <fill>
      <patternFill patternType="solid">
        <fgColor rgb="00F3E8FF"/>
      </patternFill>
    </fill>
    <fill>
      <patternFill patternType="solid">
        <fgColor rgb="00F5E6D0"/>
      </patternFill>
    </fill>
    <fill>
      <patternFill patternType="solid">
        <fgColor rgb="00D4A017"/>
      </patternFill>
    </fill>
    <fill>
      <patternFill patternType="solid">
        <fgColor rgb="00D6F0E0"/>
      </patternFill>
    </fill>
    <fill>
      <patternFill patternType="solid">
        <fgColor rgb="002C6E49"/>
      </patternFill>
    </fill>
    <fill>
      <patternFill patternType="solid">
        <fgColor rgb="001B4332"/>
      </patternFill>
    </fill>
    <fill>
      <patternFill patternType="solid">
        <fgColor rgb="005C2D8A"/>
      </patternFill>
    </fill>
    <fill>
      <patternFill patternType="solid">
        <fgColor rgb="002C1503"/>
      </patternFill>
    </fill>
    <fill>
      <patternFill patternType="solid">
        <fgColor rgb="004A2200"/>
      </patternFill>
    </fill>
    <fill>
      <patternFill patternType="solid">
        <fgColor rgb="002D4A1E"/>
      </patternFill>
    </fill>
    <fill>
      <patternFill patternType="solid">
        <fgColor rgb="00C8780A"/>
      </patternFill>
    </fill>
    <fill>
      <patternFill patternType="solid">
        <fgColor rgb="001A4A6E"/>
      </patternFill>
    </fill>
    <fill>
      <patternFill patternType="solid">
        <fgColor rgb="008B4513"/>
      </patternFill>
    </fill>
    <fill>
      <patternFill patternType="solid">
        <fgColor rgb="006B3600"/>
      </patternFill>
    </fill>
    <fill>
      <patternFill patternType="solid">
        <fgColor rgb="00F5F0FF"/>
      </patternFill>
    </fill>
    <fill>
      <patternFill patternType="solid">
        <fgColor rgb="00D8EAF5"/>
      </patternFill>
    </fill>
    <fill>
      <patternFill patternType="solid">
        <fgColor rgb="00FDEECB"/>
      </patternFill>
    </fill>
    <fill>
      <patternFill patternType="solid">
        <fgColor rgb="00FAF0DC"/>
      </patternFill>
    </fill>
    <fill>
      <patternFill patternType="solid">
        <fgColor rgb="00FDF6EC"/>
      </patternFill>
    </fill>
    <fill>
      <patternFill patternType="solid">
        <fgColor rgb="00F5E6C8"/>
      </patternFill>
    </fill>
    <fill>
      <patternFill patternType="solid">
        <fgColor rgb="00F9E0D8"/>
      </patternFill>
    </fill>
    <fill>
      <patternFill patternType="solid">
        <fgColor rgb="00D8EDD0"/>
      </patternFill>
    </fill>
    <fill>
      <patternFill patternType="solid">
        <fgColor rgb="004A6741"/>
      </patternFill>
    </fill>
  </fills>
  <borders count="45">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
      <left style="thin"/>
      <right style="thin"/>
      <top style="thin"/>
      <bottom style="thin"/>
    </border>
    <border>
      <left style="thin">
        <color rgb="00D0C8C0"/>
      </left>
      <right style="thin">
        <color rgb="00D0C8C0"/>
      </right>
      <top style="thin">
        <color rgb="00D0C8C0"/>
      </top>
      <bottom style="thin">
        <color rgb="00D0C8C0"/>
      </bottom>
    </border>
    <border>
      <left/>
      <right/>
      <top style="thin">
        <color rgb="00D0C8C0"/>
      </top>
      <bottom/>
      <diagonal/>
    </border>
    <border>
      <left/>
      <right style="thin">
        <color rgb="00D0C8C0"/>
      </right>
      <top style="thin">
        <color rgb="00D0C8C0"/>
      </top>
      <bottom/>
      <diagonal/>
    </border>
    <border>
      <left/>
      <right/>
      <top style="thin">
        <color rgb="00D0C8C0"/>
      </top>
      <bottom style="thin">
        <color rgb="00D0C8C0"/>
      </bottom>
      <diagonal/>
    </border>
    <border>
      <left/>
      <right style="thin">
        <color rgb="00D0C8C0"/>
      </right>
      <top style="thin">
        <color rgb="00D0C8C0"/>
      </top>
      <bottom style="thin">
        <color rgb="00D0C8C0"/>
      </bottom>
      <diagonal/>
    </border>
    <border>
      <left style="thin">
        <color rgb="00D4C4A8"/>
      </left>
      <right style="thin">
        <color rgb="00D4C4A8"/>
      </right>
      <top style="thin">
        <color rgb="00D4C4A8"/>
      </top>
      <bottom style="thin">
        <color rgb="00D4C4A8"/>
      </bottom>
    </border>
    <border>
      <left style="medium">
        <color rgb="008B4513"/>
      </left>
      <right style="medium">
        <color rgb="008B4513"/>
      </right>
      <top style="medium">
        <color rgb="008B4513"/>
      </top>
      <bottom style="medium">
        <color rgb="008B4513"/>
      </bottom>
    </border>
    <border>
      <left style="thin">
        <color rgb="008B4513"/>
      </left>
      <right style="thin">
        <color rgb="008B4513"/>
      </right>
      <top style="thin">
        <color rgb="008B4513"/>
      </top>
      <bottom style="thin">
        <color rgb="008B4513"/>
      </bottom>
    </border>
    <border>
      <left style="medium">
        <color rgb="005C2D8A"/>
      </left>
      <right style="medium">
        <color rgb="005C2D8A"/>
      </right>
      <top style="medium">
        <color rgb="005C2D8A"/>
      </top>
      <bottom style="medium">
        <color rgb="005C2D8A"/>
      </bottom>
    </border>
    <border>
      <left style="medium">
        <color rgb="004A2200"/>
      </left>
      <right style="medium">
        <color rgb="004A2200"/>
      </right>
      <top style="medium">
        <color rgb="004A2200"/>
      </top>
      <bottom style="medium">
        <color rgb="004A2200"/>
      </bottom>
    </border>
    <border>
      <left style="medium">
        <color rgb="002D4A1E"/>
      </left>
      <right style="medium">
        <color rgb="002D4A1E"/>
      </right>
      <top style="medium">
        <color rgb="002D4A1E"/>
      </top>
      <bottom style="medium">
        <color rgb="002D4A1E"/>
      </bottom>
    </border>
    <border>
      <left style="medium">
        <color rgb="002C1503"/>
      </left>
      <right style="medium">
        <color rgb="002C1503"/>
      </right>
      <top style="medium">
        <color rgb="002C1503"/>
      </top>
      <bottom style="medium">
        <color rgb="002C1503"/>
      </bottom>
    </border>
    <border>
      <left style="medium">
        <color rgb="00C8780A"/>
      </left>
      <right style="medium">
        <color rgb="00C8780A"/>
      </right>
      <top style="medium">
        <color rgb="00C8780A"/>
      </top>
      <bottom style="medium">
        <color rgb="00C8780A"/>
      </bottom>
    </border>
    <border>
      <left/>
      <right/>
      <top style="thin">
        <color rgb="008B4513"/>
      </top>
      <bottom/>
      <diagonal/>
    </border>
    <border>
      <left/>
      <right style="thin">
        <color rgb="008B4513"/>
      </right>
      <top style="thin">
        <color rgb="008B4513"/>
      </top>
      <bottom/>
      <diagonal/>
    </border>
    <border>
      <left/>
      <right/>
      <top style="thin">
        <color rgb="008B4513"/>
      </top>
      <bottom style="thin">
        <color rgb="008B4513"/>
      </bottom>
      <diagonal/>
    </border>
    <border>
      <left/>
      <right style="thin">
        <color rgb="008B4513"/>
      </right>
      <top style="thin">
        <color rgb="008B4513"/>
      </top>
      <bottom style="thin">
        <color rgb="008B4513"/>
      </bottom>
      <diagonal/>
    </border>
    <border>
      <left/>
      <right/>
      <top style="medium">
        <color rgb="002D4A1E"/>
      </top>
      <bottom/>
      <diagonal/>
    </border>
    <border>
      <left/>
      <right style="medium">
        <color rgb="002D4A1E"/>
      </right>
      <top style="medium">
        <color rgb="002D4A1E"/>
      </top>
      <bottom/>
      <diagonal/>
    </border>
    <border>
      <left/>
      <right/>
      <top style="medium">
        <color rgb="002D4A1E"/>
      </top>
      <bottom style="medium">
        <color rgb="002D4A1E"/>
      </bottom>
      <diagonal/>
    </border>
    <border>
      <left/>
      <right style="medium">
        <color rgb="002D4A1E"/>
      </right>
      <top style="medium">
        <color rgb="002D4A1E"/>
      </top>
      <bottom style="medium">
        <color rgb="002D4A1E"/>
      </bottom>
      <diagonal/>
    </border>
    <border>
      <left/>
      <right/>
      <top style="thin">
        <color rgb="00D4C4A8"/>
      </top>
      <bottom/>
      <diagonal/>
    </border>
    <border>
      <left/>
      <right style="thin">
        <color rgb="00D4C4A8"/>
      </right>
      <top style="thin">
        <color rgb="00D4C4A8"/>
      </top>
      <bottom/>
      <diagonal/>
    </border>
    <border>
      <left/>
      <right/>
      <top style="thin">
        <color rgb="00D4C4A8"/>
      </top>
      <bottom style="thin">
        <color rgb="00D4C4A8"/>
      </bottom>
      <diagonal/>
    </border>
    <border>
      <left/>
      <right style="thin">
        <color rgb="00D4C4A8"/>
      </right>
      <top style="thin">
        <color rgb="00D4C4A8"/>
      </top>
      <bottom style="thin">
        <color rgb="00D4C4A8"/>
      </bottom>
      <diagonal/>
    </border>
    <border>
      <left/>
      <right/>
      <top style="medium">
        <color rgb="005C2D8A"/>
      </top>
      <bottom/>
      <diagonal/>
    </border>
    <border>
      <left/>
      <right style="medium">
        <color rgb="005C2D8A"/>
      </right>
      <top style="medium">
        <color rgb="005C2D8A"/>
      </top>
      <bottom/>
      <diagonal/>
    </border>
    <border>
      <left/>
      <right/>
      <top style="medium">
        <color rgb="005C2D8A"/>
      </top>
      <bottom style="medium">
        <color rgb="005C2D8A"/>
      </bottom>
      <diagonal/>
    </border>
    <border>
      <left/>
      <right style="medium">
        <color rgb="005C2D8A"/>
      </right>
      <top style="medium">
        <color rgb="005C2D8A"/>
      </top>
      <bottom style="medium">
        <color rgb="005C2D8A"/>
      </bottom>
      <diagonal/>
    </border>
    <border>
      <left/>
      <right/>
      <top style="medium">
        <color rgb="004A2200"/>
      </top>
      <bottom/>
      <diagonal/>
    </border>
    <border>
      <left/>
      <right style="medium">
        <color rgb="004A2200"/>
      </right>
      <top style="medium">
        <color rgb="004A2200"/>
      </top>
      <bottom/>
      <diagonal/>
    </border>
    <border>
      <left/>
      <right/>
      <top style="medium">
        <color rgb="004A2200"/>
      </top>
      <bottom style="medium">
        <color rgb="004A2200"/>
      </bottom>
      <diagonal/>
    </border>
    <border>
      <left/>
      <right style="medium">
        <color rgb="004A2200"/>
      </right>
      <top style="medium">
        <color rgb="004A2200"/>
      </top>
      <bottom style="medium">
        <color rgb="004A2200"/>
      </bottom>
      <diagonal/>
    </border>
    <border>
      <left/>
      <right/>
      <top style="medium">
        <color rgb="002C1503"/>
      </top>
      <bottom/>
      <diagonal/>
    </border>
    <border>
      <left/>
      <right style="medium">
        <color rgb="002C1503"/>
      </right>
      <top style="medium">
        <color rgb="002C1503"/>
      </top>
      <bottom/>
      <diagonal/>
    </border>
    <border>
      <left/>
      <right/>
      <top style="medium">
        <color rgb="002C1503"/>
      </top>
      <bottom style="medium">
        <color rgb="002C1503"/>
      </bottom>
      <diagonal/>
    </border>
    <border>
      <left/>
      <right style="medium">
        <color rgb="002C1503"/>
      </right>
      <top style="medium">
        <color rgb="002C1503"/>
      </top>
      <bottom style="medium">
        <color rgb="002C1503"/>
      </bottom>
      <diagonal/>
    </border>
    <border>
      <left/>
      <right/>
      <top style="medium">
        <color rgb="00C8780A"/>
      </top>
      <bottom/>
      <diagonal/>
    </border>
    <border>
      <left/>
      <right style="medium">
        <color rgb="00C8780A"/>
      </right>
      <top style="medium">
        <color rgb="00C8780A"/>
      </top>
      <bottom/>
      <diagonal/>
    </border>
    <border>
      <left/>
      <right/>
      <top style="medium">
        <color rgb="00C8780A"/>
      </top>
      <bottom style="medium">
        <color rgb="00C8780A"/>
      </bottom>
      <diagonal/>
    </border>
    <border>
      <left/>
      <right style="medium">
        <color rgb="00C8780A"/>
      </right>
      <top style="medium">
        <color rgb="00C8780A"/>
      </top>
      <bottom style="medium">
        <color rgb="00C8780A"/>
      </bottom>
      <diagonal/>
    </border>
  </borders>
  <cellStyleXfs count="1">
    <xf numFmtId="0" fontId="0" fillId="0" borderId="0"/>
  </cellStyleXfs>
  <cellXfs count="200">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xf numFmtId="0" fontId="2" fillId="5" borderId="3" applyAlignment="1" pivotButton="0" quotePrefix="0" xfId="0">
      <alignment vertical="top"/>
    </xf>
    <xf numFmtId="0" fontId="2" fillId="5" borderId="3" applyAlignment="1" pivotButton="0" quotePrefix="0" xfId="0">
      <alignment vertical="top" wrapText="1"/>
    </xf>
    <xf numFmtId="0" fontId="2" fillId="3" borderId="3" applyAlignment="1" pivotButton="0" quotePrefix="0" xfId="0">
      <alignment vertical="top"/>
    </xf>
    <xf numFmtId="0" fontId="2" fillId="3" borderId="3" applyAlignment="1" pivotButton="0" quotePrefix="0" xfId="0">
      <alignment vertical="top" wrapText="1"/>
    </xf>
    <xf numFmtId="0" fontId="2" fillId="5" borderId="0" applyAlignment="1" pivotButton="0" quotePrefix="0" xfId="0">
      <alignment vertical="top" wrapText="1"/>
    </xf>
    <xf numFmtId="0" fontId="23" fillId="18" borderId="4" applyAlignment="1" pivotButton="0" quotePrefix="0" xfId="0">
      <alignment horizontal="center" vertical="center"/>
    </xf>
    <xf numFmtId="0" fontId="24" fillId="19" borderId="4" applyAlignment="1" pivotButton="0" quotePrefix="0" xfId="0">
      <alignment horizontal="center" vertical="center"/>
    </xf>
    <xf numFmtId="0" fontId="25" fillId="20" borderId="2" applyAlignment="1" pivotButton="0" quotePrefix="0" xfId="0">
      <alignment horizontal="center" vertical="top"/>
    </xf>
    <xf numFmtId="0" fontId="25" fillId="20" borderId="2" applyAlignment="1" pivotButton="0" quotePrefix="0" xfId="0">
      <alignment vertical="top" wrapText="1"/>
    </xf>
    <xf numFmtId="0" fontId="25" fillId="20" borderId="2" applyAlignment="1" pivotButton="0" quotePrefix="0" xfId="0">
      <alignment horizontal="center" vertical="center" wrapText="1"/>
    </xf>
    <xf numFmtId="0" fontId="25" fillId="20" borderId="0" applyAlignment="1" pivotButton="0" quotePrefix="0" xfId="0">
      <alignment vertical="top" wrapText="1"/>
    </xf>
    <xf numFmtId="0" fontId="26" fillId="21" borderId="0" applyAlignment="1" pivotButton="0" quotePrefix="0" xfId="0">
      <alignment horizontal="center" vertical="center"/>
    </xf>
    <xf numFmtId="0" fontId="27" fillId="22" borderId="0" applyAlignment="1" pivotButton="0" quotePrefix="0" xfId="0">
      <alignment horizontal="center" vertical="center"/>
    </xf>
    <xf numFmtId="0" fontId="28" fillId="23" borderId="0" applyAlignment="1" pivotButton="0" quotePrefix="0" xfId="0">
      <alignment horizontal="center" vertical="center"/>
    </xf>
    <xf numFmtId="0" fontId="29" fillId="22" borderId="0" applyAlignment="1" pivotButton="0" quotePrefix="0" xfId="0">
      <alignment horizontal="center" vertical="center" wrapText="1"/>
    </xf>
    <xf numFmtId="0" fontId="30" fillId="18" borderId="0" applyAlignment="1" pivotButton="0" quotePrefix="0" xfId="0">
      <alignment horizontal="center" vertical="center"/>
    </xf>
    <xf numFmtId="0" fontId="30" fillId="23" borderId="0" applyAlignment="1" pivotButton="0" quotePrefix="0" xfId="0">
      <alignment horizontal="center" vertical="center"/>
    </xf>
    <xf numFmtId="0" fontId="23" fillId="24" borderId="0" applyAlignment="1" pivotButton="0" quotePrefix="0" xfId="0">
      <alignment horizontal="center" vertical="center"/>
    </xf>
    <xf numFmtId="0" fontId="23" fillId="22" borderId="0" applyAlignment="1" pivotButton="0" quotePrefix="0" xfId="0">
      <alignment horizontal="center" vertical="center"/>
    </xf>
    <xf numFmtId="0" fontId="25" fillId="20" borderId="4" applyAlignment="1" pivotButton="0" quotePrefix="0" xfId="0">
      <alignment horizontal="left" vertical="center"/>
    </xf>
    <xf numFmtId="0" fontId="25" fillId="20" borderId="4" applyAlignment="1" pivotButton="0" quotePrefix="0" xfId="0">
      <alignment horizontal="center" vertical="center"/>
    </xf>
    <xf numFmtId="0" fontId="25" fillId="19" borderId="4" applyAlignment="1" pivotButton="0" quotePrefix="0" xfId="0">
      <alignment horizontal="left" vertical="center"/>
    </xf>
    <xf numFmtId="0" fontId="25" fillId="19" borderId="4" applyAlignment="1" pivotButton="0" quotePrefix="0" xfId="0">
      <alignment horizontal="center" vertical="center"/>
    </xf>
    <xf numFmtId="0" fontId="25" fillId="25" borderId="4" applyAlignment="1" pivotButton="0" quotePrefix="0" xfId="0">
      <alignment horizontal="left" vertical="center"/>
    </xf>
    <xf numFmtId="0" fontId="25" fillId="25" borderId="4" applyAlignment="1" pivotButton="0" quotePrefix="0" xfId="0">
      <alignment horizontal="center" vertical="center"/>
    </xf>
    <xf numFmtId="0" fontId="25" fillId="26" borderId="4" applyAlignment="1" pivotButton="0" quotePrefix="0" xfId="0">
      <alignment horizontal="left" vertical="center"/>
    </xf>
    <xf numFmtId="0" fontId="25" fillId="26" borderId="4" applyAlignment="1" pivotButton="0" quotePrefix="0" xfId="0">
      <alignment horizontal="center" vertical="center"/>
    </xf>
    <xf numFmtId="0" fontId="31" fillId="21" borderId="0" applyAlignment="1" pivotButton="0" quotePrefix="0" xfId="0">
      <alignment horizontal="center" vertical="center"/>
    </xf>
    <xf numFmtId="0" fontId="32" fillId="23" borderId="4" applyAlignment="1" pivotButton="0" quotePrefix="0" xfId="0">
      <alignment horizontal="center" vertical="center"/>
    </xf>
    <xf numFmtId="0" fontId="33" fillId="21" borderId="0" applyAlignment="1" pivotButton="0" quotePrefix="0" xfId="0">
      <alignment horizontal="center" vertical="center"/>
    </xf>
    <xf numFmtId="0" fontId="23" fillId="22" borderId="4" applyAlignment="1" pivotButton="0" quotePrefix="0" xfId="0">
      <alignment horizontal="center" vertical="center"/>
    </xf>
    <xf numFmtId="0" fontId="24" fillId="19" borderId="4" applyAlignment="1" pivotButton="0" quotePrefix="0" xfId="0">
      <alignment horizontal="left" vertical="center"/>
    </xf>
    <xf numFmtId="0" fontId="34" fillId="19" borderId="4" applyAlignment="1" pivotButton="0" quotePrefix="0" xfId="0">
      <alignment horizontal="left" vertical="center"/>
    </xf>
    <xf numFmtId="0" fontId="35" fillId="27" borderId="4" applyAlignment="1" pivotButton="0" quotePrefix="0" xfId="0">
      <alignment horizontal="center" vertical="center"/>
    </xf>
    <xf numFmtId="0" fontId="25" fillId="28" borderId="4" applyAlignment="1" pivotButton="0" quotePrefix="0" xfId="0">
      <alignment horizontal="center" vertical="center"/>
    </xf>
    <xf numFmtId="0" fontId="36" fillId="19" borderId="4" applyAlignment="1" pivotButton="0" quotePrefix="0" xfId="0">
      <alignment horizontal="center" vertical="center"/>
    </xf>
    <xf numFmtId="0" fontId="24" fillId="26" borderId="4" applyAlignment="1" pivotButton="0" quotePrefix="0" xfId="0">
      <alignment horizontal="left" vertical="center"/>
    </xf>
    <xf numFmtId="0" fontId="24" fillId="26" borderId="4" applyAlignment="1" pivotButton="0" quotePrefix="0" xfId="0">
      <alignment horizontal="center" vertical="center"/>
    </xf>
    <xf numFmtId="0" fontId="34" fillId="26" borderId="4" applyAlignment="1" pivotButton="0" quotePrefix="0" xfId="0">
      <alignment horizontal="left" vertical="center"/>
    </xf>
    <xf numFmtId="0" fontId="36" fillId="26" borderId="4" applyAlignment="1" pivotButton="0" quotePrefix="0" xfId="0">
      <alignment horizontal="center" vertical="center"/>
    </xf>
    <xf numFmtId="0" fontId="33" fillId="18" borderId="0" applyAlignment="1" pivotButton="0" quotePrefix="0" xfId="0">
      <alignment horizontal="center" vertical="center"/>
    </xf>
    <xf numFmtId="0" fontId="23" fillId="24" borderId="4" applyAlignment="1" pivotButton="0" quotePrefix="0" xfId="0">
      <alignment horizontal="center" vertical="center"/>
    </xf>
    <xf numFmtId="0" fontId="24" fillId="20" borderId="4" applyAlignment="1" pivotButton="0" quotePrefix="0" xfId="0">
      <alignment horizontal="left" vertical="center"/>
    </xf>
    <xf numFmtId="0" fontId="24" fillId="20" borderId="4" applyAlignment="1" pivotButton="0" quotePrefix="0" xfId="0">
      <alignment horizontal="center" vertical="center"/>
    </xf>
    <xf numFmtId="0" fontId="24" fillId="25" borderId="4" applyAlignment="1" pivotButton="0" quotePrefix="0" xfId="0">
      <alignment horizontal="left" vertical="center"/>
    </xf>
    <xf numFmtId="0" fontId="24" fillId="25" borderId="4" applyAlignment="1" pivotButton="0" quotePrefix="0" xfId="0">
      <alignment horizontal="center" vertical="center"/>
    </xf>
    <xf numFmtId="0" fontId="33" fillId="22" borderId="0" applyAlignment="1" pivotButton="0" quotePrefix="0" xfId="0">
      <alignment horizontal="center" vertical="center"/>
    </xf>
    <xf numFmtId="0" fontId="33" fillId="29" borderId="0" applyAlignment="1" pivotButton="0" quotePrefix="0" xfId="0">
      <alignment horizontal="center" vertical="center"/>
    </xf>
    <xf numFmtId="0" fontId="23" fillId="29" borderId="0" applyAlignment="1" pivotButton="0" quotePrefix="0" xfId="0">
      <alignment horizontal="center" vertical="center"/>
    </xf>
    <xf numFmtId="0" fontId="23" fillId="29" borderId="4" applyAlignment="1" pivotButton="0" quotePrefix="0" xfId="0">
      <alignment horizontal="center" vertical="center"/>
    </xf>
    <xf numFmtId="0" fontId="33" fillId="30" borderId="0" applyAlignment="1" pivotButton="0" quotePrefix="0" xfId="0">
      <alignment horizontal="center" vertical="center"/>
    </xf>
    <xf numFmtId="0" fontId="23" fillId="30" borderId="4" applyAlignment="1" pivotButton="0" quotePrefix="0" xfId="0">
      <alignment horizontal="center" vertical="center"/>
    </xf>
    <xf numFmtId="0" fontId="33" fillId="23" borderId="0" applyAlignment="1" pivotButton="0" quotePrefix="0" xfId="0">
      <alignment horizontal="center" vertical="center"/>
    </xf>
    <xf numFmtId="0" fontId="23" fillId="23" borderId="4" applyAlignment="1" pivotButton="0" quotePrefix="0" xfId="0">
      <alignment horizontal="center" vertical="center"/>
    </xf>
    <xf numFmtId="0" fontId="35" fillId="20" borderId="4" applyAlignment="1" pivotButton="0" quotePrefix="0" xfId="0">
      <alignment horizontal="left" vertical="center"/>
    </xf>
    <xf numFmtId="0" fontId="35" fillId="20" borderId="4" applyAlignment="1" pivotButton="0" quotePrefix="0" xfId="0">
      <alignment horizontal="center" vertical="center"/>
    </xf>
    <xf numFmtId="0" fontId="34" fillId="26" borderId="4" applyAlignment="1" pivotButton="0" quotePrefix="0" xfId="0">
      <alignment horizontal="center" vertical="center"/>
    </xf>
    <xf numFmtId="0" fontId="37" fillId="19" borderId="4" applyAlignment="1" pivotButton="0" quotePrefix="0" xfId="0">
      <alignment horizontal="center" vertical="center"/>
    </xf>
    <xf numFmtId="0" fontId="37" fillId="19" borderId="4" applyAlignment="1" pivotButton="0" quotePrefix="0" xfId="0">
      <alignment horizontal="left" vertical="center"/>
    </xf>
    <xf numFmtId="0" fontId="37" fillId="26" borderId="4" applyAlignment="1" pivotButton="0" quotePrefix="0" xfId="0">
      <alignment horizontal="center" vertical="center"/>
    </xf>
    <xf numFmtId="0" fontId="37" fillId="26" borderId="4" applyAlignment="1" pivotButton="0" quotePrefix="0" xfId="0">
      <alignment horizontal="left" vertical="center"/>
    </xf>
    <xf numFmtId="0" fontId="37" fillId="20" borderId="4" applyAlignment="1" pivotButton="0" quotePrefix="0" xfId="0">
      <alignment horizontal="center" vertical="center"/>
    </xf>
    <xf numFmtId="0" fontId="38" fillId="20" borderId="4" applyAlignment="1" pivotButton="0" quotePrefix="0" xfId="0">
      <alignment horizontal="left" vertical="center"/>
    </xf>
    <xf numFmtId="0" fontId="37" fillId="20" borderId="4" applyAlignment="1" pivotButton="0" quotePrefix="0" xfId="0">
      <alignment horizontal="left" vertical="center"/>
    </xf>
    <xf numFmtId="0" fontId="40" fillId="21" borderId="0" applyAlignment="1" pivotButton="0" quotePrefix="0" xfId="0">
      <alignment horizontal="left" vertical="center"/>
    </xf>
    <xf numFmtId="0" fontId="39" fillId="22" borderId="0" applyAlignment="1" pivotButton="0" quotePrefix="0" xfId="0">
      <alignment horizontal="left" vertical="center"/>
    </xf>
    <xf numFmtId="0" fontId="32" fillId="23" borderId="0" applyAlignment="1" pivotButton="0" quotePrefix="0" xfId="0">
      <alignment horizontal="center" vertical="center"/>
    </xf>
    <xf numFmtId="0" fontId="37" fillId="26" borderId="0" applyAlignment="1" pivotButton="0" quotePrefix="0" xfId="0">
      <alignment horizontal="left" vertical="center"/>
    </xf>
    <xf numFmtId="0" fontId="24" fillId="19" borderId="9" applyAlignment="1" pivotButton="0" quotePrefix="0" xfId="0">
      <alignment horizontal="center" vertical="center"/>
    </xf>
    <xf numFmtId="0" fontId="23" fillId="31" borderId="9" applyAlignment="1" pivotButton="0" quotePrefix="0" xfId="0">
      <alignment horizontal="center" vertical="center"/>
    </xf>
    <xf numFmtId="0" fontId="26" fillId="32" borderId="0" applyAlignment="1" pivotButton="0" quotePrefix="0" xfId="0">
      <alignment horizontal="center" vertical="center"/>
    </xf>
    <xf numFmtId="0" fontId="41" fillId="33" borderId="0" applyAlignment="1" pivotButton="0" quotePrefix="0" xfId="0">
      <alignment horizontal="center" vertical="center"/>
    </xf>
    <xf numFmtId="0" fontId="42" fillId="32" borderId="10" applyAlignment="1" pivotButton="0" quotePrefix="0" xfId="0">
      <alignment horizontal="center" vertical="center"/>
    </xf>
    <xf numFmtId="0" fontId="44" fillId="33" borderId="10" applyAlignment="1" pivotButton="0" quotePrefix="0" xfId="0">
      <alignment horizontal="center" vertical="center"/>
    </xf>
    <xf numFmtId="0" fontId="46" fillId="31" borderId="10" applyAlignment="1" pivotButton="0" quotePrefix="0" xfId="0">
      <alignment horizontal="center" vertical="center"/>
    </xf>
    <xf numFmtId="0" fontId="48" fillId="34" borderId="10" applyAlignment="1" pivotButton="0" quotePrefix="0" xfId="0">
      <alignment horizontal="center" vertical="center"/>
    </xf>
    <xf numFmtId="0" fontId="46" fillId="35" borderId="10" applyAlignment="1" pivotButton="0" quotePrefix="0" xfId="0">
      <alignment horizontal="center" vertical="center"/>
    </xf>
    <xf numFmtId="0" fontId="46" fillId="36" borderId="10" applyAlignment="1" pivotButton="0" quotePrefix="0" xfId="0">
      <alignment horizontal="center" vertical="center"/>
    </xf>
    <xf numFmtId="0" fontId="46" fillId="37" borderId="10" applyAlignment="1" pivotButton="0" quotePrefix="0" xfId="0">
      <alignment horizontal="center" vertical="center"/>
    </xf>
    <xf numFmtId="0" fontId="44" fillId="38" borderId="10" applyAlignment="1" pivotButton="0" quotePrefix="0" xfId="0">
      <alignment horizontal="center" vertical="center"/>
    </xf>
    <xf numFmtId="0" fontId="43" fillId="33" borderId="11" applyAlignment="1" pivotButton="0" quotePrefix="0" xfId="0">
      <alignment horizontal="center" vertical="center" wrapText="1"/>
    </xf>
    <xf numFmtId="0" fontId="45" fillId="33" borderId="11" applyAlignment="1" pivotButton="0" quotePrefix="0" xfId="0">
      <alignment horizontal="center" vertical="center" wrapText="1"/>
    </xf>
    <xf numFmtId="0" fontId="47" fillId="33" borderId="11" applyAlignment="1" pivotButton="0" quotePrefix="0" xfId="0">
      <alignment horizontal="center" vertical="center" wrapText="1"/>
    </xf>
    <xf numFmtId="0" fontId="49" fillId="33" borderId="11" applyAlignment="1" pivotButton="0" quotePrefix="0" xfId="0">
      <alignment horizontal="center" vertical="center" wrapText="1"/>
    </xf>
    <xf numFmtId="0" fontId="50" fillId="33" borderId="11" applyAlignment="1" pivotButton="0" quotePrefix="0" xfId="0">
      <alignment horizontal="center" vertical="center" wrapText="1"/>
    </xf>
    <xf numFmtId="0" fontId="51" fillId="31" borderId="12" applyAlignment="1" pivotButton="0" quotePrefix="0" xfId="0">
      <alignment horizontal="left" vertical="center"/>
    </xf>
    <xf numFmtId="0" fontId="55" fillId="33" borderId="13" applyAlignment="1" pivotButton="0" quotePrefix="0" xfId="0">
      <alignment horizontal="left" vertical="center"/>
    </xf>
    <xf numFmtId="0" fontId="52" fillId="39" borderId="9" applyAlignment="1" pivotButton="0" quotePrefix="0" xfId="0">
      <alignment horizontal="left" vertical="center" wrapText="1"/>
    </xf>
    <xf numFmtId="0" fontId="52" fillId="43" borderId="9" applyAlignment="1" pivotButton="0" quotePrefix="0" xfId="0">
      <alignment horizontal="left" vertical="center" wrapText="1"/>
    </xf>
    <xf numFmtId="0" fontId="53" fillId="31" borderId="11" applyAlignment="1" pivotButton="0" quotePrefix="0" xfId="0">
      <alignment horizontal="center" vertical="center"/>
    </xf>
    <xf numFmtId="0" fontId="56" fillId="38" borderId="11" applyAlignment="1" pivotButton="0" quotePrefix="0" xfId="0">
      <alignment horizontal="center" vertical="center"/>
    </xf>
    <xf numFmtId="0" fontId="54" fillId="20" borderId="9" applyAlignment="1" pivotButton="0" quotePrefix="0" xfId="0">
      <alignment horizontal="center" vertical="center"/>
    </xf>
    <xf numFmtId="0" fontId="54" fillId="20" borderId="9" applyAlignment="1" pivotButton="0" quotePrefix="0" xfId="0">
      <alignment horizontal="left" vertical="center"/>
    </xf>
    <xf numFmtId="0" fontId="54" fillId="42" borderId="9" applyAlignment="1" pivotButton="0" quotePrefix="0" xfId="0">
      <alignment horizontal="left" vertical="center"/>
    </xf>
    <xf numFmtId="0" fontId="54" fillId="42" borderId="9" applyAlignment="1" pivotButton="0" quotePrefix="0" xfId="0">
      <alignment horizontal="center" vertical="center"/>
    </xf>
    <xf numFmtId="0" fontId="54" fillId="39" borderId="9" applyAlignment="1" pivotButton="0" quotePrefix="0" xfId="0">
      <alignment horizontal="center" vertical="center"/>
    </xf>
    <xf numFmtId="0" fontId="54" fillId="39" borderId="9" applyAlignment="1" pivotButton="0" quotePrefix="0" xfId="0">
      <alignment horizontal="left" vertical="center"/>
    </xf>
    <xf numFmtId="0" fontId="54" fillId="44" borderId="9" applyAlignment="1" pivotButton="0" quotePrefix="0" xfId="0">
      <alignment horizontal="left" vertical="center"/>
    </xf>
    <xf numFmtId="0" fontId="54" fillId="44" borderId="9" applyAlignment="1" pivotButton="0" quotePrefix="0" xfId="0">
      <alignment horizontal="center" vertical="center"/>
    </xf>
    <xf numFmtId="0" fontId="55" fillId="34" borderId="14" applyAlignment="1" pivotButton="0" quotePrefix="0" xfId="0">
      <alignment horizontal="left" vertical="center"/>
    </xf>
    <xf numFmtId="0" fontId="57" fillId="34" borderId="11" applyAlignment="1" pivotButton="0" quotePrefix="0" xfId="0">
      <alignment horizontal="center" vertical="center"/>
    </xf>
    <xf numFmtId="0" fontId="54" fillId="40" borderId="9" applyAlignment="1" pivotButton="0" quotePrefix="0" xfId="0">
      <alignment horizontal="left" vertical="center"/>
    </xf>
    <xf numFmtId="0" fontId="54" fillId="40" borderId="9" applyAlignment="1" pivotButton="0" quotePrefix="0" xfId="0">
      <alignment horizontal="center" vertical="center"/>
    </xf>
    <xf numFmtId="0" fontId="54" fillId="41" borderId="9" applyAlignment="1" pivotButton="0" quotePrefix="0" xfId="0">
      <alignment horizontal="left" vertical="center"/>
    </xf>
    <xf numFmtId="0" fontId="54" fillId="41" borderId="9" applyAlignment="1" pivotButton="0" quotePrefix="0" xfId="0">
      <alignment horizontal="center" vertical="center"/>
    </xf>
    <xf numFmtId="0" fontId="58" fillId="32" borderId="15" applyAlignment="1" pivotButton="0" quotePrefix="0" xfId="0">
      <alignment horizontal="left" vertical="center"/>
    </xf>
    <xf numFmtId="0" fontId="54" fillId="45" borderId="9" applyAlignment="1" pivotButton="0" quotePrefix="0" xfId="0">
      <alignment horizontal="left" vertical="center"/>
    </xf>
    <xf numFmtId="0" fontId="54" fillId="45" borderId="9" applyAlignment="1" pivotButton="0" quotePrefix="0" xfId="0">
      <alignment horizontal="center" vertical="center"/>
    </xf>
    <xf numFmtId="0" fontId="54" fillId="46" borderId="9" applyAlignment="1" pivotButton="0" quotePrefix="0" xfId="0">
      <alignment horizontal="left" vertical="center"/>
    </xf>
    <xf numFmtId="0" fontId="54" fillId="46" borderId="9" applyAlignment="1" pivotButton="0" quotePrefix="0" xfId="0">
      <alignment horizontal="center" vertical="center"/>
    </xf>
    <xf numFmtId="0" fontId="59" fillId="46" borderId="9" applyAlignment="1" pivotButton="0" quotePrefix="0" xfId="0">
      <alignment horizontal="left" vertical="center"/>
    </xf>
    <xf numFmtId="0" fontId="59" fillId="46" borderId="9" applyAlignment="1" pivotButton="0" quotePrefix="0" xfId="0">
      <alignment horizontal="center" vertical="center"/>
    </xf>
    <xf numFmtId="0" fontId="59" fillId="20" borderId="9" applyAlignment="1" pivotButton="0" quotePrefix="0" xfId="0">
      <alignment horizontal="left" vertical="center"/>
    </xf>
    <xf numFmtId="0" fontId="59" fillId="20" borderId="9" applyAlignment="1" pivotButton="0" quotePrefix="0" xfId="0">
      <alignment horizontal="center" vertical="center"/>
    </xf>
    <xf numFmtId="0" fontId="59" fillId="41" borderId="9" applyAlignment="1" pivotButton="0" quotePrefix="0" xfId="0">
      <alignment horizontal="left" vertical="center"/>
    </xf>
    <xf numFmtId="0" fontId="59" fillId="41" borderId="9" applyAlignment="1" pivotButton="0" quotePrefix="0" xfId="0">
      <alignment horizontal="center" vertical="center"/>
    </xf>
    <xf numFmtId="0" fontId="59" fillId="40" borderId="9" applyAlignment="1" pivotButton="0" quotePrefix="0" xfId="0">
      <alignment horizontal="left" vertical="center"/>
    </xf>
    <xf numFmtId="0" fontId="52" fillId="41" borderId="9" applyAlignment="1" pivotButton="0" quotePrefix="0" xfId="0">
      <alignment horizontal="left" vertical="center" wrapText="1"/>
    </xf>
    <xf numFmtId="0" fontId="59" fillId="45" borderId="9" applyAlignment="1" pivotButton="0" quotePrefix="0" xfId="0">
      <alignment horizontal="left" vertical="center"/>
    </xf>
    <xf numFmtId="0" fontId="52" fillId="40" borderId="9" applyAlignment="1" pivotButton="0" quotePrefix="0" xfId="0">
      <alignment horizontal="left" vertical="center" wrapText="1"/>
    </xf>
    <xf numFmtId="0" fontId="52" fillId="45" borderId="9" applyAlignment="1" pivotButton="0" quotePrefix="0" xfId="0">
      <alignment horizontal="left" vertical="center" wrapText="1"/>
    </xf>
    <xf numFmtId="0" fontId="52" fillId="44" borderId="9" applyAlignment="1" pivotButton="0" quotePrefix="0" xfId="0">
      <alignment horizontal="left" vertical="center" wrapText="1"/>
    </xf>
    <xf numFmtId="0" fontId="60" fillId="35" borderId="16" applyAlignment="1" pivotButton="0" quotePrefix="0" xfId="0">
      <alignment horizontal="left" vertical="center"/>
    </xf>
    <xf numFmtId="0" fontId="61" fillId="35" borderId="11" applyAlignment="1" pivotButton="0" quotePrefix="0" xfId="0">
      <alignment horizontal="center" vertical="center"/>
    </xf>
    <xf numFmtId="0" fontId="59" fillId="45" borderId="9" applyAlignment="1" pivotButton="0" quotePrefix="0" xfId="0">
      <alignment horizontal="center" vertical="center"/>
    </xf>
    <xf numFmtId="0" fontId="46" fillId="33" borderId="10" applyAlignment="1" pivotButton="0" quotePrefix="0" xfId="0">
      <alignment horizontal="center" vertical="center"/>
    </xf>
    <xf numFmtId="0" fontId="46" fillId="38" borderId="10" applyAlignment="1" pivotButton="0" quotePrefix="0" xfId="0">
      <alignment horizontal="center" vertical="center"/>
    </xf>
    <xf numFmtId="0" fontId="46" fillId="34" borderId="10" applyAlignment="1" pivotButton="0" quotePrefix="0" xfId="0">
      <alignment horizontal="center" vertical="center"/>
    </xf>
    <xf numFmtId="0" fontId="46" fillId="47" borderId="10" applyAlignment="1" pivotButton="0" quotePrefix="0" xfId="0">
      <alignment horizontal="center" vertical="center"/>
    </xf>
    <xf numFmtId="0" fontId="0" fillId="0" borderId="19" pivotButton="0" quotePrefix="0" xfId="0"/>
    <xf numFmtId="0" fontId="0" fillId="0" borderId="20" pivotButton="0" quotePrefix="0" xfId="0"/>
    <xf numFmtId="0" fontId="30" fillId="31" borderId="12" applyAlignment="1" pivotButton="0" quotePrefix="0" xfId="0">
      <alignment horizontal="left" vertical="center"/>
    </xf>
    <xf numFmtId="0" fontId="62" fillId="32" borderId="10" applyAlignment="1" pivotButton="0" quotePrefix="0" xfId="0">
      <alignment horizontal="left" vertical="center"/>
    </xf>
    <xf numFmtId="0" fontId="62" fillId="32" borderId="10" applyAlignment="1" pivotButton="0" quotePrefix="0" xfId="0">
      <alignment horizontal="center" vertical="center"/>
    </xf>
    <xf numFmtId="0" fontId="61" fillId="35" borderId="0" applyAlignment="1" pivotButton="0" quotePrefix="0" xfId="0">
      <alignment horizontal="left" vertical="center"/>
    </xf>
    <xf numFmtId="0" fontId="59" fillId="44" borderId="9" applyAlignment="1" pivotButton="0" quotePrefix="0" xfId="0">
      <alignment horizontal="left" vertical="center"/>
    </xf>
    <xf numFmtId="0" fontId="58" fillId="32" borderId="11" applyAlignment="1" pivotButton="0" quotePrefix="0" xfId="0">
      <alignment horizontal="left" vertical="center" indent="1"/>
    </xf>
    <xf numFmtId="0" fontId="63" fillId="33" borderId="11" applyAlignment="1" pivotButton="0" quotePrefix="0" xfId="0">
      <alignment horizontal="left" vertical="center" indent="1"/>
    </xf>
    <xf numFmtId="0" fontId="32" fillId="35" borderId="11" applyAlignment="1" pivotButton="0" quotePrefix="0" xfId="0">
      <alignment horizontal="center" vertical="center"/>
    </xf>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27" pivotButton="0" quotePrefix="0" xfId="0"/>
    <xf numFmtId="0" fontId="0" fillId="0" borderId="28" pivotButton="0" quotePrefix="0" xfId="0"/>
    <xf numFmtId="0" fontId="0" fillId="0" borderId="23" pivotButton="0" quotePrefix="0" xfId="0"/>
    <xf numFmtId="0" fontId="0" fillId="0" borderId="24"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20" borderId="0" applyAlignment="1" pivotButton="0" quotePrefix="0" xfId="0">
      <alignment vertical="top" wrapText="1"/>
    </xf>
    <xf numFmtId="0" fontId="0" fillId="20" borderId="0" pivotButton="0" quotePrefix="0" xfId="0"/>
    <xf numFmtId="0" fontId="64" fillId="5" borderId="0" applyAlignment="1" pivotButton="0" quotePrefix="0" xfId="0">
      <alignment vertical="top" wrapText="1"/>
    </xf>
  </cellXfs>
  <cellStyles count="1">
    <cellStyle name="Normal" xfId="0" builtinId="0" hidden="0"/>
  </cellStyles>
  <dxfs count="6">
    <dxf>
      <font>
        <name val="Arial"/>
        <color rgb="005C2D8A"/>
        <sz val="9"/>
      </font>
      <fill>
        <patternFill patternType="solid">
          <fgColor rgb="00EDE0FF"/>
        </patternFill>
      </fill>
    </dxf>
    <dxf>
      <font>
        <name val="Arial"/>
        <color rgb="001A4A6E"/>
        <sz val="9"/>
      </font>
      <fill>
        <patternFill patternType="solid">
          <fgColor rgb="00D8EAF5"/>
        </patternFill>
      </fill>
    </dxf>
    <dxf>
      <font>
        <name val="Arial"/>
        <color rgb="008B2500"/>
        <sz val="9"/>
      </font>
      <fill>
        <patternFill patternType="solid">
          <fgColor rgb="00F9E0D0"/>
        </patternFill>
      </fill>
    </dxf>
    <dxf>
      <font>
        <name val="Arial"/>
        <color rgb="00B5651D"/>
        <sz val="9"/>
      </font>
      <fill>
        <patternFill patternType="solid">
          <fgColor rgb="00FDEECB"/>
        </patternFill>
      </fill>
    </dxf>
    <dxf>
      <font>
        <name val="Arial"/>
        <color rgb="002D4A1E"/>
        <sz val="9"/>
      </font>
      <fill>
        <patternFill patternType="solid">
          <fgColor rgb="00D8EDD0"/>
        </patternFill>
      </fill>
    </dxf>
    <dxf>
      <font>
        <name val="Arial"/>
        <color rgb="002D4A1E"/>
        <sz val="9"/>
      </font>
      <fill>
        <patternFill patternType="solid">
          <fgColor rgb="00E8F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Distribution</a:t>
            </a:r>
          </a:p>
        </rich>
      </tx>
    </title>
    <plotArea>
      <pieChart>
        <varyColors val="1"/>
        <ser>
          <idx val="0"/>
          <order val="0"/>
          <tx>
            <strRef>
              <f>'🧬 Palate DNA'!C200</f>
            </strRef>
          </tx>
          <spPr>
            <a:ln xmlns:a="http://schemas.openxmlformats.org/drawingml/2006/main">
              <a:prstDash val="solid"/>
            </a:ln>
          </spPr>
          <cat>
            <numRef>
              <f>'🧬 Palate DNA'!$B$201:$B$208</f>
            </numRef>
          </cat>
          <val>
            <numRef>
              <f>'🧬 Palate DNA'!$C$201:$C$208</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tx>
            <strRef>
              <f>'🌍 Origin &amp; Terroir'!C200</f>
            </strRef>
          </tx>
          <spPr>
            <a:solidFill xmlns:a="http://schemas.openxmlformats.org/drawingml/2006/main">
              <a:srgbClr val="C8780A"/>
            </a:solidFill>
            <a:ln xmlns:a="http://schemas.openxmlformats.org/drawingml/2006/main">
              <a:solidFill>
                <a:srgbClr val="8B4513"/>
              </a:solidFill>
              <a:prstDash val="solid"/>
            </a:ln>
          </spPr>
          <cat>
            <numRef>
              <f>'🌍 Origin &amp; Terroir'!$B$201:$B$210</f>
            </numRef>
          </cat>
          <val>
            <numRef>
              <f>'🌍 Origin &amp; Terroir'!$C$201:$C$210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Entries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Origin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Price by Origin (SGD)</a:t>
            </a:r>
          </a:p>
        </rich>
      </tx>
    </title>
    <plotArea>
      <barChart>
        <barDir val="col"/>
        <grouping val="clustered"/>
        <ser>
          <idx val="0"/>
          <order val="0"/>
          <tx>
            <strRef>
              <f>'💰 Price &amp; Value'!C200</f>
            </strRef>
          </tx>
          <spPr>
            <a:solidFill xmlns:a="http://schemas.openxmlformats.org/drawingml/2006/main">
              <a:srgbClr val="D4A017"/>
            </a:solidFill>
            <a:ln xmlns:a="http://schemas.openxmlformats.org/drawingml/2006/main">
              <a:solidFill>
                <a:srgbClr val="C8780A"/>
              </a:solidFill>
              <a:prstDash val="solid"/>
            </a:ln>
          </spPr>
          <cat>
            <numRef>
              <f>'💰 Price &amp; Value'!$B$201:$B$208</f>
            </numRef>
          </cat>
          <val>
            <numRef>
              <f>'💰 Price &amp; Value'!$C$201:$C$208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Growth — Entries per Month</a:t>
            </a:r>
          </a:p>
        </rich>
      </tx>
    </title>
    <plotArea>
      <lineChart>
        <grouping val="standard"/>
        <ser>
          <idx val="0"/>
          <order val="0"/>
          <tx>
            <strRef>
              <f>'📅 Archive Timeline'!C200</f>
            </strRef>
          </tx>
          <spPr>
            <a:ln xmlns:a="http://schemas.openxmlformats.org/drawingml/2006/main" w="25000">
              <a:solidFill>
                <a:srgbClr val="C8780A"/>
              </a:solidFill>
              <a:prstDash val="solid"/>
            </a:ln>
          </spPr>
          <marker>
            <symbol val="none"/>
            <spPr>
              <a:ln xmlns:a="http://schemas.openxmlformats.org/drawingml/2006/main">
                <a:prstDash val="solid"/>
              </a:ln>
            </spPr>
          </marker>
          <cat>
            <numRef>
              <f>'📅 Archive Timeline'!$B$201:$B$207</f>
            </numRef>
          </cat>
          <val>
            <numRef>
              <f>'📅 Archive Timeline'!$C$201:$C$207</f>
            </numRef>
          </val>
        </ser>
        <ser>
          <idx val="1"/>
          <order val="1"/>
          <tx>
            <strRef>
              <f>'📅 Archive Timeline'!D200</f>
            </strRef>
          </tx>
          <spPr>
            <a:ln xmlns:a="http://schemas.openxmlformats.org/drawingml/2006/main" w="20000">
              <a:solidFill>
                <a:srgbClr val="5C2D8A"/>
              </a:solidFill>
              <a:prstDash val="solid"/>
            </a:ln>
          </spPr>
          <marker>
            <symbol val="none"/>
            <spPr>
              <a:ln xmlns:a="http://schemas.openxmlformats.org/drawingml/2006/main">
                <a:prstDash val="solid"/>
              </a:ln>
            </spPr>
          </marker>
          <cat>
            <numRef>
              <f>'📅 Archive Timeline'!$B$201:$B$207</f>
            </numRef>
          </cat>
          <val>
            <numRef>
              <f>'📅 Archive Timeline'!$D$201:$D$207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31</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27</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27</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C1503"/>
    <outlinePr summaryBelow="1" summaryRight="1"/>
    <pageSetUpPr/>
  </sheetPr>
  <dimension ref="A1:W5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 width="14" customWidth="1" min="23" max="23"/>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51" t="inlineStr">
        <is>
          <t>Gesha_Alert</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114" t="inlineStr"/>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c r="W3" s="114" t="inlineStr"/>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114" t="inlineStr"/>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c r="W5" s="114" t="inlineStr"/>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114" t="inlineStr"/>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c r="W7" s="114" t="inlineStr"/>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114" t="inlineStr"/>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c r="W9" s="114" t="inlineStr"/>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114" t="inlineStr"/>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c r="W11" s="114" t="inlineStr"/>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114" t="inlineStr"/>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c r="W13" s="114" t="inlineStr"/>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114" t="inlineStr"/>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c r="W15" s="114" t="inlineStr"/>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114" t="inlineStr"/>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c r="W17" s="114" t="inlineStr"/>
    </row>
    <row r="18" ht="70" customHeight="1">
      <c r="A18" s="53" t="inlineStr">
        <is>
          <t>2026-03-29</t>
        </is>
      </c>
      <c r="B18" s="54" t="inlineStr">
        <is>
          <t>Singapore</t>
        </is>
      </c>
      <c r="C18" s="54" t="inlineStr">
        <is>
          <t>Asylum Coffeehouse</t>
        </is>
      </c>
      <c r="D18" s="54" t="inlineStr">
        <is>
          <t>Peru Cajamarca Gesha (Iced)</t>
        </is>
      </c>
      <c r="E18" s="54" t="inlineStr">
        <is>
          <t>Wilder Garcia</t>
        </is>
      </c>
      <c r="F18" s="54" t="inlineStr">
        <is>
          <t>Cajamarca, Peru</t>
        </is>
      </c>
      <c r="G18" s="54" t="inlineStr">
        <is>
          <t>Gesha</t>
        </is>
      </c>
      <c r="H18" s="55" t="inlineStr">
        <is>
          <t>Washed</t>
        </is>
      </c>
      <c r="I18" s="54" t="inlineStr">
        <is>
          <t>Medium</t>
        </is>
      </c>
      <c r="J18" s="54" t="inlineStr">
        <is>
          <t>Iced Pour-over</t>
        </is>
      </c>
      <c r="K18" s="54" t="inlineStr">
        <is>
          <t>15</t>
        </is>
      </c>
      <c r="L18" s="54" t="inlineStr">
        <is>
          <t>240</t>
        </is>
      </c>
      <c r="M18" s="54" t="inlineStr">
        <is>
          <t>1:16</t>
        </is>
      </c>
      <c r="N18" s="54" t="inlineStr">
        <is>
          <t>92.5</t>
        </is>
      </c>
      <c r="O18" s="54" t="inlineStr">
        <is>
          <t>Unknown</t>
        </is>
      </c>
      <c r="P18" s="54" t="inlineStr">
        <is>
          <t>Option-O Lagom P64</t>
        </is>
      </c>
      <c r="Q18" s="53" t="inlineStr">
        <is>
          <t>11</t>
        </is>
      </c>
      <c r="R18" s="54" t="inlineStr">
        <is>
          <t>Jasmine; Caramel; Lime; Cacao Nibs</t>
        </is>
      </c>
      <c r="S18" s="54" t="inlineStr">
        <is>
          <t>Super floral and elegant; flash-chilled expression of Gesha purity.</t>
        </is>
      </c>
      <c r="T18" s="54" t="inlineStr">
        <is>
          <t>Flash-chilled extraction via Option-O Lagom P64 preserved volatile floral monoterpenes (linalool); cold dilution stabilized aromatic compounds.</t>
        </is>
      </c>
      <c r="U18" s="54" t="inlineStr">
        <is>
          <t>Solo specialty calibration</t>
        </is>
      </c>
      <c r="V18" s="54" t="inlineStr">
        <is>
          <t>ChatGPT only</t>
        </is>
      </c>
      <c r="W18" s="115" t="inlineStr">
        <is>
          <t>⭐ GESHA</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c r="W19" s="114" t="inlineStr"/>
    </row>
    <row r="20" ht="70" customHeight="1">
      <c r="A20" s="53" t="inlineStr">
        <is>
          <t>2026-04-01</t>
        </is>
      </c>
      <c r="B20" s="54" t="inlineStr">
        <is>
          <t>Singapore</t>
        </is>
      </c>
      <c r="C20" s="54" t="inlineStr">
        <is>
          <t>Lume Café</t>
        </is>
      </c>
      <c r="D20" s="54" t="inlineStr">
        <is>
          <t>Corpachi Panama Geisha</t>
        </is>
      </c>
      <c r="E20" s="54" t="inlineStr">
        <is>
          <t>Corpachi</t>
        </is>
      </c>
      <c r="F20" s="54" t="inlineStr">
        <is>
          <t>Boquerón, Chiriquí, Panama</t>
        </is>
      </c>
      <c r="G20" s="54" t="inlineStr">
        <is>
          <t>Geisha</t>
        </is>
      </c>
      <c r="H20" s="55" t="inlineStr">
        <is>
          <t>Red Honey</t>
        </is>
      </c>
      <c r="I20" s="54" t="inlineStr">
        <is>
          <t>Filter Roast</t>
        </is>
      </c>
      <c r="J20" s="54" t="inlineStr">
        <is>
          <t>V60</t>
        </is>
      </c>
      <c r="K20" s="54" t="inlineStr">
        <is>
          <t>Unknown</t>
        </is>
      </c>
      <c r="L20" s="54" t="inlineStr">
        <is>
          <t>Unknown</t>
        </is>
      </c>
      <c r="M20" s="54" t="inlineStr">
        <is>
          <t>1:15</t>
        </is>
      </c>
      <c r="N20" s="54" t="inlineStr">
        <is>
          <t>90 + 70</t>
        </is>
      </c>
      <c r="O20" s="54" t="inlineStr">
        <is>
          <t>Unknown</t>
        </is>
      </c>
      <c r="P20" s="54" t="inlineStr">
        <is>
          <t>Mahlkönig EK43</t>
        </is>
      </c>
      <c r="Q20" s="53" t="inlineStr">
        <is>
          <t>12</t>
        </is>
      </c>
      <c r="R20" s="54" t="inlineStr">
        <is>
          <t>Mandarin Candy; Jasmine; Apricot</t>
        </is>
      </c>
      <c r="S20" s="54" t="inlineStr">
        <is>
          <t>Clearly perceived apricot and structured sweetness.</t>
        </is>
      </c>
      <c r="T20" s="54" t="inlineStr">
        <is>
          <t>Dual-temperature extraction balanced aromatics and body in honey-process Geisha; red honey partial mucilage retention amplified structured sweetness.</t>
        </is>
      </c>
      <c r="U20" s="54" t="inlineStr">
        <is>
          <t>Rainy CBD lunch calibration</t>
        </is>
      </c>
      <c r="V20" s="54" t="inlineStr">
        <is>
          <t>ChatGPT only</t>
        </is>
      </c>
      <c r="W20" s="115" t="inlineStr">
        <is>
          <t>⭐ GESHA</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c r="W21" s="114" t="inlineStr"/>
    </row>
    <row r="22" ht="70" customHeight="1">
      <c r="A22" s="53" t="inlineStr">
        <is>
          <t>2026-04-05</t>
        </is>
      </c>
      <c r="B22" s="54" t="inlineStr">
        <is>
          <t>Singapore</t>
        </is>
      </c>
      <c r="C22" s="54" t="inlineStr">
        <is>
          <t>Asylum Coffeehouse</t>
        </is>
      </c>
      <c r="D22" s="54" t="inlineStr">
        <is>
          <t>Peru Gesha (Wilder Garcia)</t>
        </is>
      </c>
      <c r="E22" s="54" t="inlineStr">
        <is>
          <t>Wilder Garcia</t>
        </is>
      </c>
      <c r="F22" s="54" t="inlineStr">
        <is>
          <t>Jaén, Peru</t>
        </is>
      </c>
      <c r="G22" s="54" t="inlineStr">
        <is>
          <t>Gesha</t>
        </is>
      </c>
      <c r="H22" s="55" t="inlineStr">
        <is>
          <t>Washed</t>
        </is>
      </c>
      <c r="I22" s="54" t="inlineStr">
        <is>
          <t>Filter Roast</t>
        </is>
      </c>
      <c r="J22" s="54" t="inlineStr">
        <is>
          <t>Pour-over (V60)</t>
        </is>
      </c>
      <c r="K22" s="54" t="inlineStr">
        <is>
          <t>15</t>
        </is>
      </c>
      <c r="L22" s="54" t="inlineStr">
        <is>
          <t>225</t>
        </is>
      </c>
      <c r="M22" s="54" t="inlineStr">
        <is>
          <t>1:15</t>
        </is>
      </c>
      <c r="N22" s="54" t="inlineStr">
        <is>
          <t>90 + 70</t>
        </is>
      </c>
      <c r="O22" s="54" t="inlineStr">
        <is>
          <t>Unknown</t>
        </is>
      </c>
      <c r="P22" s="54" t="inlineStr">
        <is>
          <t>Mahlkönig EK43</t>
        </is>
      </c>
      <c r="Q22" s="53" t="inlineStr">
        <is>
          <t>12.5</t>
        </is>
      </c>
      <c r="R22" s="54" t="inlineStr">
        <is>
          <t>Jasmine; Caramel; Lime; Cacao Nibs</t>
        </is>
      </c>
      <c r="S22" s="54" t="inlineStr">
        <is>
          <t>Clean, structured, high-clarity cup; apricot-like sweetness and excellent structure.</t>
        </is>
      </c>
      <c r="T22" s="54" t="inlineStr">
        <is>
          <t>Dual-temperature extraction engineered aromatic separation and body control; Gesha genetics delivered intrinsic phenolic complexity with minimal processing interference.</t>
        </is>
      </c>
      <c r="U22" s="54" t="inlineStr">
        <is>
          <t>Father-daughter coffee session</t>
        </is>
      </c>
      <c r="V22" s="54" t="inlineStr">
        <is>
          <t>Merged (Gemini + ChatGPT)</t>
        </is>
      </c>
      <c r="W22" s="115" t="inlineStr">
        <is>
          <t>⭐ GESHA</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c r="W23" s="114" t="inlineStr"/>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114" t="inlineStr"/>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c r="W25" s="114" t="inlineStr"/>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114" t="inlineStr"/>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c r="W27" s="114" t="inlineStr"/>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114" t="inlineStr"/>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c r="W29" s="114" t="inlineStr"/>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114" t="inlineStr"/>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c r="W31" s="114" t="inlineStr"/>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114" t="inlineStr"/>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c r="W33" s="114" t="inlineStr"/>
    </row>
    <row r="34" ht="70" customHeight="1">
      <c r="A34" s="53" t="inlineStr">
        <is>
          <t>2026-05-16</t>
        </is>
      </c>
      <c r="B34" s="54" t="inlineStr">
        <is>
          <t>Singapore</t>
        </is>
      </c>
      <c r="C34" s="54" t="inlineStr">
        <is>
          <t>Fluid Collective</t>
        </is>
      </c>
      <c r="D34" s="54" t="inlineStr">
        <is>
          <t>El Obraje</t>
        </is>
      </c>
      <c r="E34" s="54" t="inlineStr">
        <is>
          <t>El Obraje</t>
        </is>
      </c>
      <c r="F34" s="54" t="inlineStr">
        <is>
          <t>Huila, Colombia</t>
        </is>
      </c>
      <c r="G34" s="54" t="inlineStr">
        <is>
          <t>Gesha</t>
        </is>
      </c>
      <c r="H34" s="55" t="inlineStr">
        <is>
          <t>Washed</t>
        </is>
      </c>
      <c r="I34" s="54" t="inlineStr">
        <is>
          <t>Light</t>
        </is>
      </c>
      <c r="J34" s="54" t="inlineStr">
        <is>
          <t>Flatbed Dripper (Flat-Bottom)</t>
        </is>
      </c>
      <c r="K34" s="54" t="inlineStr">
        <is>
          <t>15</t>
        </is>
      </c>
      <c r="L34" s="54" t="inlineStr">
        <is>
          <t>230</t>
        </is>
      </c>
      <c r="M34" s="54" t="inlineStr">
        <is>
          <t>1:15.3</t>
        </is>
      </c>
      <c r="N34" s="54" t="inlineStr">
        <is>
          <t>92</t>
        </is>
      </c>
      <c r="O34" s="54" t="inlineStr">
        <is>
          <t>Unknown</t>
        </is>
      </c>
      <c r="P34" s="54" t="inlineStr">
        <is>
          <t>Option-O Lagom P64 (64mm Flat Burr)</t>
        </is>
      </c>
      <c r="Q34" s="53" t="inlineStr">
        <is>
          <t>14.00</t>
        </is>
      </c>
      <c r="R34" s="54" t="inlineStr">
        <is>
          <t>Mango; Orange Blossom; Nectarine; Honey</t>
        </is>
      </c>
      <c r="S34" s="54" t="inlineStr">
        <is>
          <t>Damn the taste so nice — the orange nectarine finishing with that honey is terrific. Love this one. So far my favourite. Honey sweetness lingers and taste changes as temperature cools. Best Gesha washed in archive at time of logging.</t>
        </is>
      </c>
      <c r="T34" s="54"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4" t="inlineStr">
        <is>
          <t>Solo visit — FLUID Singapore</t>
        </is>
      </c>
      <c r="V34" s="54" t="inlineStr">
        <is>
          <t>Master CSV (hari_coffee_audit_master_2026)</t>
        </is>
      </c>
      <c r="W34" s="115" t="inlineStr">
        <is>
          <t>⭐ GESHA</t>
        </is>
      </c>
    </row>
    <row r="35" ht="70" customHeight="1">
      <c r="A35" s="53" t="inlineStr">
        <is>
          <t>2026-05-19</t>
        </is>
      </c>
      <c r="B35" s="54" t="inlineStr">
        <is>
          <t>Singapore</t>
        </is>
      </c>
      <c r="C35" s="54" t="inlineStr">
        <is>
          <t>Pocket by Flip (Flip Coffee Roasters)</t>
        </is>
      </c>
      <c r="D35" s="54" t="inlineStr">
        <is>
          <t>Ecuador La Papaya</t>
        </is>
      </c>
      <c r="E35" s="54" t="inlineStr">
        <is>
          <t>La Papaya Farm</t>
        </is>
      </c>
      <c r="F35" s="54" t="inlineStr">
        <is>
          <t>Loja, Ecuador</t>
        </is>
      </c>
      <c r="G35" s="54" t="inlineStr">
        <is>
          <t>Geisha</t>
        </is>
      </c>
      <c r="H35" s="55" t="inlineStr">
        <is>
          <t>Washed</t>
        </is>
      </c>
      <c r="I35" s="54" t="inlineStr">
        <is>
          <t>Light</t>
        </is>
      </c>
      <c r="J35" s="54" t="inlineStr">
        <is>
          <t>Filter Hot — Flat-Bottom (Hario Alpha)</t>
        </is>
      </c>
      <c r="K35" s="54" t="inlineStr">
        <is>
          <t>15</t>
        </is>
      </c>
      <c r="L35" s="54" t="inlineStr">
        <is>
          <t>225</t>
        </is>
      </c>
      <c r="M35" s="54" t="inlineStr">
        <is>
          <t>1:15</t>
        </is>
      </c>
      <c r="N35" s="54" t="inlineStr">
        <is>
          <t>92 → 75 → 92</t>
        </is>
      </c>
      <c r="O35" s="54" t="inlineStr">
        <is>
          <t>Unknown</t>
        </is>
      </c>
      <c r="P35" s="54" t="inlineStr">
        <is>
          <t>Mahlkönig CORE (54mm Flat Burr)</t>
        </is>
      </c>
      <c r="Q35" s="53" t="inlineStr">
        <is>
          <t>18.00</t>
        </is>
      </c>
      <c r="R35" s="54" t="inlineStr">
        <is>
          <t>Fresh Apricot; Rooibos; Lemon Thyme; Toffee Apple</t>
        </is>
      </c>
      <c r="S35" s="54"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4"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4" t="inlineStr">
        <is>
          <t>Solo visit — Pocket by Flip, 30 Stevens Road</t>
        </is>
      </c>
      <c r="V35" s="54" t="inlineStr">
        <is>
          <t>Master CSV (hari_coffee_audit_master_2026)</t>
        </is>
      </c>
      <c r="W35" s="115" t="inlineStr">
        <is>
          <t>⭐ GESHA</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114" t="inlineStr"/>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c r="W37" s="114" t="inlineStr"/>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114" t="inlineStr"/>
    </row>
    <row r="39" ht="70" customHeight="1">
      <c r="A39" s="53" t="inlineStr">
        <is>
          <t>2026-06-14</t>
        </is>
      </c>
      <c r="B39" s="54" t="inlineStr">
        <is>
          <t>Singapore</t>
        </is>
      </c>
      <c r="C39" s="54" t="inlineStr">
        <is>
          <t>Keryi Coffee</t>
        </is>
      </c>
      <c r="D39" s="54" t="inlineStr">
        <is>
          <t>Colombia Finca La Esmaralda</t>
        </is>
      </c>
      <c r="E39" s="54" t="inlineStr">
        <is>
          <t>Finca La Esmaralda</t>
        </is>
      </c>
      <c r="F39" s="54" t="inlineStr">
        <is>
          <t>Colombia</t>
        </is>
      </c>
      <c r="G39" s="54" t="inlineStr">
        <is>
          <t>Gesha</t>
        </is>
      </c>
      <c r="H39" s="55" t="inlineStr">
        <is>
          <t>Honey</t>
        </is>
      </c>
      <c r="I39" s="54" t="inlineStr">
        <is>
          <t>Light Roast</t>
        </is>
      </c>
      <c r="J39" s="54" t="inlineStr">
        <is>
          <t>Hario Switch (Immersion/Percolation Hybrid)</t>
        </is>
      </c>
      <c r="K39" s="54" t="inlineStr">
        <is>
          <t>15</t>
        </is>
      </c>
      <c r="L39" s="54" t="inlineStr">
        <is>
          <t>210</t>
        </is>
      </c>
      <c r="M39" s="54" t="inlineStr">
        <is>
          <t>1:14</t>
        </is>
      </c>
      <c r="N39" s="54" t="inlineStr">
        <is>
          <t>91 → 78</t>
        </is>
      </c>
      <c r="O39" s="54" t="inlineStr">
        <is>
          <t>60g (~4:1)</t>
        </is>
      </c>
      <c r="P39" s="54" t="inlineStr">
        <is>
          <t>Ditting 98mm flat burr</t>
        </is>
      </c>
      <c r="Q39" s="53" t="inlineStr">
        <is>
          <t>15</t>
        </is>
      </c>
      <c r="R39" s="54" t="inlineStr">
        <is>
          <t>Citrus, white florals, lychee, sugar-cane sweetness</t>
        </is>
      </c>
      <c r="S39" s="54"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54"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54" t="inlineStr">
        <is>
          <t>Solo relaxation visit — Sunday 14 Jun 2026, 11 AM; barista-led brew interview (grinder/ratio/temp confirmed)</t>
        </is>
      </c>
      <c r="V39" s="54" t="inlineStr">
        <is>
          <t>Direct observation + menu photo + barista interview</t>
        </is>
      </c>
      <c r="W39" s="115" t="inlineStr">
        <is>
          <t>⭐ GESHA</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114" t="inlineStr"/>
    </row>
    <row r="41" ht="70" customHeight="1">
      <c r="A41" s="53" t="inlineStr">
        <is>
          <t>2026-06-19</t>
        </is>
      </c>
      <c r="B41" s="54" t="inlineStr">
        <is>
          <t>Singapore</t>
        </is>
      </c>
      <c r="C41" s="54" t="inlineStr">
        <is>
          <t>Equate</t>
        </is>
      </c>
      <c r="D41" s="54" t="inlineStr">
        <is>
          <t>Colombia Huila La Pradera</t>
        </is>
      </c>
      <c r="E41" s="54" t="inlineStr">
        <is>
          <t>La Pradera</t>
        </is>
      </c>
      <c r="F41" s="54" t="inlineStr">
        <is>
          <t>Colombia, Huila</t>
        </is>
      </c>
      <c r="G41" s="54" t="inlineStr">
        <is>
          <t>Gesha</t>
        </is>
      </c>
      <c r="H41" s="55" t="inlineStr">
        <is>
          <t>Washed</t>
        </is>
      </c>
      <c r="I41" s="54" t="inlineStr">
        <is>
          <t>Unknown</t>
        </is>
      </c>
      <c r="J41" s="54" t="inlineStr">
        <is>
          <t>Pour Over (Orea V4)</t>
        </is>
      </c>
      <c r="K41" s="54" t="inlineStr">
        <is>
          <t>15</t>
        </is>
      </c>
      <c r="L41" s="54" t="inlineStr">
        <is>
          <t>210</t>
        </is>
      </c>
      <c r="M41" s="54" t="inlineStr">
        <is>
          <t>1:14</t>
        </is>
      </c>
      <c r="N41" s="54" t="inlineStr">
        <is>
          <t>90-92 (pours 1-2), 68-70 (pours 3-4)</t>
        </is>
      </c>
      <c r="O41" s="54" t="inlineStr">
        <is>
          <t>Unknown</t>
        </is>
      </c>
      <c r="P41" s="54" t="inlineStr">
        <is>
          <t>EK43</t>
        </is>
      </c>
      <c r="Q41" s="53" t="inlineStr">
        <is>
          <t>13</t>
        </is>
      </c>
      <c r="R41" s="54" t="inlineStr">
        <is>
          <t>Peach Jam / Orange / Honey Sweetness</t>
        </is>
      </c>
      <c r="S41" s="54" t="inlineStr">
        <is>
          <t>Average - strong isolated peach note but jam/honey sweetness underdeveloped; suspects 1:15 ratio would have balanced acid/sweetness better</t>
        </is>
      </c>
      <c r="T41" s="54"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54" t="inlineStr">
        <is>
          <t>2nd-floor minimalist cafe; pastel interiors, spacious, dog-friendly; cakes-only food menu (banana cake); benchmark ambience per Hari.</t>
        </is>
      </c>
      <c r="V41" s="54" t="inlineStr">
        <is>
          <t>Field audit (Claude)</t>
        </is>
      </c>
      <c r="W41" s="115" t="inlineStr">
        <is>
          <t>⭐ GESHA</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114" t="inlineStr"/>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c r="W43" s="114" t="inlineStr"/>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114" t="inlineStr"/>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c r="W45" s="114" t="inlineStr"/>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114" t="inlineStr"/>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c r="W47" s="114" t="inlineStr"/>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114" t="inlineStr"/>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c r="W49" s="114" t="inlineStr"/>
    </row>
    <row r="50" ht="70" customHeight="1">
      <c r="A50" s="53" t="inlineStr">
        <is>
          <t>2026-07-05</t>
        </is>
      </c>
      <c r="B50" s="54" t="inlineStr">
        <is>
          <t>Singapore</t>
        </is>
      </c>
      <c r="C50" s="54" t="inlineStr">
        <is>
          <t>Homeground Coffee Roasters</t>
        </is>
      </c>
      <c r="D50" s="54" t="inlineStr">
        <is>
          <t>Colombia Inmaculada Gesha Natural</t>
        </is>
      </c>
      <c r="E50" s="54" t="inlineStr">
        <is>
          <t>Inmaculada Estate</t>
        </is>
      </c>
      <c r="F50" s="54" t="inlineStr">
        <is>
          <t>Valle del Cauca, Colombia</t>
        </is>
      </c>
      <c r="G50" s="54" t="inlineStr">
        <is>
          <t>Gesha</t>
        </is>
      </c>
      <c r="H50" s="55" t="inlineStr">
        <is>
          <t>Natural</t>
        </is>
      </c>
      <c r="I50" s="54" t="inlineStr">
        <is>
          <t>Light</t>
        </is>
      </c>
      <c r="J50" s="54" t="inlineStr">
        <is>
          <t>Origami Dripper (Ceramic — Flat-Bottom Stand)</t>
        </is>
      </c>
      <c r="K50" s="54" t="inlineStr">
        <is>
          <t>15</t>
        </is>
      </c>
      <c r="L50" s="54" t="inlineStr">
        <is>
          <t>247</t>
        </is>
      </c>
      <c r="M50" s="54" t="inlineStr">
        <is>
          <t>1:16.5</t>
        </is>
      </c>
      <c r="N50" s="54" t="inlineStr">
        <is>
          <t>86-90</t>
        </is>
      </c>
      <c r="O50" s="54" t="inlineStr">
        <is>
          <t>Unknown</t>
        </is>
      </c>
      <c r="P50" s="54" t="inlineStr">
        <is>
          <t>Mahlkönig EK43 (98mm Flat Burr)</t>
        </is>
      </c>
      <c r="Q50" s="53" t="inlineStr">
        <is>
          <t>19.00</t>
        </is>
      </c>
      <c r="R50" s="54" t="inlineStr">
        <is>
          <t>Hibiscus, Pomegranate, Stewed Peach, Darjeeling Tea</t>
        </is>
      </c>
      <c r="S50" s="54"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54"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54" t="inlineStr">
        <is>
          <t>Father-daughter visit — Homeground Coffee Roasters Bukit Timah Experience Room; 5 Jul 2026 10:30 AM</t>
        </is>
      </c>
      <c r="V50" s="54" t="inlineStr">
        <is>
          <t>Field audit (Claude) — bean card + barista confirmed + direct observation</t>
        </is>
      </c>
      <c r="W50" s="115" t="inlineStr">
        <is>
          <t>⭐ GESHA</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c r="W51" s="114" t="inlineStr"/>
    </row>
    <row r="52" ht="70" customHeight="1">
      <c r="A52" s="56" t="inlineStr">
        <is>
          <t>2026-07-05</t>
        </is>
      </c>
      <c r="B52" s="56" t="inlineStr">
        <is>
          <t>Singapore</t>
        </is>
      </c>
      <c r="C52" s="56" t="inlineStr">
        <is>
          <t>Cowpresso Coffee Roasters</t>
        </is>
      </c>
      <c r="D52" s="56" t="inlineStr">
        <is>
          <t>Geisha Colombia Las Nubes</t>
        </is>
      </c>
      <c r="E52" s="56" t="inlineStr">
        <is>
          <t>Unknown</t>
        </is>
      </c>
      <c r="F52" s="56" t="inlineStr">
        <is>
          <t>Valle de Cauca, Colombia</t>
        </is>
      </c>
      <c r="G52" s="56" t="inlineStr">
        <is>
          <t>Geisha</t>
        </is>
      </c>
      <c r="H52" s="56" t="inlineStr">
        <is>
          <t>Natural</t>
        </is>
      </c>
      <c r="I52" s="56" t="inlineStr">
        <is>
          <t>Medium</t>
        </is>
      </c>
      <c r="J52" s="56" t="inlineStr">
        <is>
          <t>Pour-over (Cowpresso Custom 3-Hole Ceramic Dripper — Conical)</t>
        </is>
      </c>
      <c r="K52" s="56" t="inlineStr">
        <is>
          <t>15</t>
        </is>
      </c>
      <c r="L52" s="56" t="inlineStr">
        <is>
          <t>225</t>
        </is>
      </c>
      <c r="M52" s="56" t="inlineStr">
        <is>
          <t>1:15</t>
        </is>
      </c>
      <c r="N52" s="56" t="inlineStr">
        <is>
          <t>92</t>
        </is>
      </c>
      <c r="O52" s="56" t="inlineStr">
        <is>
          <t>Unknown</t>
        </is>
      </c>
      <c r="P52" s="56" t="inlineStr">
        <is>
          <t>DF83 (83mm Flat Burr) — barista confirmed</t>
        </is>
      </c>
      <c r="Q52" s="56" t="inlineStr">
        <is>
          <t>9.90</t>
        </is>
      </c>
      <c r="R52" s="56" t="inlineStr">
        <is>
          <t>Lychee, Strawberry, Blueberry, Floral, Lemons</t>
        </is>
      </c>
      <c r="S52" s="56"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56"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56"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56" t="inlineStr">
        <is>
          <t>Direct observation + bean bag photo + receipt + barista confirmation (Aung)</t>
        </is>
      </c>
      <c r="W52" s="115" t="inlineStr">
        <is>
          <t>⭐ GESHA</t>
        </is>
      </c>
    </row>
    <row r="53" ht="70" customHeight="1">
      <c r="A53" s="46" t="inlineStr">
        <is>
          <t>2026-07-06</t>
        </is>
      </c>
      <c r="B53" s="46" t="inlineStr">
        <is>
          <t>Singapore</t>
        </is>
      </c>
      <c r="C53" s="46" t="inlineStr">
        <is>
          <t>Fluid Collective</t>
        </is>
      </c>
      <c r="D53" s="46" t="inlineStr">
        <is>
          <t>Alo Coffee — Natural Anaerobic Ethiopia 74158</t>
        </is>
      </c>
      <c r="E53" s="46" t="inlineStr">
        <is>
          <t>Tamiru Tadesse</t>
        </is>
      </c>
      <c r="F53" s="46" t="inlineStr">
        <is>
          <t>Ethiopia</t>
        </is>
      </c>
      <c r="G53" s="46" t="inlineStr">
        <is>
          <t>74158</t>
        </is>
      </c>
      <c r="H53" s="46" t="inlineStr">
        <is>
          <t>Natural Anaerobic</t>
        </is>
      </c>
      <c r="I53" s="46" t="inlineStr">
        <is>
          <t>Light</t>
        </is>
      </c>
      <c r="J53" s="46" t="inlineStr">
        <is>
          <t>Hario Switch (Flat-Bottom Immersion Hybrid)</t>
        </is>
      </c>
      <c r="K53" s="46" t="inlineStr">
        <is>
          <t>15</t>
        </is>
      </c>
      <c r="L53" s="46" t="inlineStr">
        <is>
          <t>225</t>
        </is>
      </c>
      <c r="M53" s="46" t="inlineStr">
        <is>
          <t>1:15</t>
        </is>
      </c>
      <c r="N53" s="46" t="inlineStr">
        <is>
          <t>70 → 90 → 70°C (Thermal Oscillation Protocol)</t>
        </is>
      </c>
      <c r="O53" s="46" t="inlineStr">
        <is>
          <t>Unknown</t>
        </is>
      </c>
      <c r="P53" s="46" t="inlineStr">
        <is>
          <t>Lagom P64</t>
        </is>
      </c>
      <c r="Q53" s="46" t="inlineStr">
        <is>
          <t>11.00</t>
        </is>
      </c>
      <c r="R53" s="47" t="inlineStr">
        <is>
          <t>Lychee | Purple Grape | White Peach</t>
        </is>
      </c>
      <c r="S53" s="4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3" s="4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3" s="47" t="inlineStr">
        <is>
          <t>Third visit to Fluid Collective, 6 July 2026, 13:10, lunch. Menu fully rotated — all three filter offerings new. First cup of two ordered today. Experimental mood — chose anaerobic. Barista confirmed: ratio 1:15, temp 70→90→70°C, standard Fluid protocol.</t>
        </is>
      </c>
      <c r="V53" s="46" t="inlineStr">
        <is>
          <t>Live Field Audit — Third Visit</t>
        </is>
      </c>
      <c r="W53" s="114" t="inlineStr"/>
    </row>
    <row r="54" ht="70" customHeight="1">
      <c r="A54" s="48" t="inlineStr">
        <is>
          <t>2026-07-06</t>
        </is>
      </c>
      <c r="B54" s="48" t="inlineStr">
        <is>
          <t>Singapore</t>
        </is>
      </c>
      <c r="C54" s="48" t="inlineStr">
        <is>
          <t>Fluid Collective</t>
        </is>
      </c>
      <c r="D54" s="48" t="inlineStr">
        <is>
          <t>Gara Agena</t>
        </is>
      </c>
      <c r="E54" s="48" t="inlineStr">
        <is>
          <t>Gara Agena Washing Station</t>
        </is>
      </c>
      <c r="F54" s="48" t="inlineStr">
        <is>
          <t>Ethiopia</t>
        </is>
      </c>
      <c r="G54" s="48" t="inlineStr">
        <is>
          <t>Heirloom Ethiopian Varieties</t>
        </is>
      </c>
      <c r="H54" s="48" t="inlineStr">
        <is>
          <t>Washed Special Prep</t>
        </is>
      </c>
      <c r="I54" s="48" t="inlineStr">
        <is>
          <t>Light</t>
        </is>
      </c>
      <c r="J54" s="48" t="inlineStr">
        <is>
          <t>Hario Switch (Flat-Bottom Immersion Hybrid)</t>
        </is>
      </c>
      <c r="K54" s="48" t="inlineStr">
        <is>
          <t>15</t>
        </is>
      </c>
      <c r="L54" s="48" t="inlineStr">
        <is>
          <t>225</t>
        </is>
      </c>
      <c r="M54" s="48" t="inlineStr">
        <is>
          <t>1:15</t>
        </is>
      </c>
      <c r="N54" s="48" t="inlineStr">
        <is>
          <t>70 → 90 → 70°C (Thermal Oscillation Protocol)</t>
        </is>
      </c>
      <c r="O54" s="48" t="inlineStr">
        <is>
          <t>Unknown</t>
        </is>
      </c>
      <c r="P54" s="48" t="inlineStr">
        <is>
          <t>Lagom P64</t>
        </is>
      </c>
      <c r="Q54" s="48" t="inlineStr">
        <is>
          <t>9.00</t>
        </is>
      </c>
      <c r="R54" s="49" t="inlineStr">
        <is>
          <t>Nectarine | Mandarin Orange | Floral Honey</t>
        </is>
      </c>
      <c r="S54" s="49"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4" s="49"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4" s="49" t="inlineStr">
        <is>
          <t>Second cup of two at Fluid Collective third visit, 6 July 2026. Followed Alo Coffee Natural Anaerobic — deliberate contrast pairing. Gara Agena placed top of personal preference list by Hari. SGD 9 — outstanding value for Special Prep Ethiopian heirloom.</t>
        </is>
      </c>
      <c r="V54" s="48" t="inlineStr">
        <is>
          <t>Live Field Audit — Third Visit</t>
        </is>
      </c>
      <c r="W54" s="114" t="inlineStr"/>
    </row>
    <row r="55" ht="70" customHeight="1">
      <c r="A55" s="56" t="inlineStr">
        <is>
          <t>2026-07-07</t>
        </is>
      </c>
      <c r="B55" s="56" t="inlineStr">
        <is>
          <t>Singapore</t>
        </is>
      </c>
      <c r="C55" s="56" t="inlineStr">
        <is>
          <t>Pinhole Coffee Bar</t>
        </is>
      </c>
      <c r="D55" s="56" t="inlineStr">
        <is>
          <t>Santa Barbara #1 — Gesha Honey Colombia</t>
        </is>
      </c>
      <c r="E55" s="56" t="inlineStr">
        <is>
          <t>Jhon Samboni — Santa Barbara #1</t>
        </is>
      </c>
      <c r="F55" s="56" t="inlineStr">
        <is>
          <t>Colombia — Huila</t>
        </is>
      </c>
      <c r="G55" s="56" t="inlineStr">
        <is>
          <t>Gesha</t>
        </is>
      </c>
      <c r="H55" s="56" t="inlineStr">
        <is>
          <t>Honey</t>
        </is>
      </c>
      <c r="I55" s="56" t="inlineStr">
        <is>
          <t>Light</t>
        </is>
      </c>
      <c r="J55" s="56" t="inlineStr">
        <is>
          <t>Hario V60 Ceramic (Conical — Single Aperture)</t>
        </is>
      </c>
      <c r="K55" s="56" t="inlineStr">
        <is>
          <t>13.5</t>
        </is>
      </c>
      <c r="L55" s="56" t="inlineStr">
        <is>
          <t>200</t>
        </is>
      </c>
      <c r="M55" s="56" t="inlineStr">
        <is>
          <t>1:14.8</t>
        </is>
      </c>
      <c r="N55" s="56" t="inlineStr">
        <is>
          <t>92°C (Constant)</t>
        </is>
      </c>
      <c r="O55" s="56" t="inlineStr">
        <is>
          <t>52g (3.85× dose)</t>
        </is>
      </c>
      <c r="P55" s="56" t="inlineStr">
        <is>
          <t>Mahlkönig EK43 Mini (64mm Flat Burr)</t>
        </is>
      </c>
      <c r="Q55" s="56" t="inlineStr">
        <is>
          <t>15.00</t>
        </is>
      </c>
      <c r="R55" s="56" t="inlineStr">
        <is>
          <t>White Florals, Berry Candy, Tangerines</t>
        </is>
      </c>
      <c r="S55" s="56"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5" s="56"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5" s="56"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5" s="56" t="inlineStr">
        <is>
          <t>Live Field Audit — Café Debut + Bean Card (Slurp Coffee Project) + Barista Confirmation (dose/temp/pour protocol)</t>
        </is>
      </c>
      <c r="W55" s="115" t="inlineStr">
        <is>
          <t>⭐ GESHA</t>
        </is>
      </c>
    </row>
    <row r="56">
      <c r="A56" s="197" t="inlineStr">
        <is>
          <t>2026-07-08</t>
        </is>
      </c>
      <c r="B56" s="197" t="inlineStr">
        <is>
          <t>Singapore</t>
        </is>
      </c>
      <c r="C56" s="197" t="inlineStr">
        <is>
          <t>Double Shot Coffee</t>
        </is>
      </c>
      <c r="D56" s="197" t="inlineStr">
        <is>
          <t>Kotowa Carolina Gesha</t>
        </is>
      </c>
      <c r="E56" s="197" t="inlineStr">
        <is>
          <t>Kotowa Estate — Carolina Lot</t>
        </is>
      </c>
      <c r="F56" s="197" t="inlineStr">
        <is>
          <t>Boquete, Chiriquí, Panama</t>
        </is>
      </c>
      <c r="G56" s="197" t="inlineStr">
        <is>
          <t>Gesha</t>
        </is>
      </c>
      <c r="H56" s="197" t="inlineStr">
        <is>
          <t>Natural</t>
        </is>
      </c>
      <c r="I56" s="197" t="inlineStr">
        <is>
          <t>Unknown</t>
        </is>
      </c>
      <c r="J56" s="197" t="inlineStr">
        <is>
          <t>OREA V4 (Flat-Bottom)</t>
        </is>
      </c>
      <c r="K56" s="197" t="n">
        <v>13.5</v>
      </c>
      <c r="L56" s="197" t="n">
        <v>180</v>
      </c>
      <c r="M56" s="197" t="inlineStr">
        <is>
          <t>1:13.3</t>
        </is>
      </c>
      <c r="N56" s="197" t="inlineStr">
        <is>
          <t>92°C</t>
        </is>
      </c>
      <c r="O56" s="197" t="inlineStr">
        <is>
          <t>50g bloom (4-pour: 50/50/50/30g)</t>
        </is>
      </c>
      <c r="P56" s="197" t="inlineStr">
        <is>
          <t>Ditting 63.5mm Flat Burr</t>
        </is>
      </c>
      <c r="Q56" s="197" t="n">
        <v>16</v>
      </c>
      <c r="R56" s="197" t="inlineStr">
        <is>
          <t>White Floral · Peach · White Grape</t>
        </is>
      </c>
      <c r="S56" s="197"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6" s="197"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6" s="197"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6" s="197" t="inlineStr">
        <is>
          <t>Live Field Audit — Menu photo + barista interview + direct observation (Ditting grinder confirmed, OREA V4 confirmed)</t>
        </is>
      </c>
      <c r="W56" s="198" t="inlineStr">
        <is>
          <t>⭐ GESHA</t>
        </is>
      </c>
    </row>
    <row r="57">
      <c r="A57" s="199" t="inlineStr">
        <is>
          <t>2026-07-08</t>
        </is>
      </c>
      <c r="B57" s="199" t="inlineStr">
        <is>
          <t>Singapore</t>
        </is>
      </c>
      <c r="C57" s="199" t="inlineStr">
        <is>
          <t>Nylon Coffee Roasters</t>
        </is>
      </c>
      <c r="D57" s="199" t="inlineStr">
        <is>
          <t>La Flor de la Palma</t>
        </is>
      </c>
      <c r="E57" s="199" t="inlineStr">
        <is>
          <t>William Manchay Espinoza</t>
        </is>
      </c>
      <c r="F57" s="199" t="inlineStr">
        <is>
          <t>Peru</t>
        </is>
      </c>
      <c r="G57" s="199" t="inlineStr">
        <is>
          <t>Bourbon</t>
        </is>
      </c>
      <c r="H57" s="199" t="inlineStr">
        <is>
          <t>Natural</t>
        </is>
      </c>
      <c r="I57" s="199" t="inlineStr">
        <is>
          <t>Filter Roast</t>
        </is>
      </c>
      <c r="J57" s="199" t="inlineStr">
        <is>
          <t>xBloom (Flat-Bottom)</t>
        </is>
      </c>
      <c r="K57" s="199" t="inlineStr">
        <is>
          <t>Unknown</t>
        </is>
      </c>
      <c r="L57" s="199" t="inlineStr">
        <is>
          <t>Unknown</t>
        </is>
      </c>
      <c r="M57" s="199" t="inlineStr">
        <is>
          <t>1:17</t>
        </is>
      </c>
      <c r="N57" s="199" t="inlineStr">
        <is>
          <t>93</t>
        </is>
      </c>
      <c r="O57" s="199" t="inlineStr">
        <is>
          <t>Unknown</t>
        </is>
      </c>
      <c r="P57" s="199" t="inlineStr">
        <is>
          <t>Mahlkönig EK Omnia (98mm Flat Burr)</t>
        </is>
      </c>
      <c r="Q57" s="199" t="inlineStr">
        <is>
          <t>8.50</t>
        </is>
      </c>
      <c r="R57" s="199" t="inlineStr">
        <is>
          <t>Dried Berry; Cherry; Rum &amp; Raisin; Rose</t>
        </is>
      </c>
      <c r="S57" s="199"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57" s="199"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57" s="199"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57" s="199" t="inlineStr">
        <is>
          <t>Direct observation + bag photo (name/notes reference only) + barista confirmation (roast date 26 Jun 2026)</t>
        </is>
      </c>
      <c r="W57" s="199" t="n"/>
    </row>
  </sheetData>
  <conditionalFormatting sqref="Q2:Q55">
    <cfRule type="colorScale" priority="1">
      <colorScale>
        <cfvo type="min"/>
        <cfvo type="percentile" val="50"/>
        <cfvo type="max"/>
        <color rgb="002D8B4A"/>
        <color rgb="00D4A017"/>
        <color rgb="008B1A0A"/>
      </colorScale>
    </cfRule>
  </conditionalFormatting>
  <conditionalFormatting sqref="A2:W55">
    <cfRule type="expression" priority="2" dxfId="0" stopIfTrue="0">
      <formula>=$W2="⭐ GESHA"</formula>
    </cfRule>
  </conditionalFormatting>
  <conditionalFormatting sqref="H2:H55">
    <cfRule type="expression" priority="3" dxfId="1" stopIfTrue="0">
      <formula>=$H2="Washed"</formula>
    </cfRule>
    <cfRule type="expression" priority="4" dxfId="2" stopIfTrue="0">
      <formula>=$H2="Natural"</formula>
    </cfRule>
    <cfRule type="expression" priority="5" dxfId="3" stopIfTrue="0">
      <formula>=$H2="Honey"</formula>
    </cfRule>
    <cfRule type="expression" priority="6" dxfId="4" stopIfTrue="0">
      <formula>=$H2="Anaerobic Natural"</formula>
    </cfRule>
    <cfRule type="expression" priority="7" dxfId="5" stopIfTrue="0">
      <formula>=$H2="Experimental"</formula>
    </cfRule>
  </conditionalFormatting>
  <conditionalFormatting sqref="K2:K55">
    <cfRule type="dataBar" priority="8">
      <dataBar>
        <cfvo type="min"/>
        <cfvo type="max"/>
        <color rgb="00C4780A"/>
      </dataBar>
    </cfRule>
  </conditionalFormatting>
  <pageMargins left="0.75" right="0.75" top="1" bottom="1" header="0.5" footer="0.5"/>
</worksheet>
</file>

<file path=xl/worksheets/sheet2.xml><?xml version="1.0" encoding="utf-8"?>
<worksheet xmlns="http://schemas.openxmlformats.org/spreadsheetml/2006/main">
  <sheetPr>
    <tabColor rgb="00C8780A"/>
    <outlinePr summaryBelow="1" summaryRight="1"/>
    <pageSetUpPr/>
  </sheetPr>
  <dimension ref="B1:J31"/>
  <sheetViews>
    <sheetView showGridLines="0" workbookViewId="0">
      <selection activeCell="A1" sqref="A1"/>
    </sheetView>
  </sheetViews>
  <sheetFormatPr baseColWidth="8" defaultRowHeight="15"/>
  <cols>
    <col width="2" customWidth="1" min="1" max="1"/>
    <col width="14" customWidth="1" min="2" max="2"/>
    <col width="6" customWidth="1" min="3" max="3"/>
    <col width="8" customWidth="1" min="4" max="4"/>
    <col width="14" customWidth="1" min="5" max="5"/>
    <col width="6" customWidth="1" min="6" max="6"/>
    <col width="20" customWidth="1" min="7" max="7"/>
    <col width="7" customWidth="1" min="8" max="8"/>
    <col width="9" customWidth="1" min="9" max="9"/>
    <col width="12" customWidth="1" min="10" max="10"/>
    <col width="2" customWidth="1" min="11" max="11"/>
  </cols>
  <sheetData>
    <row r="1" ht="38" customHeight="1">
      <c r="B1" s="116" t="inlineStr">
        <is>
          <t>☕  HARI'S MASTER COFFEE AUDIT ARCHIVE</t>
        </is>
      </c>
    </row>
    <row r="2" ht="16" customHeight="1">
      <c r="B2" s="117" t="inlineStr">
        <is>
          <t>Singapore &amp; Beyond  ·  Jan → Jul 2026  ·  54 Entries  ·  31 Cafés  ·  17 Origins</t>
        </is>
      </c>
    </row>
    <row r="3" ht="8" customHeight="1"/>
    <row r="4" ht="22" customHeight="1">
      <c r="B4" s="118" t="inlineStr">
        <is>
          <t>54</t>
        </is>
      </c>
      <c r="C4" s="119" t="inlineStr">
        <is>
          <t>31</t>
        </is>
      </c>
      <c r="D4" s="120" t="inlineStr">
        <is>
          <t>10</t>
        </is>
      </c>
      <c r="E4" s="121" t="inlineStr">
        <is>
          <t>17</t>
        </is>
      </c>
      <c r="F4" s="122" t="inlineStr">
        <is>
          <t>SGD
10.77</t>
        </is>
      </c>
      <c r="G4" s="123" t="inlineStr">
        <is>
          <t>41%</t>
        </is>
      </c>
      <c r="H4" s="124" t="inlineStr">
        <is>
          <t>1:15.2</t>
        </is>
      </c>
      <c r="I4" s="125" t="inlineStr">
        <is>
          <t>4</t>
        </is>
      </c>
    </row>
    <row r="5" ht="18" customHeight="1">
      <c r="B5" s="126" t="inlineStr">
        <is>
          <t>TOTAL
ENTRIES</t>
        </is>
      </c>
      <c r="C5" s="127" t="inlineStr">
        <is>
          <t>UNIQUE
CAFÉS</t>
        </is>
      </c>
      <c r="D5" s="128" t="inlineStr">
        <is>
          <t>⭐ GESHA
CUPS</t>
        </is>
      </c>
      <c r="E5" s="129" t="inlineStr">
        <is>
          <t>ORIGIN
COUNTRIES</t>
        </is>
      </c>
      <c r="F5" s="127" t="inlineStr">
        <is>
          <t>AVG PRICE</t>
        </is>
      </c>
      <c r="G5" s="130" t="inlineStr">
        <is>
          <t>WASHED
DOMINANCE</t>
        </is>
      </c>
      <c r="H5" s="127" t="inlineStr">
        <is>
          <t>AVG
RATIO</t>
        </is>
      </c>
      <c r="I5" s="127" t="inlineStr">
        <is>
          <t>CITIES
VISITED</t>
        </is>
      </c>
    </row>
    <row r="7" ht="8" customHeight="1"/>
    <row r="8" ht="22" customHeight="1">
      <c r="B8" s="131" t="inlineStr">
        <is>
          <t>⭐  GESHA / GEISHA HALL OF FAME  — The Apex Varietal</t>
        </is>
      </c>
      <c r="C8" s="185" t="n"/>
      <c r="D8" s="185" t="n"/>
      <c r="E8" s="186" t="n"/>
      <c r="G8" s="132" t="inlineStr">
        <is>
          <t>🏆  TOP CAFÉS BY ENTRIES</t>
        </is>
      </c>
      <c r="H8" s="187" t="n"/>
      <c r="I8" s="187" t="n"/>
      <c r="J8" s="188" t="n"/>
    </row>
    <row r="9" ht="40" customHeight="1">
      <c r="B9" s="133" t="inlineStr">
        <is>
          <t>19% of all cups ordered are Gesha or Geisha — the archive's defining obsession. Colombia Gesha trilogy complete: Washed (Fluid), Honey (Keryi + Pinhole), Natural (Homeground + Cowpresso). Average Gesha price: SGD 13.94 — a +44% premium over the non-Gesha average of SGD 9.67.</t>
        </is>
      </c>
      <c r="C9" s="189" t="n"/>
      <c r="D9" s="189" t="n"/>
      <c r="E9" s="190" t="n"/>
      <c r="G9" s="134" t="inlineStr">
        <is>
          <t>31 unique cafés across Singapore, Ubud Bali, Mumbai and Johor Bahru. Fluid Collective leads with multiple visits — home of the Cup of the Year (El Obraje Washed Gesha).</t>
        </is>
      </c>
      <c r="H9" s="189" t="n"/>
      <c r="I9" s="189" t="n"/>
      <c r="J9" s="190" t="n"/>
    </row>
    <row r="10" ht="16" customHeight="1">
      <c r="B10" s="135" t="inlineStr">
        <is>
          <t>#</t>
        </is>
      </c>
      <c r="C10" s="135" t="inlineStr">
        <is>
          <t>Café</t>
        </is>
      </c>
      <c r="D10" s="135" t="inlineStr">
        <is>
          <t>Origin</t>
        </is>
      </c>
      <c r="E10" s="135" t="inlineStr">
        <is>
          <t>Process</t>
        </is>
      </c>
      <c r="F10" s="135" t="inlineStr">
        <is>
          <t>SGD</t>
        </is>
      </c>
      <c r="G10" s="136" t="inlineStr">
        <is>
          <t>Café</t>
        </is>
      </c>
      <c r="H10" s="136" t="inlineStr">
        <is>
          <t>Visits</t>
        </is>
      </c>
      <c r="I10" s="136" t="inlineStr">
        <is>
          <t>Avg SGD</t>
        </is>
      </c>
      <c r="J10" s="136" t="inlineStr">
        <is>
          <t>City</t>
        </is>
      </c>
    </row>
    <row r="11" ht="15" customHeight="1">
      <c r="B11" s="137" t="n">
        <v>1</v>
      </c>
      <c r="C11" s="138" t="inlineStr">
        <is>
          <t>Asylum Coffeehouse</t>
        </is>
      </c>
      <c r="D11" s="138" t="inlineStr">
        <is>
          <t>Peru</t>
        </is>
      </c>
      <c r="E11" s="138" t="inlineStr">
        <is>
          <t>Washed</t>
        </is>
      </c>
      <c r="F11" s="137" t="inlineStr">
        <is>
          <t>$11.00</t>
        </is>
      </c>
      <c r="G11" s="139" t="inlineStr">
        <is>
          <t>Nylon Coffee Roaster</t>
        </is>
      </c>
      <c r="H11" s="140" t="n">
        <v>5</v>
      </c>
      <c r="I11" s="140" t="inlineStr">
        <is>
          <t>$7.83</t>
        </is>
      </c>
      <c r="J11" s="139" t="inlineStr">
        <is>
          <t>Singapore</t>
        </is>
      </c>
    </row>
    <row r="12" ht="15" customHeight="1">
      <c r="B12" s="141" t="n">
        <v>2</v>
      </c>
      <c r="C12" s="142" t="inlineStr">
        <is>
          <t>Lume Café</t>
        </is>
      </c>
      <c r="D12" s="142" t="inlineStr">
        <is>
          <t>Boquerón</t>
        </is>
      </c>
      <c r="E12" s="142" t="inlineStr">
        <is>
          <t>Honey</t>
        </is>
      </c>
      <c r="F12" s="141" t="inlineStr">
        <is>
          <t>$12.00</t>
        </is>
      </c>
      <c r="G12" s="143" t="inlineStr">
        <is>
          <t>Asylum Coffeehouse</t>
        </is>
      </c>
      <c r="H12" s="144" t="n">
        <v>4</v>
      </c>
      <c r="I12" s="144" t="inlineStr">
        <is>
          <t>$12.50</t>
        </is>
      </c>
      <c r="J12" s="143" t="inlineStr">
        <is>
          <t>Singapore</t>
        </is>
      </c>
    </row>
    <row r="13" ht="15" customHeight="1">
      <c r="B13" s="137" t="n">
        <v>3</v>
      </c>
      <c r="C13" s="138" t="inlineStr">
        <is>
          <t>Asylum Coffeehouse</t>
        </is>
      </c>
      <c r="D13" s="138" t="inlineStr">
        <is>
          <t>Peru</t>
        </is>
      </c>
      <c r="E13" s="138" t="inlineStr">
        <is>
          <t>Washed</t>
        </is>
      </c>
      <c r="F13" s="137" t="inlineStr">
        <is>
          <t>$12.50</t>
        </is>
      </c>
      <c r="G13" s="139" t="inlineStr">
        <is>
          <t>Seniman Coffee Studi</t>
        </is>
      </c>
      <c r="H13" s="140" t="n">
        <v>3</v>
      </c>
      <c r="I13" s="140" t="inlineStr">
        <is>
          <t>—</t>
        </is>
      </c>
      <c r="J13" s="139" t="inlineStr">
        <is>
          <t>Ubud</t>
        </is>
      </c>
    </row>
    <row r="14" ht="15" customHeight="1">
      <c r="B14" s="141" t="n">
        <v>4</v>
      </c>
      <c r="C14" s="142" t="inlineStr">
        <is>
          <t>FLUID</t>
        </is>
      </c>
      <c r="D14" s="142" t="inlineStr">
        <is>
          <t>Colombia</t>
        </is>
      </c>
      <c r="E14" s="142" t="inlineStr">
        <is>
          <t>Washed</t>
        </is>
      </c>
      <c r="F14" s="141" t="inlineStr">
        <is>
          <t>$14.00</t>
        </is>
      </c>
      <c r="G14" s="143" t="inlineStr">
        <is>
          <t>Kyuukei Coffee</t>
        </is>
      </c>
      <c r="H14" s="144" t="n">
        <v>3</v>
      </c>
      <c r="I14" s="144" t="inlineStr">
        <is>
          <t>$8.67</t>
        </is>
      </c>
      <c r="J14" s="143" t="inlineStr">
        <is>
          <t>Singapore</t>
        </is>
      </c>
    </row>
    <row r="15" ht="15" customHeight="1">
      <c r="B15" s="137" t="n">
        <v>5</v>
      </c>
      <c r="C15" s="138" t="inlineStr">
        <is>
          <t>Pocket by Flip (Flip</t>
        </is>
      </c>
      <c r="D15" s="138" t="inlineStr">
        <is>
          <t>Ecuador</t>
        </is>
      </c>
      <c r="E15" s="138" t="inlineStr">
        <is>
          <t>Washed</t>
        </is>
      </c>
      <c r="F15" s="137" t="inlineStr">
        <is>
          <t>$18.00</t>
        </is>
      </c>
      <c r="G15" s="139" t="inlineStr">
        <is>
          <t>Agora Coffee</t>
        </is>
      </c>
      <c r="H15" s="140" t="n">
        <v>3</v>
      </c>
      <c r="I15" s="140" t="inlineStr">
        <is>
          <t>—</t>
        </is>
      </c>
      <c r="J15" s="139" t="inlineStr">
        <is>
          <t>Singapore</t>
        </is>
      </c>
    </row>
    <row r="16" ht="15" customHeight="1">
      <c r="B16" s="141" t="n">
        <v>6</v>
      </c>
      <c r="C16" s="142" t="inlineStr">
        <is>
          <t>Keryi Coffee</t>
        </is>
      </c>
      <c r="D16" s="142" t="inlineStr">
        <is>
          <t>Colombia</t>
        </is>
      </c>
      <c r="E16" s="142" t="inlineStr">
        <is>
          <t>Honey</t>
        </is>
      </c>
      <c r="F16" s="141" t="inlineStr">
        <is>
          <t>$15.00</t>
        </is>
      </c>
      <c r="G16" s="143" t="inlineStr">
        <is>
          <t>Narrative Coffee Sta</t>
        </is>
      </c>
      <c r="H16" s="144" t="n">
        <v>2</v>
      </c>
      <c r="I16" s="144" t="inlineStr">
        <is>
          <t>—</t>
        </is>
      </c>
      <c r="J16" s="143" t="inlineStr">
        <is>
          <t>Singapore</t>
        </is>
      </c>
    </row>
    <row r="17" ht="15" customHeight="1">
      <c r="B17" s="137" t="n">
        <v>7</v>
      </c>
      <c r="C17" s="138" t="inlineStr">
        <is>
          <t>Equate</t>
        </is>
      </c>
      <c r="D17" s="138" t="inlineStr">
        <is>
          <t>Colombia</t>
        </is>
      </c>
      <c r="E17" s="138" t="inlineStr">
        <is>
          <t>Washed</t>
        </is>
      </c>
      <c r="F17" s="137" t="inlineStr">
        <is>
          <t>$13.00</t>
        </is>
      </c>
      <c r="G17" s="139" t="inlineStr">
        <is>
          <t>ASK Coffee Roastery</t>
        </is>
      </c>
      <c r="H17" s="140" t="n">
        <v>2</v>
      </c>
      <c r="I17" s="140" t="inlineStr">
        <is>
          <t>$15.00</t>
        </is>
      </c>
      <c r="J17" s="139" t="inlineStr">
        <is>
          <t>Singapore</t>
        </is>
      </c>
    </row>
    <row r="18" ht="15" customHeight="1">
      <c r="B18" s="141" t="n">
        <v>8</v>
      </c>
      <c r="C18" s="142" t="inlineStr">
        <is>
          <t>Homeground Coffee Ro</t>
        </is>
      </c>
      <c r="D18" s="142" t="inlineStr">
        <is>
          <t>Colombia</t>
        </is>
      </c>
      <c r="E18" s="142" t="inlineStr">
        <is>
          <t>Natural</t>
        </is>
      </c>
      <c r="F18" s="141" t="inlineStr">
        <is>
          <t>$19.00</t>
        </is>
      </c>
      <c r="G18" s="143" t="inlineStr">
        <is>
          <t xml:space="preserve">Tiong Hoe Specialty </t>
        </is>
      </c>
      <c r="H18" s="144" t="n">
        <v>2</v>
      </c>
      <c r="I18" s="144" t="inlineStr">
        <is>
          <t>$6.55</t>
        </is>
      </c>
      <c r="J18" s="143" t="inlineStr">
        <is>
          <t>Singapore</t>
        </is>
      </c>
    </row>
    <row r="19" ht="15" customHeight="1">
      <c r="B19" s="137" t="n">
        <v>9</v>
      </c>
      <c r="C19" s="138" t="inlineStr">
        <is>
          <t>Cowpresso Coffee Roa</t>
        </is>
      </c>
      <c r="D19" s="138" t="inlineStr">
        <is>
          <t>Colombia</t>
        </is>
      </c>
      <c r="E19" s="138" t="inlineStr">
        <is>
          <t>Natural</t>
        </is>
      </c>
      <c r="F19" s="137" t="inlineStr">
        <is>
          <t>$9.90</t>
        </is>
      </c>
      <c r="G19" s="139" t="inlineStr">
        <is>
          <t>Maxi Coffee Bar</t>
        </is>
      </c>
      <c r="H19" s="140" t="n">
        <v>2</v>
      </c>
      <c r="I19" s="140" t="inlineStr">
        <is>
          <t>$9.00</t>
        </is>
      </c>
      <c r="J19" s="139" t="inlineStr">
        <is>
          <t>Singapore</t>
        </is>
      </c>
    </row>
    <row r="20" ht="15" customHeight="1">
      <c r="B20" s="141" t="n">
        <v>10</v>
      </c>
      <c r="C20" s="142" t="inlineStr">
        <is>
          <t>Pinhole Coffee Bar</t>
        </is>
      </c>
      <c r="D20" s="142" t="inlineStr">
        <is>
          <t>Colombia</t>
        </is>
      </c>
      <c r="E20" s="142" t="inlineStr">
        <is>
          <t>Honey</t>
        </is>
      </c>
      <c r="F20" s="141" t="inlineStr">
        <is>
          <t>$15.00</t>
        </is>
      </c>
      <c r="G20" s="143" t="inlineStr">
        <is>
          <t>Kurasu</t>
        </is>
      </c>
      <c r="H20" s="144" t="n">
        <v>2</v>
      </c>
      <c r="I20" s="144" t="inlineStr">
        <is>
          <t>$9.38</t>
        </is>
      </c>
      <c r="J20" s="143" t="inlineStr">
        <is>
          <t>Singapore</t>
        </is>
      </c>
    </row>
    <row r="21" ht="8" customHeight="1"/>
    <row r="22" ht="22" customHeight="1">
      <c r="B22" s="132" t="inlineStr">
        <is>
          <t>🍯  PALATE PROCESS FINGERPRINT</t>
        </is>
      </c>
      <c r="C22" s="187" t="n"/>
      <c r="D22" s="187" t="n"/>
      <c r="E22" s="188" t="n"/>
      <c r="G22" s="145" t="inlineStr">
        <is>
          <t>🌍  ORIGIN SNAPSHOT — Top 8</t>
        </is>
      </c>
      <c r="H22" s="191" t="n"/>
      <c r="I22" s="191" t="n"/>
      <c r="J22" s="192" t="n"/>
    </row>
    <row r="23" ht="16" customHeight="1">
      <c r="B23" s="136" t="inlineStr">
        <is>
          <t>Process</t>
        </is>
      </c>
      <c r="C23" s="136" t="inlineStr">
        <is>
          <t>Count</t>
        </is>
      </c>
      <c r="D23" s="136" t="inlineStr">
        <is>
          <t>% Archive</t>
        </is>
      </c>
      <c r="E23" s="136" t="inlineStr">
        <is>
          <t>Palate Signal</t>
        </is>
      </c>
      <c r="G23" s="146" t="inlineStr">
        <is>
          <t>Origin</t>
        </is>
      </c>
      <c r="H23" s="146" t="inlineStr">
        <is>
          <t>Entries</t>
        </is>
      </c>
      <c r="I23" s="146" t="inlineStr">
        <is>
          <t>% Archive</t>
        </is>
      </c>
      <c r="J23" s="146" t="inlineStr">
        <is>
          <t>Gesha?</t>
        </is>
      </c>
    </row>
    <row r="24" ht="15" customHeight="1">
      <c r="B24" s="147" t="inlineStr">
        <is>
          <t>Washed</t>
        </is>
      </c>
      <c r="C24" s="148" t="n">
        <v>22</v>
      </c>
      <c r="D24" s="148" t="inlineStr">
        <is>
          <t>41%</t>
        </is>
      </c>
      <c r="E24" s="147" t="inlineStr">
        <is>
          <t>Clean acid clarity — primary preference</t>
        </is>
      </c>
      <c r="G24" s="138" t="inlineStr">
        <is>
          <t>Colombia</t>
        </is>
      </c>
      <c r="H24" s="137" t="n">
        <v>16</v>
      </c>
      <c r="I24" s="137" t="inlineStr">
        <is>
          <t>30%</t>
        </is>
      </c>
      <c r="J24" s="137" t="inlineStr">
        <is>
          <t>⭐ 6</t>
        </is>
      </c>
    </row>
    <row r="25" ht="15" customHeight="1">
      <c r="B25" s="149" t="inlineStr">
        <is>
          <t>Natural</t>
        </is>
      </c>
      <c r="C25" s="150" t="n">
        <v>13</v>
      </c>
      <c r="D25" s="150" t="inlineStr">
        <is>
          <t>24%</t>
        </is>
      </c>
      <c r="E25" s="149" t="inlineStr">
        <is>
          <t>Fruit complexity — secondary pleasure</t>
        </is>
      </c>
      <c r="G25" s="143" t="inlineStr">
        <is>
          <t>Ethiopia</t>
        </is>
      </c>
      <c r="H25" s="144" t="n">
        <v>7</v>
      </c>
      <c r="I25" s="144" t="inlineStr">
        <is>
          <t>13%</t>
        </is>
      </c>
      <c r="J25" s="144" t="inlineStr">
        <is>
          <t>—</t>
        </is>
      </c>
    </row>
    <row r="26" ht="15" customHeight="1">
      <c r="B26" s="142" t="inlineStr">
        <is>
          <t>Anaerobic Natural</t>
        </is>
      </c>
      <c r="C26" s="141" t="n">
        <v>5</v>
      </c>
      <c r="D26" s="141" t="inlineStr">
        <is>
          <t>9%</t>
        </is>
      </c>
      <c r="E26" s="142" t="inlineStr">
        <is>
          <t>Controlled funk — experimental</t>
        </is>
      </c>
      <c r="G26" s="139" t="inlineStr">
        <is>
          <t>Brazil</t>
        </is>
      </c>
      <c r="H26" s="140" t="n">
        <v>5</v>
      </c>
      <c r="I26" s="140" t="inlineStr">
        <is>
          <t>9%</t>
        </is>
      </c>
      <c r="J26" s="140" t="inlineStr">
        <is>
          <t>—</t>
        </is>
      </c>
    </row>
    <row r="27" ht="15" customHeight="1">
      <c r="B27" s="149" t="inlineStr">
        <is>
          <t>Honey</t>
        </is>
      </c>
      <c r="C27" s="150" t="n">
        <v>5</v>
      </c>
      <c r="D27" s="150" t="inlineStr">
        <is>
          <t>9%</t>
        </is>
      </c>
      <c r="E27" s="149" t="inlineStr">
        <is>
          <t>Mucilage sweetness — bridge process</t>
        </is>
      </c>
      <c r="G27" s="143" t="inlineStr">
        <is>
          <t>Indonesia</t>
        </is>
      </c>
      <c r="H27" s="144" t="n">
        <v>4</v>
      </c>
      <c r="I27" s="144" t="inlineStr">
        <is>
          <t>7%</t>
        </is>
      </c>
      <c r="J27" s="144" t="inlineStr">
        <is>
          <t>—</t>
        </is>
      </c>
    </row>
    <row r="28" ht="15" customHeight="1">
      <c r="B28" s="139" t="inlineStr">
        <is>
          <t>Experimental Ferment</t>
        </is>
      </c>
      <c r="C28" s="140" t="n">
        <v>3</v>
      </c>
      <c r="D28" s="140" t="inlineStr">
        <is>
          <t>6%</t>
        </is>
      </c>
      <c r="E28" s="139" t="inlineStr">
        <is>
          <t>Edge cases &amp; frontiers</t>
        </is>
      </c>
      <c r="G28" s="139" t="inlineStr">
        <is>
          <t>Honduras</t>
        </is>
      </c>
      <c r="H28" s="140" t="n">
        <v>3</v>
      </c>
      <c r="I28" s="140" t="inlineStr">
        <is>
          <t>6%</t>
        </is>
      </c>
      <c r="J28" s="140" t="inlineStr">
        <is>
          <t>—</t>
        </is>
      </c>
    </row>
    <row r="29" ht="15" customHeight="1">
      <c r="B29" s="139" t="inlineStr">
        <is>
          <t>Wet-Hulled</t>
        </is>
      </c>
      <c r="C29" s="140" t="n">
        <v>1</v>
      </c>
      <c r="D29" s="140" t="inlineStr">
        <is>
          <t>2%</t>
        </is>
      </c>
      <c r="E29" s="139" t="inlineStr">
        <is>
          <t>—</t>
        </is>
      </c>
      <c r="G29" s="143" t="inlineStr">
        <is>
          <t>Kenya</t>
        </is>
      </c>
      <c r="H29" s="144" t="n">
        <v>2</v>
      </c>
      <c r="I29" s="144" t="inlineStr">
        <is>
          <t>4%</t>
        </is>
      </c>
      <c r="J29" s="144" t="inlineStr">
        <is>
          <t>—</t>
        </is>
      </c>
    </row>
    <row r="30" ht="15" customHeight="1">
      <c r="B30" s="142" t="inlineStr">
        <is>
          <t>Anaerobic</t>
        </is>
      </c>
      <c r="C30" s="141" t="n">
        <v>1</v>
      </c>
      <c r="D30" s="141" t="inlineStr">
        <is>
          <t>2%</t>
        </is>
      </c>
      <c r="E30" s="142" t="inlineStr">
        <is>
          <t>—</t>
        </is>
      </c>
      <c r="G30" s="139" t="inlineStr">
        <is>
          <t>India</t>
        </is>
      </c>
      <c r="H30" s="140" t="n">
        <v>2</v>
      </c>
      <c r="I30" s="140" t="inlineStr">
        <is>
          <t>4%</t>
        </is>
      </c>
      <c r="J30" s="140" t="inlineStr">
        <is>
          <t>—</t>
        </is>
      </c>
    </row>
    <row r="31" ht="15" customHeight="1">
      <c r="B31" s="142" t="inlineStr">
        <is>
          <t>Anaerobic Washed</t>
        </is>
      </c>
      <c r="C31" s="141" t="n">
        <v>1</v>
      </c>
      <c r="D31" s="141" t="inlineStr">
        <is>
          <t>2%</t>
        </is>
      </c>
      <c r="E31" s="142" t="inlineStr">
        <is>
          <t>—</t>
        </is>
      </c>
      <c r="G31" s="143" t="inlineStr">
        <is>
          <t>Nicaragua</t>
        </is>
      </c>
      <c r="H31" s="144" t="n">
        <v>2</v>
      </c>
      <c r="I31" s="144" t="inlineStr">
        <is>
          <t>4%</t>
        </is>
      </c>
      <c r="J31" s="144" t="inlineStr">
        <is>
          <t>—</t>
        </is>
      </c>
    </row>
  </sheetData>
  <mergeCells count="8">
    <mergeCell ref="G22:J22"/>
    <mergeCell ref="B9:E9"/>
    <mergeCell ref="G9:J9"/>
    <mergeCell ref="B8:E8"/>
    <mergeCell ref="G8:J8"/>
    <mergeCell ref="B1:J1"/>
    <mergeCell ref="B22:E22"/>
    <mergeCell ref="B2:J2"/>
  </mergeCells>
  <pageMargins left="0.75" right="0.75" top="1" bottom="1" header="0.5" footer="0.5"/>
</worksheet>
</file>

<file path=xl/worksheets/sheet3.xml><?xml version="1.0" encoding="utf-8"?>
<worksheet xmlns="http://schemas.openxmlformats.org/spreadsheetml/2006/main">
  <sheetPr>
    <tabColor rgb="00C8780A"/>
    <outlinePr summaryBelow="1" summaryRight="1"/>
    <pageSetUpPr/>
  </sheetPr>
  <dimension ref="B1:L208"/>
  <sheetViews>
    <sheetView showGridLines="0" workbookViewId="0">
      <selection activeCell="A1" sqref="A1"/>
    </sheetView>
  </sheetViews>
  <sheetFormatPr baseColWidth="8" defaultRowHeight="15"/>
  <cols>
    <col width="2" customWidth="1" min="1" max="1"/>
    <col width="14" customWidth="1" min="2" max="2"/>
    <col width="7" customWidth="1" min="3" max="3"/>
    <col width="14" customWidth="1" min="4" max="4"/>
    <col width="26" customWidth="1" min="5" max="5"/>
    <col width="12" customWidth="1" min="6" max="6"/>
    <col width="2" customWidth="1" min="7" max="7"/>
    <col width="12" customWidth="1" min="8" max="8"/>
    <col width="18" customWidth="1" min="9" max="9"/>
    <col width="12" customWidth="1" min="10" max="10"/>
    <col width="30" customWidth="1" min="11" max="11"/>
    <col width="14" customWidth="1" min="12" max="12"/>
  </cols>
  <sheetData>
    <row r="1" ht="38" customHeight="1">
      <c r="B1" s="116" t="inlineStr">
        <is>
          <t>🧬  PALATE DNA FINGERPRINT</t>
        </is>
      </c>
    </row>
    <row r="2" ht="16" customHeight="1">
      <c r="B2" s="117" t="inlineStr">
        <is>
          <t>What the archive reveals about the palate behind the cup — 54 entries, 7 months, one consistent signal</t>
        </is>
      </c>
    </row>
    <row r="3" ht="8" customHeight="1"/>
    <row r="4" ht="22" customHeight="1">
      <c r="B4" s="151" t="inlineStr">
        <is>
          <t>📖  THE PALATE THESIS</t>
        </is>
      </c>
      <c r="C4" s="193" t="n"/>
      <c r="D4" s="193" t="n"/>
      <c r="E4" s="193" t="n"/>
      <c r="F4" s="193" t="n"/>
      <c r="G4" s="193" t="n"/>
      <c r="H4" s="193" t="n"/>
      <c r="I4" s="193" t="n"/>
      <c r="J4" s="193" t="n"/>
      <c r="K4" s="194" t="n"/>
    </row>
    <row r="5" ht="40" customHeight="1">
      <c r="B5" s="134" t="inlineStr">
        <is>
          <t>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is>
      </c>
      <c r="C5" s="189" t="n"/>
      <c r="D5" s="189" t="n"/>
      <c r="E5" s="189" t="n"/>
      <c r="F5" s="189" t="n"/>
      <c r="G5" s="189" t="n"/>
      <c r="H5" s="189" t="n"/>
      <c r="I5" s="189" t="n"/>
      <c r="J5" s="189" t="n"/>
      <c r="K5" s="190" t="n"/>
    </row>
    <row r="6" ht="6" customHeight="1"/>
    <row r="7" ht="22" customHeight="1">
      <c r="B7" s="132" t="inlineStr">
        <is>
          <t>🍯  PROCESS PREFERENCE SPECTRUM</t>
        </is>
      </c>
      <c r="C7" s="187" t="n"/>
      <c r="D7" s="187" t="n"/>
      <c r="E7" s="187" t="n"/>
      <c r="F7" s="188" t="n"/>
    </row>
    <row r="8" ht="22" customHeight="1">
      <c r="B8" s="134" t="inlineStr">
        <is>
          <t>Washed dominates at 41% — clean malic and citric acid without fermentation noise. Natural (24%) is the secondary pleasure axis — fruit-forward complexity welcomed when terroir is strong. Experimental ferments (anaerobic, mosto, co-ferment) represent 17% — the frontier zone.</t>
        </is>
      </c>
      <c r="C8" s="189" t="n"/>
      <c r="D8" s="189" t="n"/>
      <c r="E8" s="189" t="n"/>
      <c r="F8" s="190" t="n"/>
      <c r="H8" s="132" t="inlineStr">
        <is>
          <t>🌡️  TEMPERATURE PROTOCOL ANALYSIS</t>
        </is>
      </c>
      <c r="I8" s="187" t="n"/>
      <c r="J8" s="187" t="n"/>
      <c r="K8" s="187" t="n"/>
      <c r="L8" s="188" t="n"/>
    </row>
    <row r="9" ht="40" customHeight="1">
      <c r="B9" s="136" t="inlineStr">
        <is>
          <t>Process</t>
        </is>
      </c>
      <c r="C9" s="136" t="inlineStr">
        <is>
          <t>Entries</t>
        </is>
      </c>
      <c r="D9" s="136" t="inlineStr">
        <is>
          <t>%</t>
        </is>
      </c>
      <c r="E9" s="136" t="inlineStr">
        <is>
          <t>Palate Signal</t>
        </is>
      </c>
      <c r="F9" s="136" t="inlineStr">
        <is>
          <t>Affinity</t>
        </is>
      </c>
      <c r="H9" s="134" t="inlineStr">
        <is>
          <t>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is>
      </c>
      <c r="I9" s="189" t="n"/>
      <c r="J9" s="189" t="n"/>
      <c r="K9" s="189" t="n"/>
      <c r="L9" s="190" t="n"/>
    </row>
    <row r="10" ht="16" customHeight="1">
      <c r="B10" s="147" t="inlineStr">
        <is>
          <t>Washed</t>
        </is>
      </c>
      <c r="C10" s="148" t="n">
        <v>22</v>
      </c>
      <c r="D10" s="148" t="inlineStr">
        <is>
          <t>41%</t>
        </is>
      </c>
      <c r="E10" s="147" t="inlineStr">
        <is>
          <t>Malic acid clarity, jasmine lift, clean finish</t>
        </is>
      </c>
      <c r="F10" s="148" t="inlineStr">
        <is>
          <t>HIGH</t>
        </is>
      </c>
      <c r="H10" s="136" t="inlineStr">
        <is>
          <t>Temp Range</t>
        </is>
      </c>
      <c r="I10" s="136" t="inlineStr">
        <is>
          <t>Entries</t>
        </is>
      </c>
      <c r="J10" s="136" t="inlineStr">
        <is>
          <t>Protocol Note</t>
        </is>
      </c>
    </row>
    <row r="11" ht="15" customHeight="1">
      <c r="B11" s="152" t="inlineStr">
        <is>
          <t>Natural</t>
        </is>
      </c>
      <c r="C11" s="153" t="n">
        <v>13</v>
      </c>
      <c r="D11" s="153" t="inlineStr">
        <is>
          <t>24%</t>
        </is>
      </c>
      <c r="E11" s="152" t="inlineStr">
        <is>
          <t>Stone fruit, berry complexity, terroir expression</t>
        </is>
      </c>
      <c r="F11" s="153" t="inlineStr">
        <is>
          <t>MED-HIGH</t>
        </is>
      </c>
      <c r="H11" s="143" t="inlineStr">
        <is>
          <t>70–80°C (Bloom)</t>
        </is>
      </c>
      <c r="I11" s="144" t="n">
        <v>0</v>
      </c>
      <c r="J11" s="143" t="inlineStr">
        <is>
          <t>Low-temp bloom — CO₂ displacement</t>
        </is>
      </c>
    </row>
    <row r="12" ht="15" customHeight="1">
      <c r="B12" s="154" t="inlineStr">
        <is>
          <t>Anaerobic Natural</t>
        </is>
      </c>
      <c r="C12" s="155" t="n">
        <v>5</v>
      </c>
      <c r="D12" s="155" t="inlineStr">
        <is>
          <t>9%</t>
        </is>
      </c>
      <c r="E12" s="154" t="inlineStr">
        <is>
          <t>Controlled funk, ester bombs, tropical edge</t>
        </is>
      </c>
      <c r="F12" s="155" t="inlineStr">
        <is>
          <t>MED</t>
        </is>
      </c>
      <c r="H12" s="139" t="inlineStr">
        <is>
          <t>85–89°C</t>
        </is>
      </c>
      <c r="I12" s="140" t="n">
        <v>1</v>
      </c>
      <c r="J12" s="139" t="inlineStr">
        <is>
          <t>Delicate/Nordic style — rare in SG</t>
        </is>
      </c>
    </row>
    <row r="13" ht="15" customHeight="1">
      <c r="B13" s="149" t="inlineStr">
        <is>
          <t>Honey</t>
        </is>
      </c>
      <c r="C13" s="150" t="n">
        <v>5</v>
      </c>
      <c r="D13" s="150" t="inlineStr">
        <is>
          <t>9%</t>
        </is>
      </c>
      <c r="E13" s="149" t="inlineStr">
        <is>
          <t>Mucilage sweetness bridge, ketone fruit layer</t>
        </is>
      </c>
      <c r="F13" s="150" t="inlineStr">
        <is>
          <t>MED-HIGH</t>
        </is>
      </c>
      <c r="H13" s="139" t="inlineStr">
        <is>
          <t>90–91°C</t>
        </is>
      </c>
      <c r="I13" s="140" t="n">
        <v>9</v>
      </c>
      <c r="J13" s="139" t="inlineStr">
        <is>
          <t>Clean, balanced extraction</t>
        </is>
      </c>
    </row>
    <row r="14" ht="15" customHeight="1">
      <c r="B14" s="154" t="inlineStr">
        <is>
          <t>Experimental Ferment</t>
        </is>
      </c>
      <c r="C14" s="155" t="n">
        <v>3</v>
      </c>
      <c r="D14" s="155" t="inlineStr">
        <is>
          <t>6%</t>
        </is>
      </c>
      <c r="E14" s="154" t="inlineStr">
        <is>
          <t>Edge cases: yeast, mosto, co-ferment</t>
        </is>
      </c>
      <c r="F14" s="155" t="inlineStr">
        <is>
          <t>EXPLORATORY</t>
        </is>
      </c>
      <c r="H14" s="156" t="inlineStr">
        <is>
          <t>92–94°C</t>
        </is>
      </c>
      <c r="I14" s="157" t="n">
        <v>7</v>
      </c>
      <c r="J14" s="156" t="inlineStr">
        <is>
          <t>⭐ Sweet spot — dominant protocol</t>
        </is>
      </c>
    </row>
    <row r="15" ht="15" customHeight="1">
      <c r="B15" s="143" t="inlineStr">
        <is>
          <t>Wet-Hulled</t>
        </is>
      </c>
      <c r="C15" s="144" t="n">
        <v>1</v>
      </c>
      <c r="D15" s="144" t="inlineStr">
        <is>
          <t>2%</t>
        </is>
      </c>
      <c r="E15" s="143" t="inlineStr">
        <is>
          <t>Earthy body, Indonesian terroir</t>
        </is>
      </c>
      <c r="F15" s="144" t="inlineStr">
        <is>
          <t>ONE-OFF</t>
        </is>
      </c>
      <c r="H15" s="139" t="inlineStr">
        <is>
          <t>95°C+</t>
        </is>
      </c>
      <c r="I15" s="140" t="n">
        <v>3</v>
      </c>
      <c r="J15" s="139" t="inlineStr">
        <is>
          <t>Full extraction — bold profiles</t>
        </is>
      </c>
    </row>
    <row r="16" ht="15" customHeight="1">
      <c r="B16" s="154" t="inlineStr">
        <is>
          <t>Anaerobic</t>
        </is>
      </c>
      <c r="C16" s="155" t="n">
        <v>1</v>
      </c>
      <c r="D16" s="155" t="inlineStr">
        <is>
          <t>2%</t>
        </is>
      </c>
      <c r="E16" s="154" t="inlineStr">
        <is>
          <t>Fermentation-amplified aromatics</t>
        </is>
      </c>
      <c r="F16" s="155" t="inlineStr">
        <is>
          <t>MED</t>
        </is>
      </c>
      <c r="H16" s="158" t="inlineStr">
        <is>
          <t>Oscillating</t>
        </is>
      </c>
      <c r="I16" s="159" t="n">
        <v>7</v>
      </c>
      <c r="J16" s="158" t="inlineStr">
        <is>
          <t>🏆 Fluid Collective signature protocol</t>
        </is>
      </c>
    </row>
    <row r="17" ht="8" customHeight="1">
      <c r="B17" s="147" t="inlineStr">
        <is>
          <t>Anaerobic Washed</t>
        </is>
      </c>
      <c r="C17" s="148" t="n">
        <v>1</v>
      </c>
      <c r="D17" s="148" t="inlineStr">
        <is>
          <t>2%</t>
        </is>
      </c>
      <c r="E17" s="147" t="inlineStr">
        <is>
          <t>Clean ferment — best of both</t>
        </is>
      </c>
      <c r="F17" s="148" t="inlineStr">
        <is>
          <t>MED-HIGH</t>
        </is>
      </c>
    </row>
    <row r="18" ht="22" customHeight="1">
      <c r="H18" s="131" t="inlineStr">
        <is>
          <t>⭐  GESHA PROCESS TRILOGY — SENSORY COMPARISON</t>
        </is>
      </c>
      <c r="I18" s="185" t="n"/>
      <c r="J18" s="185" t="n"/>
      <c r="K18" s="185" t="n"/>
      <c r="L18" s="186" t="n"/>
    </row>
    <row r="19" ht="40" customHeight="1">
      <c r="B19" s="132" t="inlineStr">
        <is>
          <t>⚖️  BREW RATIO INTELLIGENCE — 1:15 to 1:17 Palate DNA Band</t>
        </is>
      </c>
      <c r="C19" s="187" t="n"/>
      <c r="D19" s="187" t="n"/>
      <c r="E19" s="187" t="n"/>
      <c r="F19" s="188" t="n"/>
      <c r="H19" s="133" t="inlineStr">
        <is>
          <t>The Colombia Gesha trilogy is complete. Three process treatments, same varietal genetics, drastically different sensory outcomes. Washed = genetic purity. Honey = sweet amplification. Natural = fermentation noise over clarity. The archive's verdict: Washed remains the apex expression.</t>
        </is>
      </c>
      <c r="I19" s="189" t="n"/>
      <c r="J19" s="189" t="n"/>
      <c r="K19" s="189" t="n"/>
      <c r="L19" s="190" t="n"/>
    </row>
    <row r="20" ht="16" customHeight="1">
      <c r="B20" s="134" t="inlineStr">
        <is>
          <t>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is>
      </c>
      <c r="C20" s="189" t="n"/>
      <c r="D20" s="189" t="n"/>
      <c r="E20" s="189" t="n"/>
      <c r="F20" s="190" t="n"/>
      <c r="H20" s="135" t="inlineStr">
        <is>
          <t>Process</t>
        </is>
      </c>
      <c r="I20" s="135" t="inlineStr">
        <is>
          <t>Café</t>
        </is>
      </c>
      <c r="J20" s="135" t="inlineStr">
        <is>
          <t>Origin</t>
        </is>
      </c>
      <c r="K20" s="135" t="inlineStr">
        <is>
          <t>Sensory Arc</t>
        </is>
      </c>
      <c r="L20" s="135" t="inlineStr">
        <is>
          <t>Verdict</t>
        </is>
      </c>
    </row>
    <row r="21" ht="15" customHeight="1">
      <c r="B21" s="136" t="inlineStr">
        <is>
          <t>Ratio Band</t>
        </is>
      </c>
      <c r="C21" s="136" t="inlineStr">
        <is>
          <t>Count</t>
        </is>
      </c>
      <c r="D21" s="136" t="inlineStr">
        <is>
          <t>In Palate Band?</t>
        </is>
      </c>
      <c r="E21" s="136" t="inlineStr">
        <is>
          <t>Note</t>
        </is>
      </c>
      <c r="H21" s="147" t="inlineStr">
        <is>
          <t>Washed</t>
        </is>
      </c>
      <c r="I21" s="147" t="inlineStr">
        <is>
          <t>Fluid Collective
(El Obraje)</t>
        </is>
      </c>
      <c r="J21" s="147" t="inlineStr">
        <is>
          <t>Colombia</t>
        </is>
      </c>
      <c r="K21" s="147" t="inlineStr">
        <is>
          <t>Mango · Orange Blossom · Nectarine · Honey</t>
        </is>
      </c>
      <c r="L21" s="148" t="inlineStr">
        <is>
          <t>CUP OF YEAR ⭐</t>
        </is>
      </c>
    </row>
    <row r="22" ht="15" customHeight="1">
      <c r="B22" s="139" t="inlineStr">
        <is>
          <t>&lt;1:13</t>
        </is>
      </c>
      <c r="C22" s="140" t="n">
        <v>1</v>
      </c>
      <c r="D22" s="140" t="inlineStr">
        <is>
          <t>⚠️ Edge</t>
        </is>
      </c>
      <c r="E22" s="139" t="inlineStr">
        <is>
          <t>Espresso extractions</t>
        </is>
      </c>
      <c r="H22" s="149" t="inlineStr">
        <is>
          <t>Honey</t>
        </is>
      </c>
      <c r="I22" s="149" t="inlineStr">
        <is>
          <t>Keryi Coffee</t>
        </is>
      </c>
      <c r="J22" s="149" t="inlineStr">
        <is>
          <t>Colombia</t>
        </is>
      </c>
      <c r="K22" s="149" t="inlineStr">
        <is>
          <t>Jasmine · Caramel · Stone Fruit · Tangerine</t>
        </is>
      </c>
      <c r="L22" s="150" t="inlineStr">
        <is>
          <t>EXCELLENT</t>
        </is>
      </c>
    </row>
    <row r="23" ht="15" customHeight="1">
      <c r="B23" s="143" t="inlineStr">
        <is>
          <t>1:13–1:14</t>
        </is>
      </c>
      <c r="C23" s="144" t="n">
        <v>0</v>
      </c>
      <c r="D23" s="144" t="inlineStr">
        <is>
          <t>—</t>
        </is>
      </c>
      <c r="E23" s="143" t="inlineStr">
        <is>
          <t>Dense/concentrated</t>
        </is>
      </c>
      <c r="H23" s="149" t="inlineStr">
        <is>
          <t>Honey</t>
        </is>
      </c>
      <c r="I23" s="149" t="inlineStr">
        <is>
          <t>Pinhole Coffee Bar
(Santa Barbara #1)</t>
        </is>
      </c>
      <c r="J23" s="149" t="inlineStr">
        <is>
          <t>Colombia</t>
        </is>
      </c>
      <c r="K23" s="149" t="inlineStr">
        <is>
          <t>Bergamot · Lychee · Mandarin · Honey</t>
        </is>
      </c>
      <c r="L23" s="150" t="inlineStr">
        <is>
          <t>VERY GOOD
(cold-cup)</t>
        </is>
      </c>
    </row>
    <row r="24" ht="15" customHeight="1">
      <c r="B24" s="139" t="inlineStr">
        <is>
          <t>1:14–1:15</t>
        </is>
      </c>
      <c r="C24" s="140" t="n">
        <v>7</v>
      </c>
      <c r="D24" s="140" t="inlineStr">
        <is>
          <t>⚠️ Edge</t>
        </is>
      </c>
      <c r="E24" s="139" t="inlineStr">
        <is>
          <t>Dense/concentrated</t>
        </is>
      </c>
      <c r="H24" s="152" t="inlineStr">
        <is>
          <t>Natural</t>
        </is>
      </c>
      <c r="I24" s="152" t="inlineStr">
        <is>
          <t>Homeground Roasters</t>
        </is>
      </c>
      <c r="J24" s="152" t="inlineStr">
        <is>
          <t>Colombia</t>
        </is>
      </c>
      <c r="K24" s="152" t="inlineStr">
        <is>
          <t>Strawberry · Ferment · Complex · Winey</t>
        </is>
      </c>
      <c r="L24" s="153" t="inlineStr">
        <is>
          <t>GOOD</t>
        </is>
      </c>
    </row>
    <row r="25" ht="15" customHeight="1">
      <c r="B25" s="156" t="inlineStr">
        <is>
          <t>1:15–1:17(BAND)</t>
        </is>
      </c>
      <c r="C25" s="157" t="n">
        <v>31</v>
      </c>
      <c r="D25" s="157" t="inlineStr">
        <is>
          <t>✅ YES — OPTIMAL</t>
        </is>
      </c>
      <c r="E25" s="156" t="inlineStr">
        <is>
          <t>Core extraction philosophy</t>
        </is>
      </c>
      <c r="H25" s="152" t="inlineStr">
        <is>
          <t>Natural</t>
        </is>
      </c>
      <c r="I25" s="152" t="inlineStr">
        <is>
          <t>Cowpresso</t>
        </is>
      </c>
      <c r="J25" s="152" t="inlineStr">
        <is>
          <t>Colombia</t>
        </is>
      </c>
      <c r="K25" s="152" t="inlineStr">
        <is>
          <t>Natural Sweetness · Tropical · Light Ferment</t>
        </is>
      </c>
      <c r="L25" s="153" t="inlineStr">
        <is>
          <t>GOOD</t>
        </is>
      </c>
    </row>
    <row r="26" ht="15" customHeight="1">
      <c r="B26" s="143" t="inlineStr">
        <is>
          <t>1:17–1:18</t>
        </is>
      </c>
      <c r="C26" s="144" t="n">
        <v>0</v>
      </c>
      <c r="D26" s="144" t="inlineStr">
        <is>
          <t>—</t>
        </is>
      </c>
      <c r="E26" s="143" t="inlineStr">
        <is>
          <t>Thin extraction</t>
        </is>
      </c>
    </row>
    <row r="27" ht="15" customHeight="1">
      <c r="B27" s="143" t="inlineStr">
        <is>
          <t>&gt;1:18</t>
        </is>
      </c>
      <c r="C27" s="144" t="n">
        <v>0</v>
      </c>
      <c r="D27" s="144" t="inlineStr">
        <is>
          <t>—</t>
        </is>
      </c>
      <c r="E27" s="143" t="inlineStr">
        <is>
          <t>Thin extraction</t>
        </is>
      </c>
    </row>
    <row r="28" ht="15" customHeight="1">
      <c r="B28" s="139" t="inlineStr">
        <is>
          <t>Unknown</t>
        </is>
      </c>
      <c r="C28" s="140" t="n">
        <v>15</v>
      </c>
      <c r="D28" s="140" t="inlineStr">
        <is>
          <t>—</t>
        </is>
      </c>
      <c r="E28" s="139" t="inlineStr">
        <is>
          <t>—</t>
        </is>
      </c>
    </row>
    <row r="29" ht="8" customHeight="1"/>
    <row r="200">
      <c r="B200" t="inlineStr">
        <is>
          <t>Process</t>
        </is>
      </c>
      <c r="C200" t="inlineStr">
        <is>
          <t>Count</t>
        </is>
      </c>
    </row>
    <row r="201">
      <c r="B201" t="inlineStr">
        <is>
          <t>Washed</t>
        </is>
      </c>
      <c r="C201" t="n">
        <v>22</v>
      </c>
    </row>
    <row r="202">
      <c r="B202" t="inlineStr">
        <is>
          <t>Natural</t>
        </is>
      </c>
      <c r="C202" t="n">
        <v>13</v>
      </c>
    </row>
    <row r="203">
      <c r="B203" t="inlineStr">
        <is>
          <t>Anaerobic Natural</t>
        </is>
      </c>
      <c r="C203" t="n">
        <v>5</v>
      </c>
    </row>
    <row r="204">
      <c r="B204" t="inlineStr">
        <is>
          <t>Honey</t>
        </is>
      </c>
      <c r="C204" t="n">
        <v>5</v>
      </c>
    </row>
    <row r="205">
      <c r="B205" t="inlineStr">
        <is>
          <t>Experimental Ferment</t>
        </is>
      </c>
      <c r="C205" t="n">
        <v>3</v>
      </c>
    </row>
    <row r="206">
      <c r="B206" t="inlineStr">
        <is>
          <t>Wet-Hulled</t>
        </is>
      </c>
      <c r="C206" t="n">
        <v>1</v>
      </c>
    </row>
    <row r="207">
      <c r="B207" t="inlineStr">
        <is>
          <t>Anaerobic</t>
        </is>
      </c>
      <c r="C207" t="n">
        <v>1</v>
      </c>
    </row>
    <row r="208">
      <c r="B208" t="inlineStr">
        <is>
          <t>Anaerobic Washed</t>
        </is>
      </c>
      <c r="C208" t="n">
        <v>1</v>
      </c>
    </row>
  </sheetData>
  <mergeCells count="12">
    <mergeCell ref="H9:L9"/>
    <mergeCell ref="B7:F7"/>
    <mergeCell ref="B1:K1"/>
    <mergeCell ref="B4:K4"/>
    <mergeCell ref="B20:F20"/>
    <mergeCell ref="B19:F19"/>
    <mergeCell ref="H18:L18"/>
    <mergeCell ref="H19:L19"/>
    <mergeCell ref="B2:K2"/>
    <mergeCell ref="B8:F8"/>
    <mergeCell ref="H8:L8"/>
    <mergeCell ref="B5:K5"/>
  </mergeCells>
  <conditionalFormatting sqref="C10:C17">
    <cfRule type="dataBar" priority="1">
      <dataBar>
        <cfvo type="num" val="0"/>
        <cfvo type="num" val="22"/>
        <color rgb="00C8780A"/>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D4A1E"/>
    <outlinePr summaryBelow="1" summaryRight="1"/>
    <pageSetUpPr/>
  </sheetPr>
  <dimension ref="B1:M210"/>
  <sheetViews>
    <sheetView showGridLines="0" workbookViewId="0">
      <selection activeCell="A1" sqref="A1"/>
    </sheetView>
  </sheetViews>
  <sheetFormatPr baseColWidth="8" defaultRowHeight="15"/>
  <cols>
    <col width="2" customWidth="1" min="1" max="1"/>
    <col width="18" customWidth="1" min="2" max="2"/>
    <col width="11" customWidth="1" min="3" max="3"/>
    <col width="11" customWidth="1" min="4" max="4"/>
    <col width="11" customWidth="1" min="5" max="5"/>
    <col width="14" customWidth="1" min="6" max="6"/>
    <col width="16" customWidth="1" min="7" max="7"/>
    <col width="16" customWidth="1" min="8" max="8"/>
    <col width="10" customWidth="1" min="9" max="9"/>
    <col width="6" customWidth="1" min="10" max="10"/>
    <col width="14" customWidth="1" min="11" max="11"/>
    <col width="14" customWidth="1" min="12" max="12"/>
    <col width="2" customWidth="1" min="13" max="13"/>
  </cols>
  <sheetData>
    <row r="1" ht="38" customHeight="1">
      <c r="B1" s="116" t="inlineStr">
        <is>
          <t>🌍  ORIGIN &amp; TERROIR INTELLIGENCE</t>
        </is>
      </c>
    </row>
    <row r="2" ht="16" customHeight="1">
      <c r="B2" s="117" t="inlineStr">
        <is>
          <t>17 countries · 54 entries · Altitude, soil and latitude decoded through the palate</t>
        </is>
      </c>
    </row>
    <row r="3" ht="8" customHeight="1"/>
    <row r="4" ht="22" customHeight="1">
      <c r="B4" s="151" t="inlineStr">
        <is>
          <t>📖  THE TERROIR THESIS</t>
        </is>
      </c>
      <c r="C4" s="193" t="n"/>
      <c r="D4" s="193" t="n"/>
      <c r="E4" s="193" t="n"/>
      <c r="F4" s="193" t="n"/>
      <c r="G4" s="193" t="n"/>
      <c r="H4" s="193" t="n"/>
      <c r="I4" s="193" t="n"/>
      <c r="J4" s="193" t="n"/>
      <c r="K4" s="193" t="n"/>
      <c r="L4" s="194" t="n"/>
    </row>
    <row r="5" ht="40" customHeight="1">
      <c r="B5" s="134" t="inlineStr">
        <is>
          <t>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is>
      </c>
      <c r="C5" s="189" t="n"/>
      <c r="D5" s="189" t="n"/>
      <c r="E5" s="189" t="n"/>
      <c r="F5" s="189" t="n"/>
      <c r="G5" s="189" t="n"/>
      <c r="H5" s="189" t="n"/>
      <c r="I5" s="189" t="n"/>
      <c r="J5" s="189" t="n"/>
      <c r="K5" s="189" t="n"/>
      <c r="L5" s="190" t="n"/>
    </row>
    <row r="6" ht="6" customHeight="1"/>
    <row r="7" ht="22" customHeight="1">
      <c r="B7" s="145" t="inlineStr">
        <is>
          <t>🗺️  ORIGIN INTELLIGENCE — COMPLETE REGISTER</t>
        </is>
      </c>
      <c r="C7" s="191" t="n"/>
      <c r="D7" s="191" t="n"/>
      <c r="E7" s="191" t="n"/>
      <c r="F7" s="192" t="n"/>
    </row>
    <row r="8" ht="22" customHeight="1">
      <c r="B8" s="146" t="inlineStr">
        <is>
          <t>Origin</t>
        </is>
      </c>
      <c r="C8" s="146" t="inlineStr">
        <is>
          <t>Entries</t>
        </is>
      </c>
      <c r="D8" s="146" t="inlineStr">
        <is>
          <t>%</t>
        </is>
      </c>
      <c r="E8" s="146" t="inlineStr">
        <is>
          <t>Avg Price</t>
        </is>
      </c>
      <c r="F8" s="146" t="inlineStr">
        <is>
          <t>Gesha</t>
        </is>
      </c>
      <c r="G8" s="146" t="inlineStr">
        <is>
          <t>Top Process(es)</t>
        </is>
      </c>
      <c r="H8" s="151" t="inlineStr">
        <is>
          <t>📜  TERROIR DOSSIERS — Deep Origin Profiles</t>
        </is>
      </c>
      <c r="I8" s="193" t="n"/>
      <c r="J8" s="193" t="n"/>
      <c r="K8" s="193" t="n"/>
      <c r="L8" s="193" t="n"/>
      <c r="M8" s="194" t="n"/>
    </row>
    <row r="9" ht="22" customHeight="1">
      <c r="B9" s="160" t="inlineStr">
        <is>
          <t>Colombia</t>
        </is>
      </c>
      <c r="C9" s="150" t="n">
        <v>16</v>
      </c>
      <c r="D9" s="150" t="inlineStr">
        <is>
          <t>30%</t>
        </is>
      </c>
      <c r="E9" s="150" t="inlineStr">
        <is>
          <t>$12.03</t>
        </is>
      </c>
      <c r="F9" s="161" t="inlineStr">
        <is>
          <t>⭐×6</t>
        </is>
      </c>
      <c r="G9" s="149" t="inlineStr">
        <is>
          <t>Washed / Natural</t>
        </is>
      </c>
      <c r="H9" s="132" t="inlineStr">
        <is>
          <t>🇨🇴  COLOMBIA — 16 entries · 30%</t>
        </is>
      </c>
      <c r="I9" s="187" t="n"/>
      <c r="J9" s="187" t="n"/>
      <c r="K9" s="187" t="n"/>
      <c r="L9" s="187" t="n"/>
      <c r="M9" s="188" t="n"/>
    </row>
    <row r="10" ht="40" customHeight="1">
      <c r="B10" s="162" t="inlineStr">
        <is>
          <t>Ethiopia</t>
        </is>
      </c>
      <c r="C10" s="148" t="n">
        <v>7</v>
      </c>
      <c r="D10" s="148" t="inlineStr">
        <is>
          <t>13%</t>
        </is>
      </c>
      <c r="E10" s="148" t="inlineStr">
        <is>
          <t>$9.92</t>
        </is>
      </c>
      <c r="F10" s="148" t="inlineStr">
        <is>
          <t>—</t>
        </is>
      </c>
      <c r="G10" s="147" t="inlineStr">
        <is>
          <t>Washed / Natural</t>
        </is>
      </c>
      <c r="H10" s="163" t="inlineStr">
        <is>
          <t>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is>
      </c>
      <c r="I10" s="189" t="n"/>
      <c r="J10" s="189" t="n"/>
      <c r="K10" s="189" t="n"/>
      <c r="L10" s="189" t="n"/>
      <c r="M10" s="190" t="n"/>
    </row>
    <row r="11" ht="4" customHeight="1">
      <c r="B11" s="164" t="inlineStr">
        <is>
          <t>Brazil</t>
        </is>
      </c>
      <c r="C11" s="153" t="n">
        <v>5</v>
      </c>
      <c r="D11" s="153" t="inlineStr">
        <is>
          <t>9%</t>
        </is>
      </c>
      <c r="E11" s="153" t="inlineStr">
        <is>
          <t>$6.87</t>
        </is>
      </c>
      <c r="F11" s="153" t="inlineStr">
        <is>
          <t>—</t>
        </is>
      </c>
      <c r="G11" s="152" t="inlineStr">
        <is>
          <t>Natural / Unknown</t>
        </is>
      </c>
    </row>
    <row r="12" ht="22" customHeight="1">
      <c r="B12" s="143" t="inlineStr">
        <is>
          <t>Indonesia</t>
        </is>
      </c>
      <c r="C12" s="144" t="n">
        <v>4</v>
      </c>
      <c r="D12" s="144" t="inlineStr">
        <is>
          <t>7%</t>
        </is>
      </c>
      <c r="E12" s="144" t="inlineStr">
        <is>
          <t>$9.00</t>
        </is>
      </c>
      <c r="F12" s="144" t="inlineStr">
        <is>
          <t>—</t>
        </is>
      </c>
      <c r="G12" s="143" t="inlineStr">
        <is>
          <t>Natural / Wet-Hull</t>
        </is>
      </c>
      <c r="H12" s="132" t="inlineStr">
        <is>
          <t>🇪🇹  ETHIOPIA — 7 entries · 13%</t>
        </is>
      </c>
      <c r="I12" s="187" t="n"/>
      <c r="J12" s="187" t="n"/>
      <c r="K12" s="187" t="n"/>
      <c r="L12" s="187" t="n"/>
      <c r="M12" s="188" t="n"/>
    </row>
    <row r="13" ht="40" customHeight="1">
      <c r="B13" s="139" t="inlineStr">
        <is>
          <t>Honduras</t>
        </is>
      </c>
      <c r="C13" s="140" t="n">
        <v>3</v>
      </c>
      <c r="D13" s="140" t="inlineStr">
        <is>
          <t>6%</t>
        </is>
      </c>
      <c r="E13" s="140" t="inlineStr">
        <is>
          <t>$12.00</t>
        </is>
      </c>
      <c r="F13" s="140" t="inlineStr">
        <is>
          <t>—</t>
        </is>
      </c>
      <c r="G13" s="139" t="inlineStr">
        <is>
          <t>Washed / Experimen</t>
        </is>
      </c>
      <c r="H13" s="165" t="inlineStr">
        <is>
          <t>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is>
      </c>
      <c r="I13" s="189" t="n"/>
      <c r="J13" s="189" t="n"/>
      <c r="K13" s="189" t="n"/>
      <c r="L13" s="189" t="n"/>
      <c r="M13" s="190" t="n"/>
    </row>
    <row r="14" ht="4" customHeight="1">
      <c r="B14" s="154" t="inlineStr">
        <is>
          <t>Kenya</t>
        </is>
      </c>
      <c r="C14" s="155" t="n">
        <v>2</v>
      </c>
      <c r="D14" s="155" t="inlineStr">
        <is>
          <t>4%</t>
        </is>
      </c>
      <c r="E14" s="155" t="inlineStr">
        <is>
          <t>$8.50</t>
        </is>
      </c>
      <c r="F14" s="155" t="inlineStr">
        <is>
          <t>—</t>
        </is>
      </c>
      <c r="G14" s="154" t="inlineStr">
        <is>
          <t>Washed</t>
        </is>
      </c>
    </row>
    <row r="15" ht="22" customHeight="1">
      <c r="B15" s="139" t="inlineStr">
        <is>
          <t>India</t>
        </is>
      </c>
      <c r="C15" s="140" t="n">
        <v>2</v>
      </c>
      <c r="D15" s="140" t="inlineStr">
        <is>
          <t>4%</t>
        </is>
      </c>
      <c r="E15" s="140" t="inlineStr">
        <is>
          <t>—</t>
        </is>
      </c>
      <c r="F15" s="140" t="inlineStr">
        <is>
          <t>—</t>
        </is>
      </c>
      <c r="G15" s="139" t="inlineStr">
        <is>
          <t xml:space="preserve">Anaerobic Natural </t>
        </is>
      </c>
      <c r="H15" s="132" t="inlineStr">
        <is>
          <t>🇧🇷  BRAZIL — 5 entries · 9%</t>
        </is>
      </c>
      <c r="I15" s="187" t="n"/>
      <c r="J15" s="187" t="n"/>
      <c r="K15" s="187" t="n"/>
      <c r="L15" s="187" t="n"/>
      <c r="M15" s="188" t="n"/>
    </row>
    <row r="16" ht="40" customHeight="1">
      <c r="B16" s="143" t="inlineStr">
        <is>
          <t>Nicaragua</t>
        </is>
      </c>
      <c r="C16" s="144" t="n">
        <v>2</v>
      </c>
      <c r="D16" s="144" t="inlineStr">
        <is>
          <t>4%</t>
        </is>
      </c>
      <c r="E16" s="144" t="inlineStr">
        <is>
          <t>—</t>
        </is>
      </c>
      <c r="F16" s="144" t="inlineStr">
        <is>
          <t>—</t>
        </is>
      </c>
      <c r="G16" s="143" t="inlineStr">
        <is>
          <t>Washed / Anaerobic</t>
        </is>
      </c>
      <c r="H16" s="166" t="inlineStr">
        <is>
          <t>Natural-process dominant. Mogiana and Cerrado lots. Lower acidity profile — nut, chocolate, dried fruit. Less aligned with clarity-first palate DNA but contributes milk-chocolate body and Maillard sweetness in blends. Arara varietal (Nylon) stands out for atypical malic acid expression.</t>
        </is>
      </c>
      <c r="I16" s="189" t="n"/>
      <c r="J16" s="189" t="n"/>
      <c r="K16" s="189" t="n"/>
      <c r="L16" s="189" t="n"/>
      <c r="M16" s="190" t="n"/>
    </row>
    <row r="17" ht="4" customHeight="1">
      <c r="B17" s="138" t="inlineStr">
        <is>
          <t>Peru</t>
        </is>
      </c>
      <c r="C17" s="137" t="n">
        <v>2</v>
      </c>
      <c r="D17" s="137" t="inlineStr">
        <is>
          <t>4%</t>
        </is>
      </c>
      <c r="E17" s="137" t="inlineStr">
        <is>
          <t>$11.75</t>
        </is>
      </c>
      <c r="F17" s="159" t="inlineStr">
        <is>
          <t>⭐×2</t>
        </is>
      </c>
      <c r="G17" s="138" t="inlineStr">
        <is>
          <t>Washed</t>
        </is>
      </c>
    </row>
    <row r="18" ht="22" customHeight="1">
      <c r="B18" s="143" t="inlineStr">
        <is>
          <t>El Salvador</t>
        </is>
      </c>
      <c r="C18" s="144" t="n">
        <v>1</v>
      </c>
      <c r="D18" s="144" t="inlineStr">
        <is>
          <t>2%</t>
        </is>
      </c>
      <c r="E18" s="144" t="inlineStr">
        <is>
          <t>—</t>
        </is>
      </c>
      <c r="F18" s="144" t="inlineStr">
        <is>
          <t>—</t>
        </is>
      </c>
      <c r="G18" s="143" t="inlineStr">
        <is>
          <t>Natural</t>
        </is>
      </c>
      <c r="H18" s="132" t="inlineStr">
        <is>
          <t>🇮🇩  INDONESIA — 4 entries · 7%</t>
        </is>
      </c>
      <c r="I18" s="187" t="n"/>
      <c r="J18" s="187" t="n"/>
      <c r="K18" s="187" t="n"/>
      <c r="L18" s="187" t="n"/>
      <c r="M18" s="188" t="n"/>
    </row>
    <row r="19" ht="40" customHeight="1">
      <c r="B19" s="138" t="inlineStr">
        <is>
          <t>Boquerón</t>
        </is>
      </c>
      <c r="C19" s="137" t="n">
        <v>1</v>
      </c>
      <c r="D19" s="137" t="inlineStr">
        <is>
          <t>2%</t>
        </is>
      </c>
      <c r="E19" s="137" t="inlineStr">
        <is>
          <t>$12.00</t>
        </is>
      </c>
      <c r="F19" s="159" t="inlineStr">
        <is>
          <t>⭐×1</t>
        </is>
      </c>
      <c r="G19" s="138" t="inlineStr">
        <is>
          <t>Honey</t>
        </is>
      </c>
      <c r="H19" s="167" t="inlineStr">
        <is>
          <t>Diverse: Kintamani Bali (wet-hulled), Frinsa Estate Sumatra, Sulawesi lots. Earthy, syrupy body — wet-hulled process suppresses acidity for full mouthfeel. Represents the archive's body axis rather than acid-clarity axis.</t>
        </is>
      </c>
      <c r="I19" s="189" t="n"/>
      <c r="J19" s="189" t="n"/>
      <c r="K19" s="189" t="n"/>
      <c r="L19" s="189" t="n"/>
      <c r="M19" s="190" t="n"/>
    </row>
    <row r="20" ht="4" customHeight="1">
      <c r="B20" s="138" t="inlineStr">
        <is>
          <t>Ecuador</t>
        </is>
      </c>
      <c r="C20" s="137" t="n">
        <v>1</v>
      </c>
      <c r="D20" s="137" t="inlineStr">
        <is>
          <t>2%</t>
        </is>
      </c>
      <c r="E20" s="137" t="inlineStr">
        <is>
          <t>$18.00</t>
        </is>
      </c>
      <c r="F20" s="159" t="inlineStr">
        <is>
          <t>⭐×1</t>
        </is>
      </c>
      <c r="G20" s="138" t="inlineStr">
        <is>
          <t>Washed</t>
        </is>
      </c>
    </row>
    <row r="21" ht="22" customHeight="1">
      <c r="B21" s="139" t="inlineStr">
        <is>
          <t>Rwanda</t>
        </is>
      </c>
      <c r="C21" s="140" t="n">
        <v>1</v>
      </c>
      <c r="D21" s="140" t="inlineStr">
        <is>
          <t>2%</t>
        </is>
      </c>
      <c r="E21" s="140" t="inlineStr">
        <is>
          <t>$9.27</t>
        </is>
      </c>
      <c r="F21" s="140" t="inlineStr">
        <is>
          <t>—</t>
        </is>
      </c>
      <c r="G21" s="139" t="inlineStr">
        <is>
          <t>Washed</t>
        </is>
      </c>
      <c r="H21" s="168" t="inlineStr">
        <is>
          <t>💰  PRICE BY ORIGIN — SGD Average</t>
        </is>
      </c>
      <c r="I21" s="195" t="n"/>
      <c r="J21" s="195" t="n"/>
      <c r="K21" s="195" t="n"/>
      <c r="L21" s="195" t="n"/>
      <c r="M21" s="196" t="n"/>
    </row>
    <row r="22" ht="16" customHeight="1">
      <c r="B22" s="143" t="inlineStr">
        <is>
          <t>Malaysia</t>
        </is>
      </c>
      <c r="C22" s="144" t="n">
        <v>1</v>
      </c>
      <c r="D22" s="144" t="inlineStr">
        <is>
          <t>2%</t>
        </is>
      </c>
      <c r="E22" s="144" t="inlineStr">
        <is>
          <t>$13.00</t>
        </is>
      </c>
      <c r="F22" s="144" t="inlineStr">
        <is>
          <t>—</t>
        </is>
      </c>
      <c r="G22" s="143" t="inlineStr">
        <is>
          <t>Natural</t>
        </is>
      </c>
      <c r="H22" s="169" t="inlineStr">
        <is>
          <t>Origin</t>
        </is>
      </c>
      <c r="I22" s="169" t="inlineStr">
        <is>
          <t>Avg SGD</t>
        </is>
      </c>
      <c r="J22" s="169" t="inlineStr">
        <is>
          <t>n</t>
        </is>
      </c>
      <c r="K22" s="169" t="inlineStr">
        <is>
          <t>vs Archive Avg</t>
        </is>
      </c>
    </row>
    <row r="23" ht="15" customHeight="1">
      <c r="B23" s="139" t="inlineStr">
        <is>
          <t>China</t>
        </is>
      </c>
      <c r="C23" s="140" t="n">
        <v>1</v>
      </c>
      <c r="D23" s="140" t="inlineStr">
        <is>
          <t>2%</t>
        </is>
      </c>
      <c r="E23" s="140" t="inlineStr">
        <is>
          <t>$9.50</t>
        </is>
      </c>
      <c r="F23" s="140" t="inlineStr">
        <is>
          <t>—</t>
        </is>
      </c>
      <c r="G23" s="139" t="inlineStr">
        <is>
          <t>Washed</t>
        </is>
      </c>
      <c r="H23" s="149" t="inlineStr">
        <is>
          <t>Colombia</t>
        </is>
      </c>
      <c r="I23" s="150" t="inlineStr">
        <is>
          <t>$12.03</t>
        </is>
      </c>
      <c r="J23" s="150" t="n">
        <v>16</v>
      </c>
      <c r="K23" s="150" t="inlineStr">
        <is>
          <t>+$1.26</t>
        </is>
      </c>
    </row>
    <row r="24" ht="15" customHeight="1">
      <c r="B24" s="143" t="inlineStr">
        <is>
          <t>Myanmar</t>
        </is>
      </c>
      <c r="C24" s="144" t="n">
        <v>1</v>
      </c>
      <c r="D24" s="144" t="inlineStr">
        <is>
          <t>2%</t>
        </is>
      </c>
      <c r="E24" s="144" t="inlineStr">
        <is>
          <t>$6.00</t>
        </is>
      </c>
      <c r="F24" s="144" t="inlineStr">
        <is>
          <t>—</t>
        </is>
      </c>
      <c r="G24" s="143" t="inlineStr">
        <is>
          <t>Honey</t>
        </is>
      </c>
      <c r="H24" s="154" t="inlineStr">
        <is>
          <t>Ethiopia</t>
        </is>
      </c>
      <c r="I24" s="155" t="inlineStr">
        <is>
          <t>$9.92</t>
        </is>
      </c>
      <c r="J24" s="155" t="n">
        <v>7</v>
      </c>
      <c r="K24" s="155" t="inlineStr">
        <is>
          <t>-$0.85</t>
        </is>
      </c>
    </row>
    <row r="25" ht="15" customHeight="1">
      <c r="B25" s="139" t="inlineStr">
        <is>
          <t>Bolivia</t>
        </is>
      </c>
      <c r="C25" s="140" t="n">
        <v>1</v>
      </c>
      <c r="D25" s="140" t="inlineStr">
        <is>
          <t>2%</t>
        </is>
      </c>
      <c r="E25" s="140" t="inlineStr">
        <is>
          <t>$10.00</t>
        </is>
      </c>
      <c r="F25" s="140" t="inlineStr">
        <is>
          <t>—</t>
        </is>
      </c>
      <c r="G25" s="139" t="inlineStr">
        <is>
          <t>Washed</t>
        </is>
      </c>
      <c r="H25" s="154" t="inlineStr">
        <is>
          <t>Brazil</t>
        </is>
      </c>
      <c r="I25" s="155" t="inlineStr">
        <is>
          <t>$6.87</t>
        </is>
      </c>
      <c r="J25" s="155" t="n">
        <v>5</v>
      </c>
      <c r="K25" s="155" t="inlineStr">
        <is>
          <t>-$3.90</t>
        </is>
      </c>
    </row>
    <row r="26" ht="15" customHeight="1">
      <c r="H26" s="154" t="inlineStr">
        <is>
          <t>Indonesia</t>
        </is>
      </c>
      <c r="I26" s="155" t="inlineStr">
        <is>
          <t>$9.00</t>
        </is>
      </c>
      <c r="J26" s="155" t="n">
        <v>4</v>
      </c>
      <c r="K26" s="155" t="inlineStr">
        <is>
          <t>-$1.77</t>
        </is>
      </c>
    </row>
    <row r="27" ht="15" customHeight="1">
      <c r="B27" s="132" t="inlineStr">
        <is>
          <t>🔬  ORIGIN × PROCESS MATRIX</t>
        </is>
      </c>
      <c r="C27" s="187" t="n"/>
      <c r="D27" s="187" t="n"/>
      <c r="E27" s="187" t="n"/>
      <c r="F27" s="188" t="n"/>
      <c r="H27" s="149" t="inlineStr">
        <is>
          <t>Honduras</t>
        </is>
      </c>
      <c r="I27" s="150" t="inlineStr">
        <is>
          <t>$12.00</t>
        </is>
      </c>
      <c r="J27" s="150" t="n">
        <v>3</v>
      </c>
      <c r="K27" s="150" t="inlineStr">
        <is>
          <t>+$1.23</t>
        </is>
      </c>
    </row>
    <row r="28" ht="15" customHeight="1">
      <c r="B28" s="136" t="inlineStr">
        <is>
          <t>Origin</t>
        </is>
      </c>
      <c r="C28" s="136" t="inlineStr">
        <is>
          <t>Washed</t>
        </is>
      </c>
      <c r="D28" s="136" t="inlineStr">
        <is>
          <t>Natural</t>
        </is>
      </c>
      <c r="E28" s="136" t="inlineStr">
        <is>
          <t>Honey</t>
        </is>
      </c>
      <c r="F28" s="136" t="inlineStr">
        <is>
          <t xml:space="preserve">Anaerobic </t>
        </is>
      </c>
      <c r="G28" s="136" t="inlineStr">
        <is>
          <t>Experiment</t>
        </is>
      </c>
      <c r="H28" s="154" t="inlineStr">
        <is>
          <t>Kenya</t>
        </is>
      </c>
      <c r="I28" s="155" t="inlineStr">
        <is>
          <t>$8.50</t>
        </is>
      </c>
      <c r="J28" s="155" t="n">
        <v>2</v>
      </c>
      <c r="K28" s="155" t="inlineStr">
        <is>
          <t>-$2.27</t>
        </is>
      </c>
    </row>
    <row r="29" ht="15" customHeight="1">
      <c r="B29" s="149" t="inlineStr">
        <is>
          <t>Colombia</t>
        </is>
      </c>
      <c r="C29" s="150" t="n">
        <v>8</v>
      </c>
      <c r="D29" s="150" t="n">
        <v>4</v>
      </c>
      <c r="E29" s="150" t="n">
        <v>2</v>
      </c>
      <c r="F29" s="150" t="n">
        <v>1</v>
      </c>
      <c r="G29" s="150" t="n">
        <v>1</v>
      </c>
      <c r="H29" s="149" t="inlineStr">
        <is>
          <t>Peru</t>
        </is>
      </c>
      <c r="I29" s="150" t="inlineStr">
        <is>
          <t>$11.75</t>
        </is>
      </c>
      <c r="J29" s="150" t="n">
        <v>2</v>
      </c>
      <c r="K29" s="150" t="inlineStr">
        <is>
          <t>+$0.98</t>
        </is>
      </c>
    </row>
    <row r="30" ht="15" customHeight="1">
      <c r="B30" s="147" t="inlineStr">
        <is>
          <t>Ethiopia</t>
        </is>
      </c>
      <c r="C30" s="148" t="n">
        <v>4</v>
      </c>
      <c r="D30" s="148" t="n">
        <v>1</v>
      </c>
      <c r="E30" s="148" t="inlineStr">
        <is>
          <t>—</t>
        </is>
      </c>
      <c r="F30" s="148" t="n">
        <v>1</v>
      </c>
      <c r="G30" s="148" t="n">
        <v>1</v>
      </c>
      <c r="H30" s="149" t="inlineStr">
        <is>
          <t>Boquerón</t>
        </is>
      </c>
      <c r="I30" s="150" t="inlineStr">
        <is>
          <t>$12.00</t>
        </is>
      </c>
      <c r="J30" s="150" t="n">
        <v>1</v>
      </c>
      <c r="K30" s="150" t="inlineStr">
        <is>
          <t>+$1.23</t>
        </is>
      </c>
    </row>
    <row r="31" ht="15" customHeight="1">
      <c r="B31" s="152" t="inlineStr">
        <is>
          <t>Brazil</t>
        </is>
      </c>
      <c r="C31" s="153" t="inlineStr">
        <is>
          <t>—</t>
        </is>
      </c>
      <c r="D31" s="153" t="n">
        <v>4</v>
      </c>
      <c r="E31" s="153" t="inlineStr">
        <is>
          <t>—</t>
        </is>
      </c>
      <c r="F31" s="153" t="inlineStr">
        <is>
          <t>—</t>
        </is>
      </c>
      <c r="G31" s="153" t="inlineStr">
        <is>
          <t>—</t>
        </is>
      </c>
      <c r="H31" s="152" t="inlineStr">
        <is>
          <t>Ecuador</t>
        </is>
      </c>
      <c r="I31" s="153" t="inlineStr">
        <is>
          <t>$18.00</t>
        </is>
      </c>
      <c r="J31" s="153" t="n">
        <v>1</v>
      </c>
      <c r="K31" s="153" t="inlineStr">
        <is>
          <t>+$7.23</t>
        </is>
      </c>
    </row>
    <row r="32" ht="15" customHeight="1">
      <c r="B32" s="139" t="inlineStr">
        <is>
          <t>Indonesia</t>
        </is>
      </c>
      <c r="C32" s="140" t="inlineStr">
        <is>
          <t>—</t>
        </is>
      </c>
      <c r="D32" s="140" t="n">
        <v>1</v>
      </c>
      <c r="E32" s="140" t="n">
        <v>1</v>
      </c>
      <c r="F32" s="140" t="n">
        <v>1</v>
      </c>
      <c r="G32" s="140" t="inlineStr">
        <is>
          <t>—</t>
        </is>
      </c>
      <c r="H32" s="154" t="inlineStr">
        <is>
          <t>Rwanda</t>
        </is>
      </c>
      <c r="I32" s="155" t="inlineStr">
        <is>
          <t>$9.27</t>
        </is>
      </c>
      <c r="J32" s="155" t="n">
        <v>1</v>
      </c>
      <c r="K32" s="155" t="inlineStr">
        <is>
          <t>-$1.50</t>
        </is>
      </c>
    </row>
    <row r="33" ht="15" customHeight="1">
      <c r="B33" s="139" t="inlineStr">
        <is>
          <t>Honduras</t>
        </is>
      </c>
      <c r="C33" s="140" t="n">
        <v>1</v>
      </c>
      <c r="D33" s="140" t="n">
        <v>1</v>
      </c>
      <c r="E33" s="140" t="inlineStr">
        <is>
          <t>—</t>
        </is>
      </c>
      <c r="F33" s="140" t="inlineStr">
        <is>
          <t>—</t>
        </is>
      </c>
      <c r="G33" s="140" t="n">
        <v>1</v>
      </c>
      <c r="H33" s="152" t="inlineStr">
        <is>
          <t>Malaysia</t>
        </is>
      </c>
      <c r="I33" s="153" t="inlineStr">
        <is>
          <t>$13.00</t>
        </is>
      </c>
      <c r="J33" s="153" t="n">
        <v>1</v>
      </c>
      <c r="K33" s="153" t="inlineStr">
        <is>
          <t>+$2.23</t>
        </is>
      </c>
    </row>
    <row r="34" ht="15" customHeight="1">
      <c r="B34" s="154" t="inlineStr">
        <is>
          <t>Kenya</t>
        </is>
      </c>
      <c r="C34" s="155" t="n">
        <v>2</v>
      </c>
      <c r="D34" s="155" t="inlineStr">
        <is>
          <t>—</t>
        </is>
      </c>
      <c r="E34" s="155" t="inlineStr">
        <is>
          <t>—</t>
        </is>
      </c>
      <c r="F34" s="155" t="inlineStr">
        <is>
          <t>—</t>
        </is>
      </c>
      <c r="G34" s="155" t="inlineStr">
        <is>
          <t>—</t>
        </is>
      </c>
      <c r="H34" s="154" t="inlineStr">
        <is>
          <t>China</t>
        </is>
      </c>
      <c r="I34" s="155" t="inlineStr">
        <is>
          <t>$9.50</t>
        </is>
      </c>
      <c r="J34" s="155" t="n">
        <v>1</v>
      </c>
      <c r="K34" s="155" t="inlineStr">
        <is>
          <t>-$1.27</t>
        </is>
      </c>
    </row>
    <row r="35" ht="15" customHeight="1">
      <c r="B35" s="139" t="inlineStr">
        <is>
          <t>India</t>
        </is>
      </c>
      <c r="C35" s="140" t="inlineStr">
        <is>
          <t>—</t>
        </is>
      </c>
      <c r="D35" s="140" t="inlineStr">
        <is>
          <t>—</t>
        </is>
      </c>
      <c r="E35" s="140" t="inlineStr">
        <is>
          <t>—</t>
        </is>
      </c>
      <c r="F35" s="140" t="n">
        <v>1</v>
      </c>
      <c r="G35" s="140" t="inlineStr">
        <is>
          <t>—</t>
        </is>
      </c>
      <c r="H35" s="154" t="inlineStr">
        <is>
          <t>Myanmar</t>
        </is>
      </c>
      <c r="I35" s="155" t="inlineStr">
        <is>
          <t>$6.00</t>
        </is>
      </c>
      <c r="J35" s="155" t="n">
        <v>1</v>
      </c>
      <c r="K35" s="155" t="inlineStr">
        <is>
          <t>-$4.77</t>
        </is>
      </c>
    </row>
    <row r="36" ht="15" customHeight="1">
      <c r="H36" s="154" t="inlineStr">
        <is>
          <t>Bolivia</t>
        </is>
      </c>
      <c r="I36" s="155" t="inlineStr">
        <is>
          <t>$10.00</t>
        </is>
      </c>
      <c r="J36" s="155" t="n">
        <v>1</v>
      </c>
      <c r="K36" s="155" t="inlineStr">
        <is>
          <t>-$0.77</t>
        </is>
      </c>
    </row>
    <row r="200">
      <c r="B200" t="inlineStr">
        <is>
          <t>Origin</t>
        </is>
      </c>
      <c r="C200" t="inlineStr">
        <is>
          <t>Entries</t>
        </is>
      </c>
    </row>
    <row r="201">
      <c r="B201" t="inlineStr">
        <is>
          <t>Colombia</t>
        </is>
      </c>
      <c r="C201" t="n">
        <v>16</v>
      </c>
    </row>
    <row r="202">
      <c r="B202" t="inlineStr">
        <is>
          <t>Ethiopia</t>
        </is>
      </c>
      <c r="C202" t="n">
        <v>7</v>
      </c>
    </row>
    <row r="203">
      <c r="B203" t="inlineStr">
        <is>
          <t>Brazil</t>
        </is>
      </c>
      <c r="C203" t="n">
        <v>5</v>
      </c>
    </row>
    <row r="204">
      <c r="B204" t="inlineStr">
        <is>
          <t>Indonesia</t>
        </is>
      </c>
      <c r="C204" t="n">
        <v>4</v>
      </c>
    </row>
    <row r="205">
      <c r="B205" t="inlineStr">
        <is>
          <t>Honduras</t>
        </is>
      </c>
      <c r="C205" t="n">
        <v>3</v>
      </c>
    </row>
    <row r="206">
      <c r="B206" t="inlineStr">
        <is>
          <t>Kenya</t>
        </is>
      </c>
      <c r="C206" t="n">
        <v>2</v>
      </c>
    </row>
    <row r="207">
      <c r="B207" t="inlineStr">
        <is>
          <t>India</t>
        </is>
      </c>
      <c r="C207" t="n">
        <v>2</v>
      </c>
    </row>
    <row r="208">
      <c r="B208" t="inlineStr">
        <is>
          <t>Nicaragua</t>
        </is>
      </c>
      <c r="C208" t="n">
        <v>2</v>
      </c>
    </row>
    <row r="209">
      <c r="B209" t="inlineStr">
        <is>
          <t>Peru</t>
        </is>
      </c>
      <c r="C209" t="n">
        <v>2</v>
      </c>
    </row>
    <row r="210">
      <c r="B210" t="inlineStr">
        <is>
          <t>El Salvador</t>
        </is>
      </c>
      <c r="C210" t="n">
        <v>1</v>
      </c>
    </row>
  </sheetData>
  <mergeCells count="16">
    <mergeCell ref="B4:L4"/>
    <mergeCell ref="H21:M21"/>
    <mergeCell ref="H16:M16"/>
    <mergeCell ref="H15:M15"/>
    <mergeCell ref="B7:F7"/>
    <mergeCell ref="H10:M10"/>
    <mergeCell ref="H19:M19"/>
    <mergeCell ref="H18:M18"/>
    <mergeCell ref="B2:L2"/>
    <mergeCell ref="B5:L5"/>
    <mergeCell ref="H9:M9"/>
    <mergeCell ref="H13:M13"/>
    <mergeCell ref="H8:M8"/>
    <mergeCell ref="H12:M12"/>
    <mergeCell ref="B27:F27"/>
    <mergeCell ref="B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B4513"/>
    <outlinePr summaryBelow="1" summaryRight="1"/>
    <pageSetUpPr/>
  </sheetPr>
  <dimension ref="B1:L28"/>
  <sheetViews>
    <sheetView showGridLines="0" workbookViewId="0">
      <selection activeCell="A1" sqref="A1"/>
    </sheetView>
  </sheetViews>
  <sheetFormatPr baseColWidth="8" defaultRowHeight="15"/>
  <cols>
    <col width="2" customWidth="1" min="1" max="1"/>
    <col width="22" customWidth="1" min="2" max="2"/>
    <col width="10" customWidth="1" min="3" max="3"/>
    <col width="8" customWidth="1" min="4" max="4"/>
    <col width="14" customWidth="1" min="5" max="5"/>
    <col width="34" customWidth="1" min="6" max="6"/>
    <col width="2" customWidth="1" min="7" max="7"/>
    <col width="22" customWidth="1" min="8" max="8"/>
    <col width="12" customWidth="1" min="9" max="9"/>
    <col width="12" customWidth="1" min="10" max="10"/>
    <col width="14" customWidth="1" min="11" max="11"/>
    <col width="2" customWidth="1" min="12" max="12"/>
  </cols>
  <sheetData>
    <row r="1" ht="38" customHeight="1">
      <c r="B1" s="116" t="inlineStr">
        <is>
          <t>⚙️  HARDWARE &amp; EXTRACTION PHYSICS</t>
        </is>
      </c>
    </row>
    <row r="2" ht="16" customHeight="1">
      <c r="B2" s="117" t="inlineStr">
        <is>
          <t>Grinder burr geometry · Brewer architecture · Temperature protocols · The physics behind the cup</t>
        </is>
      </c>
    </row>
    <row r="3" ht="8" customHeight="1"/>
    <row r="4" ht="22" customHeight="1">
      <c r="B4" s="151" t="inlineStr">
        <is>
          <t>📖  THE HARDWARE THESIS</t>
        </is>
      </c>
      <c r="C4" s="193" t="n"/>
      <c r="D4" s="193" t="n"/>
      <c r="E4" s="193" t="n"/>
      <c r="F4" s="193" t="n"/>
      <c r="G4" s="193" t="n"/>
      <c r="H4" s="193" t="n"/>
      <c r="I4" s="193" t="n"/>
      <c r="J4" s="193" t="n"/>
      <c r="K4" s="194" t="n"/>
    </row>
    <row r="5" ht="40" customHeight="1">
      <c r="B5" s="134" t="inlineStr">
        <is>
          <t>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is>
      </c>
      <c r="C5" s="189" t="n"/>
      <c r="D5" s="189" t="n"/>
      <c r="E5" s="189" t="n"/>
      <c r="F5" s="189" t="n"/>
      <c r="G5" s="189" t="n"/>
      <c r="H5" s="189" t="n"/>
      <c r="I5" s="189" t="n"/>
      <c r="J5" s="189" t="n"/>
      <c r="K5" s="190" t="n"/>
    </row>
    <row r="6" ht="6" customHeight="1"/>
    <row r="7" ht="22" customHeight="1">
      <c r="B7" s="132" t="inlineStr">
        <is>
          <t>⚙️  GRINDER PLATFORM — BURR SIZE INTELLIGENCE</t>
        </is>
      </c>
      <c r="C7" s="187" t="n"/>
      <c r="D7" s="187" t="n"/>
      <c r="E7" s="187" t="n"/>
      <c r="F7" s="188" t="n"/>
    </row>
    <row r="8" ht="22" customHeight="1">
      <c r="B8" s="134" t="inlineStr">
        <is>
          <t>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is>
      </c>
      <c r="C8" s="189" t="n"/>
      <c r="D8" s="189" t="n"/>
      <c r="E8" s="189" t="n"/>
      <c r="F8" s="190" t="n"/>
      <c r="H8" s="151" t="inlineStr">
        <is>
          <t>📋  EXTRACTION CASE STUDIES — Archive Standouts</t>
        </is>
      </c>
      <c r="I8" s="193" t="n"/>
      <c r="J8" s="193" t="n"/>
      <c r="K8" s="193" t="n"/>
      <c r="L8" s="194" t="n"/>
    </row>
    <row r="9" ht="22" customHeight="1">
      <c r="B9" s="136" t="inlineStr">
        <is>
          <t>Grinder</t>
        </is>
      </c>
      <c r="C9" s="136" t="inlineStr">
        <is>
          <t>Brand</t>
        </is>
      </c>
      <c r="D9" s="136" t="inlineStr">
        <is>
          <t>n</t>
        </is>
      </c>
      <c r="E9" s="136" t="inlineStr">
        <is>
          <t>Archive Role</t>
        </is>
      </c>
      <c r="F9" s="136" t="inlineStr">
        <is>
          <t>Tier</t>
        </is>
      </c>
      <c r="H9" s="132" t="inlineStr">
        <is>
          <t xml:space="preserve">  🏆 Cup of the Year — El Obraje — Fluid Collective · 16 May 2026</t>
        </is>
      </c>
      <c r="I9" s="187" t="n"/>
      <c r="J9" s="187" t="n"/>
      <c r="K9" s="187" t="n"/>
      <c r="L9" s="188" t="n"/>
    </row>
    <row r="10" ht="40" customHeight="1">
      <c r="B10" s="156" t="inlineStr">
        <is>
          <t>Lagom P64 (64mm Flat)</t>
        </is>
      </c>
      <c r="C10" s="154" t="inlineStr">
        <is>
          <t>Option-O</t>
        </is>
      </c>
      <c r="D10" s="155" t="inlineStr">
        <is>
          <t>7</t>
        </is>
      </c>
      <c r="E10" s="154" t="inlineStr">
        <is>
          <t>Precision single-dose. Best cup correlation in archive. Fluid Collective signature grinder.</t>
        </is>
      </c>
      <c r="F10" s="157" t="inlineStr">
        <is>
          <t>TIER 1 ⭐</t>
        </is>
      </c>
      <c r="H10" s="163" t="inlineStr">
        <is>
          <t>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is>
      </c>
      <c r="I10" s="189" t="n"/>
      <c r="J10" s="189" t="n"/>
      <c r="K10" s="189" t="n"/>
      <c r="L10" s="190" t="n"/>
    </row>
    <row r="11" ht="4" customHeight="1">
      <c r="B11" s="156" t="inlineStr">
        <is>
          <t>EK43 Mini (64mm Flat)</t>
        </is>
      </c>
      <c r="C11" s="154" t="inlineStr">
        <is>
          <t>Mahlkönig</t>
        </is>
      </c>
      <c r="D11" s="155" t="inlineStr">
        <is>
          <t>1</t>
        </is>
      </c>
      <c r="E11" s="154" t="inlineStr">
        <is>
          <t>Compact precision flat burr — 64mm. Single-dose optimised. Pinhole Coffee Bar.</t>
        </is>
      </c>
      <c r="F11" s="157" t="inlineStr">
        <is>
          <t>TIER 1</t>
        </is>
      </c>
    </row>
    <row r="12" ht="22" customHeight="1">
      <c r="B12" s="156" t="inlineStr">
        <is>
          <t>Timemore Sculptor ~64mm</t>
        </is>
      </c>
      <c r="C12" s="154" t="inlineStr">
        <is>
          <t>Timemore</t>
        </is>
      </c>
      <c r="D12" s="155" t="inlineStr">
        <is>
          <t>2</t>
        </is>
      </c>
      <c r="E12" s="154" t="inlineStr">
        <is>
          <t>Flat burr precision, SSP-adjacent particle curve.</t>
        </is>
      </c>
      <c r="F12" s="157" t="inlineStr">
        <is>
          <t>TIER 1</t>
        </is>
      </c>
      <c r="H12" s="132" t="inlineStr">
        <is>
          <t xml:space="preserve">  ⚠️ Hardware Miss #1 — Rwanda Nkara — Kurasu · 2026</t>
        </is>
      </c>
      <c r="I12" s="187" t="n"/>
      <c r="J12" s="187" t="n"/>
      <c r="K12" s="187" t="n"/>
      <c r="L12" s="188" t="n"/>
    </row>
    <row r="13" ht="40" customHeight="1">
      <c r="B13" s="156" t="inlineStr">
        <is>
          <t>DF83 (83mm Flat)</t>
        </is>
      </c>
      <c r="C13" s="154" t="inlineStr">
        <is>
          <t>DF</t>
        </is>
      </c>
      <c r="D13" s="155" t="inlineStr">
        <is>
          <t>3</t>
        </is>
      </c>
      <c r="E13" s="154" t="inlineStr">
        <is>
          <t>83mm flat steel — high clarity, strong body. Cowpresso.</t>
        </is>
      </c>
      <c r="F13" s="157" t="inlineStr">
        <is>
          <t>TIER 1</t>
        </is>
      </c>
      <c r="H13" s="166" t="inlineStr">
        <is>
          <t>V60 Conical + wide-fines grinder. Over-extraction fingerprint confirmed: astringency in finish, citric acid clipped, terroir unrealised. Rwanda SL28/SL34 at altitude deserved flat-bottom treatment. Hardware execution miss — bean likely excellent.</t>
        </is>
      </c>
      <c r="I13" s="189" t="n"/>
      <c r="J13" s="189" t="n"/>
      <c r="K13" s="189" t="n"/>
      <c r="L13" s="190" t="n"/>
    </row>
    <row r="14" ht="4" customHeight="1">
      <c r="B14" s="143" t="inlineStr">
        <is>
          <t>EK43S (98mm Flat)</t>
        </is>
      </c>
      <c r="C14" s="143" t="inlineStr">
        <is>
          <t>Mahlkönig</t>
        </is>
      </c>
      <c r="D14" s="144" t="inlineStr">
        <is>
          <t>3</t>
        </is>
      </c>
      <c r="E14" s="143" t="inlineStr">
        <is>
          <t>SSP burr upgrade on 98mm — precision commercial.</t>
        </is>
      </c>
      <c r="F14" s="144" t="inlineStr">
        <is>
          <t>TIER 2</t>
        </is>
      </c>
    </row>
    <row r="15" ht="22" customHeight="1">
      <c r="B15" s="143" t="inlineStr">
        <is>
          <t>EK43 (98mm Flat)</t>
        </is>
      </c>
      <c r="C15" s="143" t="inlineStr">
        <is>
          <t>Mahlkönig</t>
        </is>
      </c>
      <c r="D15" s="144" t="inlineStr">
        <is>
          <t>7</t>
        </is>
      </c>
      <c r="E15" s="143" t="inlineStr">
        <is>
          <t>Stock 98mm — elevated fines. Commercial throughput design.</t>
        </is>
      </c>
      <c r="F15" s="144" t="inlineStr">
        <is>
          <t>TIER 2</t>
        </is>
      </c>
      <c r="H15" s="132" t="inlineStr">
        <is>
          <t xml:space="preserve">  ⚠️ Hardware Miss #2 — Suke Quto — PPP Coffee · 2026</t>
        </is>
      </c>
      <c r="I15" s="187" t="n"/>
      <c r="J15" s="187" t="n"/>
      <c r="K15" s="187" t="n"/>
      <c r="L15" s="188" t="n"/>
    </row>
    <row r="16" ht="40" customHeight="1">
      <c r="B16" s="143" t="inlineStr">
        <is>
          <t>EK Omnia (98mm Flat)</t>
        </is>
      </c>
      <c r="C16" s="143" t="inlineStr">
        <is>
          <t>Mahlkönig</t>
        </is>
      </c>
      <c r="D16" s="144" t="inlineStr">
        <is>
          <t>3</t>
        </is>
      </c>
      <c r="E16" s="143" t="inlineStr">
        <is>
          <t>98mm flat — consistent commercial performer.</t>
        </is>
      </c>
      <c r="F16" s="144" t="inlineStr">
        <is>
          <t>TIER 2</t>
        </is>
      </c>
      <c r="H16" s="166" t="inlineStr">
        <is>
          <t>V60 conical + insufficient dose. Same over-extraction signal as Rwanda Nkara. Ethiopian heirloom in a conical with fines compaction — linalool aromatics clipped before cool-phase delivery.</t>
        </is>
      </c>
      <c r="I16" s="189" t="n"/>
      <c r="J16" s="189" t="n"/>
      <c r="K16" s="189" t="n"/>
      <c r="L16" s="190" t="n"/>
    </row>
    <row r="17" ht="4" customHeight="1">
      <c r="B17" s="143" t="inlineStr">
        <is>
          <t>Ditting (98mm Flat)</t>
        </is>
      </c>
      <c r="C17" s="143" t="inlineStr">
        <is>
          <t>Ditting</t>
        </is>
      </c>
      <c r="D17" s="144" t="inlineStr">
        <is>
          <t>2</t>
        </is>
      </c>
      <c r="E17" s="143" t="inlineStr">
        <is>
          <t>Swiss commercial flat burr. High consistency.</t>
        </is>
      </c>
      <c r="F17" s="144" t="inlineStr">
        <is>
          <t>TIER 2</t>
        </is>
      </c>
    </row>
    <row r="18" ht="22" customHeight="1">
      <c r="B18" s="149" t="inlineStr">
        <is>
          <t>Custom 120mm Flat</t>
        </is>
      </c>
      <c r="C18" s="149" t="inlineStr">
        <is>
          <t>Various</t>
        </is>
      </c>
      <c r="D18" s="150" t="inlineStr">
        <is>
          <t>2</t>
        </is>
      </c>
      <c r="E18" s="149" t="inlineStr">
        <is>
          <t>Large-format flat — maximum clarity at volume.</t>
        </is>
      </c>
      <c r="F18" s="150" t="inlineStr">
        <is>
          <t>TIER 2</t>
        </is>
      </c>
      <c r="H18" s="132" t="inlineStr">
        <is>
          <t xml:space="preserve">  🧪 Fluid Thermal Protocol — Explained — 70°C → 90°C → 70°C — Why it works</t>
        </is>
      </c>
      <c r="I18" s="187" t="n"/>
      <c r="J18" s="187" t="n"/>
      <c r="K18" s="187" t="n"/>
      <c r="L18" s="188" t="n"/>
    </row>
    <row r="19" ht="40" customHeight="1">
      <c r="H19" s="165" t="inlineStr">
        <is>
          <t>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is>
      </c>
      <c r="I19" s="189" t="n"/>
      <c r="J19" s="189" t="n"/>
      <c r="K19" s="189" t="n"/>
      <c r="L19" s="190" t="n"/>
    </row>
    <row r="20" ht="4" customHeight="1">
      <c r="B20" s="132" t="inlineStr">
        <is>
          <t>📐  BREWER GEOMETRY — THE CONICAL VS FLAT-BOTTOM VERDICT</t>
        </is>
      </c>
      <c r="C20" s="187" t="n"/>
      <c r="D20" s="187" t="n"/>
      <c r="E20" s="187" t="n"/>
      <c r="F20" s="188" t="n"/>
    </row>
    <row r="21" ht="22" customHeight="1">
      <c r="B21" s="134" t="inlineStr">
        <is>
          <t>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is>
      </c>
      <c r="C21" s="189" t="n"/>
      <c r="D21" s="189" t="n"/>
      <c r="E21" s="189" t="n"/>
      <c r="F21" s="190" t="n"/>
      <c r="H21" s="132" t="inlineStr">
        <is>
          <t xml:space="preserve">  🔬 The Pinhole EK43 Mini Finding — Santa Barbara #1 — Pinhole · 7 Jul 2026</t>
        </is>
      </c>
      <c r="I21" s="187" t="n"/>
      <c r="J21" s="187" t="n"/>
      <c r="K21" s="187" t="n"/>
      <c r="L21" s="188" t="n"/>
    </row>
    <row r="22" ht="40" customHeight="1">
      <c r="B22" s="136" t="inlineStr">
        <is>
          <t>Geometry</t>
        </is>
      </c>
      <c r="C22" s="136" t="inlineStr">
        <is>
          <t>Count</t>
        </is>
      </c>
      <c r="D22" s="136" t="inlineStr">
        <is>
          <t>%</t>
        </is>
      </c>
      <c r="E22" s="136" t="inlineStr">
        <is>
          <t>Signal</t>
        </is>
      </c>
      <c r="F22" s="136" t="inlineStr">
        <is>
          <t>Physics Note</t>
        </is>
      </c>
      <c r="H22" s="133" t="inlineStr">
        <is>
          <t>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is>
      </c>
      <c r="I22" s="189" t="n"/>
      <c r="J22" s="189" t="n"/>
      <c r="K22" s="189" t="n"/>
      <c r="L22" s="190" t="n"/>
    </row>
    <row r="23" ht="4" customHeight="1">
      <c r="B23" s="156" t="inlineStr">
        <is>
          <t>Flat-Bottom</t>
        </is>
      </c>
      <c r="C23" s="155" t="inlineStr">
        <is>
          <t>21 entries</t>
        </is>
      </c>
      <c r="D23" s="155" t="inlineStr">
        <is>
          <t>44% of cups</t>
        </is>
      </c>
      <c r="E23" s="157" t="inlineStr">
        <is>
          <t>✅ PREFERRED</t>
        </is>
      </c>
      <c r="F23" s="154" t="inlineStr">
        <is>
          <t>Even puck distribution · uniform extraction · full aromatic expression</t>
        </is>
      </c>
    </row>
    <row r="24" ht="15" customHeight="1">
      <c r="B24" s="156" t="inlineStr">
        <is>
          <t>Flat-Bottom (Immersion)</t>
        </is>
      </c>
      <c r="C24" s="155" t="inlineStr">
        <is>
          <t>3 entries</t>
        </is>
      </c>
      <c r="D24" s="155" t="inlineStr">
        <is>
          <t>6%</t>
        </is>
      </c>
      <c r="E24" s="157" t="inlineStr">
        <is>
          <t>✅ PREFERRED</t>
        </is>
      </c>
      <c r="F24" s="154" t="inlineStr">
        <is>
          <t>Hario Switch hybrid — immersion + percolation. Best of both.</t>
        </is>
      </c>
    </row>
    <row r="25" ht="15" customHeight="1">
      <c r="B25" s="152" t="inlineStr">
        <is>
          <t>Conical (V60)</t>
        </is>
      </c>
      <c r="C25" s="153" t="inlineStr">
        <is>
          <t>12 entries</t>
        </is>
      </c>
      <c r="D25" s="153" t="inlineStr">
        <is>
          <t>25%</t>
        </is>
      </c>
      <c r="E25" s="170" t="inlineStr">
        <is>
          <t>⚠️ RISK FLAG</t>
        </is>
      </c>
      <c r="F25" s="152" t="inlineStr">
        <is>
          <t>Single-apex drain · fines compaction · late-brew over-extraction risk</t>
        </is>
      </c>
    </row>
    <row r="26" ht="15" customHeight="1">
      <c r="B26" s="143" t="inlineStr">
        <is>
          <t>Batch Filter</t>
        </is>
      </c>
      <c r="C26" s="144" t="inlineStr">
        <is>
          <t>5 entries</t>
        </is>
      </c>
      <c r="D26" s="144" t="inlineStr">
        <is>
          <t>10%</t>
        </is>
      </c>
      <c r="E26" s="144" t="inlineStr">
        <is>
          <t>◼ BASELINE</t>
        </is>
      </c>
      <c r="F26" s="143" t="inlineStr">
        <is>
          <t>Automated batch — clean but removes human read-and-respond dynamic</t>
        </is>
      </c>
    </row>
    <row r="27" ht="15" customHeight="1">
      <c r="B27" s="143" t="inlineStr">
        <is>
          <t>Espresso</t>
        </is>
      </c>
      <c r="C27" s="144" t="inlineStr">
        <is>
          <t>2 entries</t>
        </is>
      </c>
      <c r="D27" s="144" t="inlineStr">
        <is>
          <t>4%</t>
        </is>
      </c>
      <c r="E27" s="144" t="inlineStr">
        <is>
          <t>◼ DIFFERENT</t>
        </is>
      </c>
      <c r="F27" s="143" t="inlineStr">
        <is>
          <t>Pressure extraction — different physics domain</t>
        </is>
      </c>
    </row>
    <row r="28" ht="15" customHeight="1">
      <c r="B28" s="139" t="inlineStr">
        <is>
          <t>Other/Unknown</t>
        </is>
      </c>
      <c r="C28" s="140" t="inlineStr">
        <is>
          <t>11 entries</t>
        </is>
      </c>
      <c r="D28" s="140" t="inlineStr">
        <is>
          <t>23%</t>
        </is>
      </c>
      <c r="E28" s="140" t="inlineStr">
        <is>
          <t>— UNLOGGED</t>
        </is>
      </c>
      <c r="F28" s="139" t="inlineStr">
        <is>
          <t>Parameters not observed or batch format</t>
        </is>
      </c>
    </row>
  </sheetData>
  <mergeCells count="19">
    <mergeCell ref="B7:F7"/>
    <mergeCell ref="H10:L10"/>
    <mergeCell ref="B5:K5"/>
    <mergeCell ref="B21:F21"/>
    <mergeCell ref="H9:L9"/>
    <mergeCell ref="B4:K4"/>
    <mergeCell ref="H21:L21"/>
    <mergeCell ref="B8:F8"/>
    <mergeCell ref="H16:L16"/>
    <mergeCell ref="B2:K2"/>
    <mergeCell ref="H13:L13"/>
    <mergeCell ref="H19:L19"/>
    <mergeCell ref="H22:L22"/>
    <mergeCell ref="B1:K1"/>
    <mergeCell ref="H12:L12"/>
    <mergeCell ref="B20:F20"/>
    <mergeCell ref="H15:L15"/>
    <mergeCell ref="H18:L18"/>
    <mergeCell ref="H8:L8"/>
  </mergeCells>
  <pageMargins left="0.75" right="0.75" top="1" bottom="1" header="0.5" footer="0.5"/>
</worksheet>
</file>

<file path=xl/worksheets/sheet6.xml><?xml version="1.0" encoding="utf-8"?>
<worksheet xmlns="http://schemas.openxmlformats.org/spreadsheetml/2006/main">
  <sheetPr>
    <tabColor rgb="00D4A017"/>
    <outlinePr summaryBelow="1" summaryRight="1"/>
    <pageSetUpPr/>
  </sheetPr>
  <dimension ref="B1:M208"/>
  <sheetViews>
    <sheetView showGridLines="0" workbookViewId="0">
      <selection activeCell="A1" sqref="A1"/>
    </sheetView>
  </sheetViews>
  <sheetFormatPr baseColWidth="8" defaultRowHeight="15"/>
  <cols>
    <col width="2" customWidth="1" min="1" max="1"/>
    <col width="20" customWidth="1" min="2" max="2"/>
    <col width="10" customWidth="1" min="3" max="3"/>
    <col width="10" customWidth="1" min="4" max="4"/>
    <col width="10" customWidth="1" min="5" max="5"/>
    <col width="6" customWidth="1" min="6" max="6"/>
    <col width="8" customWidth="1" min="7" max="7"/>
    <col width="22" customWidth="1" min="8" max="8"/>
    <col width="10" customWidth="1" min="9" max="9"/>
    <col width="6" customWidth="1" min="10" max="10"/>
    <col width="12" customWidth="1" min="11" max="11"/>
    <col width="14" customWidth="1" min="12" max="12"/>
    <col width="2" customWidth="1" min="13" max="13"/>
  </cols>
  <sheetData>
    <row r="1" ht="38" customHeight="1">
      <c r="B1" s="116" t="inlineStr">
        <is>
          <t>💰  PRICE &amp; VALUE INTELLIGENCE</t>
        </is>
      </c>
    </row>
    <row r="2" ht="16" customHeight="1">
      <c r="B2" s="117" t="inlineStr">
        <is>
          <t>SGD 9.67 average non-Gesha · SGD 13.94 Gesha average · +44% apex varietal premium</t>
        </is>
      </c>
    </row>
    <row r="3" ht="8" customHeight="1"/>
    <row r="4" ht="22" customHeight="1">
      <c r="B4" s="151" t="inlineStr">
        <is>
          <t>📖  THE VALUE THESIS</t>
        </is>
      </c>
      <c r="C4" s="193" t="n"/>
      <c r="D4" s="193" t="n"/>
      <c r="E4" s="193" t="n"/>
      <c r="F4" s="193" t="n"/>
      <c r="G4" s="193" t="n"/>
      <c r="H4" s="193" t="n"/>
      <c r="I4" s="193" t="n"/>
      <c r="J4" s="193" t="n"/>
      <c r="K4" s="193" t="n"/>
      <c r="L4" s="194" t="n"/>
    </row>
    <row r="5" ht="40" customHeight="1">
      <c r="B5" s="134" t="inlineStr">
        <is>
          <t>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is>
      </c>
      <c r="C5" s="189" t="n"/>
      <c r="D5" s="189" t="n"/>
      <c r="E5" s="189" t="n"/>
      <c r="F5" s="189" t="n"/>
      <c r="G5" s="189" t="n"/>
      <c r="H5" s="189" t="n"/>
      <c r="I5" s="189" t="n"/>
      <c r="J5" s="189" t="n"/>
      <c r="K5" s="189" t="n"/>
      <c r="L5" s="190" t="n"/>
    </row>
    <row r="6" ht="6" customHeight="1"/>
    <row r="7" ht="22" customHeight="1">
      <c r="B7" s="122" t="inlineStr">
        <is>
          <t>SGD
10.77</t>
        </is>
      </c>
      <c r="C7" s="120" t="inlineStr">
        <is>
          <t>SGD
13.94</t>
        </is>
      </c>
      <c r="D7" s="171" t="inlineStr">
        <is>
          <t>SGD
9.67</t>
        </is>
      </c>
      <c r="E7" s="172" t="inlineStr">
        <is>
          <t>+44%</t>
        </is>
      </c>
      <c r="F7" s="173" t="inlineStr">
        <is>
          <t>39</t>
        </is>
      </c>
      <c r="G7" s="124" t="inlineStr">
        <is>
          <t>SGD 19</t>
        </is>
      </c>
      <c r="H7" s="174" t="inlineStr">
        <is>
          <t>SGD 7.50</t>
        </is>
      </c>
    </row>
    <row r="8" ht="22" customHeight="1">
      <c r="B8" s="127" t="inlineStr">
        <is>
          <t>ARCHIVE
AVERAGE</t>
        </is>
      </c>
      <c r="C8" s="127" t="inlineStr">
        <is>
          <t>GESHA
AVERAGE</t>
        </is>
      </c>
      <c r="D8" s="127" t="inlineStr">
        <is>
          <t>NON-GESHA
AVG</t>
        </is>
      </c>
      <c r="E8" s="127" t="inlineStr">
        <is>
          <t>GESHA
PREMIUM</t>
        </is>
      </c>
      <c r="F8" s="127" t="inlineStr">
        <is>
          <t>PRICED
ENTRIES</t>
        </is>
      </c>
      <c r="G8" s="127" t="inlineStr">
        <is>
          <t>MAX PAID</t>
        </is>
      </c>
      <c r="H8" s="145" t="inlineStr">
        <is>
          <t>🌍  PRICE BY ORIGIN — Ranked</t>
        </is>
      </c>
      <c r="I8" s="191" t="n"/>
      <c r="J8" s="191" t="n"/>
      <c r="K8" s="191" t="n"/>
      <c r="L8" s="191" t="n"/>
      <c r="M8" s="192" t="n"/>
    </row>
    <row r="9" ht="16" customHeight="1">
      <c r="H9" s="146" t="inlineStr">
        <is>
          <t>Origin</t>
        </is>
      </c>
      <c r="I9" s="146" t="inlineStr">
        <is>
          <t>Avg SGD</t>
        </is>
      </c>
      <c r="J9" s="146" t="inlineStr">
        <is>
          <t>n</t>
        </is>
      </c>
      <c r="K9" s="146" t="inlineStr">
        <is>
          <t>vs Avg</t>
        </is>
      </c>
    </row>
    <row r="10" ht="15" customHeight="1">
      <c r="H10" s="149" t="inlineStr">
        <is>
          <t>Ecuador</t>
        </is>
      </c>
      <c r="I10" s="150" t="inlineStr">
        <is>
          <t>$18.00</t>
        </is>
      </c>
      <c r="J10" s="150" t="n">
        <v>1</v>
      </c>
      <c r="K10" s="150" t="inlineStr">
        <is>
          <t>+$7.23</t>
        </is>
      </c>
    </row>
    <row r="11" ht="15" customHeight="1">
      <c r="B11" s="132" t="inlineStr">
        <is>
          <t>🏆  PREMIUM CUP LEADERBOARD — Top 12</t>
        </is>
      </c>
      <c r="C11" s="187" t="n"/>
      <c r="D11" s="187" t="n"/>
      <c r="E11" s="187" t="n"/>
      <c r="F11" s="188" t="n"/>
      <c r="H11" s="149" t="inlineStr">
        <is>
          <t>Malaysia</t>
        </is>
      </c>
      <c r="I11" s="150" t="inlineStr">
        <is>
          <t>$13.00</t>
        </is>
      </c>
      <c r="J11" s="150" t="n">
        <v>1</v>
      </c>
      <c r="K11" s="150" t="inlineStr">
        <is>
          <t>+$2.23</t>
        </is>
      </c>
    </row>
    <row r="12" ht="15" customHeight="1">
      <c r="B12" s="136" t="inlineStr">
        <is>
          <t>Café</t>
        </is>
      </c>
      <c r="C12" s="136" t="inlineStr">
        <is>
          <t>Coffee</t>
        </is>
      </c>
      <c r="D12" s="136" t="inlineStr">
        <is>
          <t>SGD</t>
        </is>
      </c>
      <c r="E12" s="136" t="inlineStr">
        <is>
          <t>Origin</t>
        </is>
      </c>
      <c r="F12" s="136" t="inlineStr">
        <is>
          <t>Process</t>
        </is>
      </c>
      <c r="G12" s="136" t="inlineStr">
        <is>
          <t>Gesha?</t>
        </is>
      </c>
      <c r="H12" s="149" t="inlineStr">
        <is>
          <t>Colombia</t>
        </is>
      </c>
      <c r="I12" s="150" t="inlineStr">
        <is>
          <t>$12.03</t>
        </is>
      </c>
      <c r="J12" s="150" t="n">
        <v>14</v>
      </c>
      <c r="K12" s="150" t="inlineStr">
        <is>
          <t>+$1.26</t>
        </is>
      </c>
    </row>
    <row r="13" ht="15" customHeight="1">
      <c r="B13" s="158" t="inlineStr">
        <is>
          <t>Homeground Coffee Ro</t>
        </is>
      </c>
      <c r="C13" s="158" t="inlineStr">
        <is>
          <t>Colombia Inmaculada Gesh</t>
        </is>
      </c>
      <c r="D13" s="159" t="inlineStr">
        <is>
          <t>$19.00</t>
        </is>
      </c>
      <c r="E13" s="158" t="inlineStr">
        <is>
          <t>Colombia</t>
        </is>
      </c>
      <c r="F13" s="158" t="inlineStr">
        <is>
          <t>Natural</t>
        </is>
      </c>
      <c r="G13" s="159" t="inlineStr">
        <is>
          <t>⭐</t>
        </is>
      </c>
      <c r="H13" s="149" t="inlineStr">
        <is>
          <t>Boquerón</t>
        </is>
      </c>
      <c r="I13" s="150" t="inlineStr">
        <is>
          <t>$12.00</t>
        </is>
      </c>
      <c r="J13" s="150" t="n">
        <v>1</v>
      </c>
      <c r="K13" s="150" t="inlineStr">
        <is>
          <t>+$1.23</t>
        </is>
      </c>
    </row>
    <row r="14" ht="15" customHeight="1">
      <c r="B14" s="158" t="inlineStr">
        <is>
          <t>Pocket by Flip (Flip</t>
        </is>
      </c>
      <c r="C14" s="158" t="inlineStr">
        <is>
          <t>Ecuador La Papaya</t>
        </is>
      </c>
      <c r="D14" s="159" t="inlineStr">
        <is>
          <t>$18.00</t>
        </is>
      </c>
      <c r="E14" s="158" t="inlineStr">
        <is>
          <t>Ecuador</t>
        </is>
      </c>
      <c r="F14" s="158" t="inlineStr">
        <is>
          <t>Washed</t>
        </is>
      </c>
      <c r="G14" s="159" t="inlineStr">
        <is>
          <t>⭐</t>
        </is>
      </c>
      <c r="H14" s="149" t="inlineStr">
        <is>
          <t>Honduras</t>
        </is>
      </c>
      <c r="I14" s="150" t="inlineStr">
        <is>
          <t>$12.00</t>
        </is>
      </c>
      <c r="J14" s="150" t="n">
        <v>2</v>
      </c>
      <c r="K14" s="150" t="inlineStr">
        <is>
          <t>+$1.23</t>
        </is>
      </c>
    </row>
    <row r="15" ht="15" customHeight="1">
      <c r="B15" s="139" t="inlineStr">
        <is>
          <t>ASK Coffee Roastery</t>
        </is>
      </c>
      <c r="C15" s="139" t="inlineStr">
        <is>
          <t>Honduras Masaguara (S13)</t>
        </is>
      </c>
      <c r="D15" s="140" t="inlineStr">
        <is>
          <t>$15.00</t>
        </is>
      </c>
      <c r="E15" s="139" t="inlineStr">
        <is>
          <t>Honduras</t>
        </is>
      </c>
      <c r="F15" s="139" t="inlineStr">
        <is>
          <t>Experimental Ferment</t>
        </is>
      </c>
      <c r="G15" s="140" t="inlineStr"/>
      <c r="H15" s="139" t="inlineStr">
        <is>
          <t>Peru</t>
        </is>
      </c>
      <c r="I15" s="140" t="inlineStr">
        <is>
          <t>$11.75</t>
        </is>
      </c>
      <c r="J15" s="140" t="n">
        <v>2</v>
      </c>
      <c r="K15" s="140" t="inlineStr">
        <is>
          <t>+$0.98</t>
        </is>
      </c>
    </row>
    <row r="16" ht="15" customHeight="1">
      <c r="B16" s="158" t="inlineStr">
        <is>
          <t>Keryi Coffee</t>
        </is>
      </c>
      <c r="C16" s="158" t="inlineStr">
        <is>
          <t>Colombia Finca La Esmara</t>
        </is>
      </c>
      <c r="D16" s="159" t="inlineStr">
        <is>
          <t>$15.00</t>
        </is>
      </c>
      <c r="E16" s="158" t="inlineStr">
        <is>
          <t>Colombia</t>
        </is>
      </c>
      <c r="F16" s="158" t="inlineStr">
        <is>
          <t>Honey</t>
        </is>
      </c>
      <c r="G16" s="159" t="inlineStr">
        <is>
          <t>⭐</t>
        </is>
      </c>
      <c r="H16" s="139" t="inlineStr">
        <is>
          <t>Bolivia</t>
        </is>
      </c>
      <c r="I16" s="140" t="inlineStr">
        <is>
          <t>$10.00</t>
        </is>
      </c>
      <c r="J16" s="140" t="n">
        <v>1</v>
      </c>
      <c r="K16" s="140" t="inlineStr">
        <is>
          <t>-$0.77</t>
        </is>
      </c>
    </row>
    <row r="17" ht="15" customHeight="1">
      <c r="B17" s="158" t="inlineStr">
        <is>
          <t>Pinhole Coffee Bar</t>
        </is>
      </c>
      <c r="C17" s="158" t="inlineStr">
        <is>
          <t>Santa Barbara #1 — Gesha</t>
        </is>
      </c>
      <c r="D17" s="159" t="inlineStr">
        <is>
          <t>$15.00</t>
        </is>
      </c>
      <c r="E17" s="158" t="inlineStr">
        <is>
          <t>Colombia</t>
        </is>
      </c>
      <c r="F17" s="158" t="inlineStr">
        <is>
          <t>Honey</t>
        </is>
      </c>
      <c r="G17" s="159" t="inlineStr">
        <is>
          <t>⭐</t>
        </is>
      </c>
      <c r="H17" s="139" t="inlineStr">
        <is>
          <t>Ethiopia</t>
        </is>
      </c>
      <c r="I17" s="140" t="inlineStr">
        <is>
          <t>$9.92</t>
        </is>
      </c>
      <c r="J17" s="140" t="n">
        <v>6</v>
      </c>
      <c r="K17" s="140" t="inlineStr">
        <is>
          <t>-$0.85</t>
        </is>
      </c>
    </row>
    <row r="18" ht="15" customHeight="1">
      <c r="B18" s="158" t="inlineStr">
        <is>
          <t>FLUID</t>
        </is>
      </c>
      <c r="C18" s="158" t="inlineStr">
        <is>
          <t>El Obraje</t>
        </is>
      </c>
      <c r="D18" s="159" t="inlineStr">
        <is>
          <t>$14.00</t>
        </is>
      </c>
      <c r="E18" s="158" t="inlineStr">
        <is>
          <t>Colombia</t>
        </is>
      </c>
      <c r="F18" s="158" t="inlineStr">
        <is>
          <t>Washed</t>
        </is>
      </c>
      <c r="G18" s="159" t="inlineStr">
        <is>
          <t>⭐</t>
        </is>
      </c>
      <c r="H18" s="154" t="inlineStr">
        <is>
          <t>China</t>
        </is>
      </c>
      <c r="I18" s="155" t="inlineStr">
        <is>
          <t>$9.50</t>
        </is>
      </c>
      <c r="J18" s="155" t="n">
        <v>1</v>
      </c>
      <c r="K18" s="155" t="inlineStr">
        <is>
          <t>-$1.27</t>
        </is>
      </c>
    </row>
    <row r="19" ht="15" customHeight="1">
      <c r="B19" s="139" t="inlineStr">
        <is>
          <t>Asylum Coffeehouse</t>
        </is>
      </c>
      <c r="C19" s="139" t="inlineStr">
        <is>
          <t>Yellow Sudan Rume</t>
        </is>
      </c>
      <c r="D19" s="140" t="inlineStr">
        <is>
          <t>$14.00</t>
        </is>
      </c>
      <c r="E19" s="139" t="inlineStr">
        <is>
          <t>Colombia</t>
        </is>
      </c>
      <c r="F19" s="139" t="inlineStr">
        <is>
          <t>Natural</t>
        </is>
      </c>
      <c r="G19" s="140" t="inlineStr"/>
      <c r="H19" s="154" t="inlineStr">
        <is>
          <t>Rwanda</t>
        </is>
      </c>
      <c r="I19" s="155" t="inlineStr">
        <is>
          <t>$9.27</t>
        </is>
      </c>
      <c r="J19" s="155" t="n">
        <v>1</v>
      </c>
      <c r="K19" s="155" t="inlineStr">
        <is>
          <t>-$1.50</t>
        </is>
      </c>
    </row>
    <row r="20" ht="15" customHeight="1">
      <c r="B20" s="143" t="inlineStr">
        <is>
          <t>Corner Corner</t>
        </is>
      </c>
      <c r="C20" s="143" t="inlineStr">
        <is>
          <t>Malaysia My Liberica</t>
        </is>
      </c>
      <c r="D20" s="144" t="inlineStr">
        <is>
          <t>$13.00</t>
        </is>
      </c>
      <c r="E20" s="143" t="inlineStr">
        <is>
          <t>Malaysia</t>
        </is>
      </c>
      <c r="F20" s="143" t="inlineStr">
        <is>
          <t>Natural</t>
        </is>
      </c>
      <c r="G20" s="144" t="inlineStr"/>
      <c r="H20" s="154" t="inlineStr">
        <is>
          <t>Indonesia</t>
        </is>
      </c>
      <c r="I20" s="155" t="inlineStr">
        <is>
          <t>$9.00</t>
        </is>
      </c>
      <c r="J20" s="155" t="n">
        <v>2</v>
      </c>
      <c r="K20" s="155" t="inlineStr">
        <is>
          <t>-$1.77</t>
        </is>
      </c>
    </row>
    <row r="21" ht="15" customHeight="1">
      <c r="B21" s="158" t="inlineStr">
        <is>
          <t>Equate</t>
        </is>
      </c>
      <c r="C21" s="158" t="inlineStr">
        <is>
          <t>Colombia Huila La Prader</t>
        </is>
      </c>
      <c r="D21" s="159" t="inlineStr">
        <is>
          <t>$13.00</t>
        </is>
      </c>
      <c r="E21" s="158" t="inlineStr">
        <is>
          <t>Colombia</t>
        </is>
      </c>
      <c r="F21" s="158" t="inlineStr">
        <is>
          <t>Washed</t>
        </is>
      </c>
      <c r="G21" s="159" t="inlineStr">
        <is>
          <t>⭐</t>
        </is>
      </c>
      <c r="H21" s="154" t="inlineStr">
        <is>
          <t>Kenya</t>
        </is>
      </c>
      <c r="I21" s="155" t="inlineStr">
        <is>
          <t>$8.50</t>
        </is>
      </c>
      <c r="J21" s="155" t="n">
        <v>2</v>
      </c>
      <c r="K21" s="155" t="inlineStr">
        <is>
          <t>-$2.27</t>
        </is>
      </c>
    </row>
    <row r="22" ht="15" customHeight="1">
      <c r="B22" s="143" t="inlineStr">
        <is>
          <t>Keryi Coffee</t>
        </is>
      </c>
      <c r="C22" s="143" t="inlineStr">
        <is>
          <t>Ethiopia Urabeast G1</t>
        </is>
      </c>
      <c r="D22" s="144" t="inlineStr">
        <is>
          <t>$13.00</t>
        </is>
      </c>
      <c r="E22" s="143" t="inlineStr">
        <is>
          <t>Ethiopia</t>
        </is>
      </c>
      <c r="F22" s="143" t="inlineStr">
        <is>
          <t>Experimental Ferment</t>
        </is>
      </c>
      <c r="G22" s="144" t="inlineStr"/>
      <c r="H22" s="154" t="inlineStr">
        <is>
          <t>Brazil</t>
        </is>
      </c>
      <c r="I22" s="155" t="inlineStr">
        <is>
          <t>$6.87</t>
        </is>
      </c>
      <c r="J22" s="155" t="n">
        <v>3</v>
      </c>
      <c r="K22" s="155" t="inlineStr">
        <is>
          <t>-$3.90</t>
        </is>
      </c>
    </row>
    <row r="23" ht="15" customHeight="1">
      <c r="B23" s="139" t="inlineStr">
        <is>
          <t>Asylum Coffeehouse</t>
        </is>
      </c>
      <c r="C23" s="139" t="inlineStr">
        <is>
          <t>Castillo Watermelon (Jai</t>
        </is>
      </c>
      <c r="D23" s="140" t="inlineStr">
        <is>
          <t>$12.50</t>
        </is>
      </c>
      <c r="E23" s="139" t="inlineStr">
        <is>
          <t>Colombia</t>
        </is>
      </c>
      <c r="F23" s="139" t="inlineStr">
        <is>
          <t>Experimental Ferment</t>
        </is>
      </c>
      <c r="G23" s="140" t="inlineStr"/>
      <c r="H23" s="154" t="inlineStr">
        <is>
          <t>Myanmar</t>
        </is>
      </c>
      <c r="I23" s="155" t="inlineStr">
        <is>
          <t>$6.00</t>
        </is>
      </c>
      <c r="J23" s="155" t="n">
        <v>1</v>
      </c>
      <c r="K23" s="155" t="inlineStr">
        <is>
          <t>-$4.77</t>
        </is>
      </c>
    </row>
    <row r="24" ht="6" customHeight="1">
      <c r="B24" s="158" t="inlineStr">
        <is>
          <t>Asylum Coffeehouse</t>
        </is>
      </c>
      <c r="C24" s="158" t="inlineStr">
        <is>
          <t>Peru Gesha (Wilder Garci</t>
        </is>
      </c>
      <c r="D24" s="159" t="inlineStr">
        <is>
          <t>$12.50</t>
        </is>
      </c>
      <c r="E24" s="158" t="inlineStr">
        <is>
          <t>Peru</t>
        </is>
      </c>
      <c r="F24" s="158" t="inlineStr">
        <is>
          <t>Washed</t>
        </is>
      </c>
      <c r="G24" s="159" t="inlineStr">
        <is>
          <t>⭐</t>
        </is>
      </c>
    </row>
    <row r="25" ht="22" customHeight="1">
      <c r="H25" s="177" t="inlineStr">
        <is>
          <t>🧬  PRICE BY VARIETAL — The Gesha Premium Documented</t>
        </is>
      </c>
      <c r="I25" s="185" t="n"/>
      <c r="J25" s="185" t="n"/>
      <c r="K25" s="185" t="n"/>
      <c r="L25" s="185" t="n"/>
      <c r="M25" s="186" t="n"/>
    </row>
    <row r="26" ht="40" customHeight="1">
      <c r="B26" s="168" t="inlineStr">
        <is>
          <t>🍯  PRICE × PROCESS — Does Process Command a Premium?</t>
        </is>
      </c>
      <c r="C26" s="195" t="n"/>
      <c r="D26" s="195" t="n"/>
      <c r="E26" s="195" t="n"/>
      <c r="F26" s="196" t="n"/>
      <c r="H26" s="133" t="inlineStr">
        <is>
          <t>Gesha/Geisha commands SGD 13.94 average — the highest of any varietal in the archive. The data proves the premium is real. But Gara Agena at SGD 9.00 proves heirloom Ethiopian washed varieties can match Gesha sensory intensity at fraction of the price.</t>
        </is>
      </c>
      <c r="I26" s="189" t="n"/>
      <c r="J26" s="189" t="n"/>
      <c r="K26" s="189" t="n"/>
      <c r="L26" s="189" t="n"/>
      <c r="M26" s="190" t="n"/>
    </row>
    <row r="27" ht="16" customHeight="1">
      <c r="B27" s="134" t="inlineStr">
        <is>
          <t>Anaerobic and experimental processes command the highest prices — reflecting processing cost and market novelty. Washed process, despite being the preferred palate choice, sits mid-table — value density is highest here.</t>
        </is>
      </c>
      <c r="C27" s="189" t="n"/>
      <c r="D27" s="189" t="n"/>
      <c r="E27" s="189" t="n"/>
      <c r="F27" s="190" t="n"/>
      <c r="H27" s="135" t="inlineStr">
        <is>
          <t>Varietal</t>
        </is>
      </c>
      <c r="I27" s="135" t="inlineStr">
        <is>
          <t>Avg SGD</t>
        </is>
      </c>
      <c r="J27" s="135" t="inlineStr">
        <is>
          <t>n</t>
        </is>
      </c>
    </row>
    <row r="28" ht="15" customHeight="1">
      <c r="B28" s="169" t="inlineStr">
        <is>
          <t>Process</t>
        </is>
      </c>
      <c r="C28" s="169" t="inlineStr">
        <is>
          <t>Avg SGD</t>
        </is>
      </c>
      <c r="D28" s="169" t="inlineStr">
        <is>
          <t>Min</t>
        </is>
      </c>
      <c r="E28" s="169" t="inlineStr">
        <is>
          <t>Max</t>
        </is>
      </c>
      <c r="F28" s="169" t="inlineStr">
        <is>
          <t>n</t>
        </is>
      </c>
      <c r="H28" s="158" t="inlineStr">
        <is>
          <t>⭐ Gesha/Geisha</t>
        </is>
      </c>
      <c r="I28" s="159" t="inlineStr">
        <is>
          <t>$13.94</t>
        </is>
      </c>
      <c r="J28" s="137" t="n">
        <v>10</v>
      </c>
    </row>
    <row r="29" ht="15" customHeight="1">
      <c r="B29" s="149" t="inlineStr">
        <is>
          <t>Experimental Ferment</t>
        </is>
      </c>
      <c r="C29" s="150" t="inlineStr">
        <is>
          <t>$13.50</t>
        </is>
      </c>
      <c r="D29" s="150" t="inlineStr">
        <is>
          <t>$12.50</t>
        </is>
      </c>
      <c r="E29" s="150" t="inlineStr">
        <is>
          <t>$15.00</t>
        </is>
      </c>
      <c r="F29" s="150" t="n">
        <v>3</v>
      </c>
      <c r="H29" s="143" t="inlineStr">
        <is>
          <t>Liberica</t>
        </is>
      </c>
      <c r="I29" s="144" t="inlineStr">
        <is>
          <t>$13.00</t>
        </is>
      </c>
      <c r="J29" s="144" t="n">
        <v>1</v>
      </c>
    </row>
    <row r="30" ht="15" customHeight="1">
      <c r="B30" s="139" t="inlineStr">
        <is>
          <t>Honey</t>
        </is>
      </c>
      <c r="C30" s="140" t="inlineStr">
        <is>
          <t>$11.50</t>
        </is>
      </c>
      <c r="D30" s="140" t="inlineStr">
        <is>
          <t>$6.00</t>
        </is>
      </c>
      <c r="E30" s="140" t="inlineStr">
        <is>
          <t>$15.00</t>
        </is>
      </c>
      <c r="F30" s="140" t="n">
        <v>5</v>
      </c>
      <c r="H30" s="139" t="inlineStr">
        <is>
          <t>Castillo</t>
        </is>
      </c>
      <c r="I30" s="140" t="inlineStr">
        <is>
          <t>$12.50</t>
        </is>
      </c>
      <c r="J30" s="140" t="n">
        <v>1</v>
      </c>
    </row>
    <row r="31" ht="15" customHeight="1">
      <c r="B31" s="139" t="inlineStr">
        <is>
          <t>Natural</t>
        </is>
      </c>
      <c r="C31" s="140" t="inlineStr">
        <is>
          <t>$11.18</t>
        </is>
      </c>
      <c r="D31" s="140" t="inlineStr">
        <is>
          <t>$7.50</t>
        </is>
      </c>
      <c r="E31" s="140" t="inlineStr">
        <is>
          <t>$19.00</t>
        </is>
      </c>
      <c r="F31" s="140" t="n">
        <v>8</v>
      </c>
      <c r="H31" s="139" t="inlineStr">
        <is>
          <t>Caturra</t>
        </is>
      </c>
      <c r="I31" s="140" t="inlineStr">
        <is>
          <t>$11.62</t>
        </is>
      </c>
      <c r="J31" s="140" t="n">
        <v>4</v>
      </c>
    </row>
    <row r="32" ht="15" customHeight="1">
      <c r="B32" s="139" t="inlineStr">
        <is>
          <t>Anaerobic Washed</t>
        </is>
      </c>
      <c r="C32" s="140" t="inlineStr">
        <is>
          <t>$11.08</t>
        </is>
      </c>
      <c r="D32" s="140" t="inlineStr">
        <is>
          <t>$11.08</t>
        </is>
      </c>
      <c r="E32" s="140" t="inlineStr">
        <is>
          <t>$11.08</t>
        </is>
      </c>
      <c r="F32" s="140" t="n">
        <v>1</v>
      </c>
      <c r="H32" s="143" t="inlineStr">
        <is>
          <t>Sudan Rume</t>
        </is>
      </c>
      <c r="I32" s="144" t="inlineStr">
        <is>
          <t>$11.50</t>
        </is>
      </c>
      <c r="J32" s="144" t="n">
        <v>2</v>
      </c>
    </row>
    <row r="33" ht="15" customHeight="1">
      <c r="B33" s="139" t="inlineStr">
        <is>
          <t>Anaerobic Natural</t>
        </is>
      </c>
      <c r="C33" s="140" t="inlineStr">
        <is>
          <t>$10.50</t>
        </is>
      </c>
      <c r="D33" s="140" t="inlineStr">
        <is>
          <t>$8.50</t>
        </is>
      </c>
      <c r="E33" s="140" t="inlineStr">
        <is>
          <t>$12.00</t>
        </is>
      </c>
      <c r="F33" s="140" t="n">
        <v>3</v>
      </c>
      <c r="H33" s="139" t="inlineStr">
        <is>
          <t>Ethiopian Heirloom</t>
        </is>
      </c>
      <c r="I33" s="140" t="inlineStr">
        <is>
          <t>$10.38</t>
        </is>
      </c>
      <c r="J33" s="140" t="n">
        <v>4</v>
      </c>
    </row>
    <row r="34" ht="15" customHeight="1">
      <c r="B34" s="139" t="inlineStr">
        <is>
          <t>Washed</t>
        </is>
      </c>
      <c r="C34" s="140" t="inlineStr">
        <is>
          <t>$10.27</t>
        </is>
      </c>
      <c r="D34" s="140" t="inlineStr">
        <is>
          <t>$7.50</t>
        </is>
      </c>
      <c r="E34" s="140" t="inlineStr">
        <is>
          <t>$18.00</t>
        </is>
      </c>
      <c r="F34" s="140" t="n">
        <v>18</v>
      </c>
      <c r="H34" s="139" t="inlineStr">
        <is>
          <t>Typica</t>
        </is>
      </c>
      <c r="I34" s="140" t="inlineStr">
        <is>
          <t>$10.04</t>
        </is>
      </c>
      <c r="J34" s="140" t="n">
        <v>2</v>
      </c>
    </row>
    <row r="35" ht="15" customHeight="1">
      <c r="H35" s="139" t="inlineStr">
        <is>
          <t>Local Varietals</t>
        </is>
      </c>
      <c r="I35" s="140" t="inlineStr">
        <is>
          <t>$9.50</t>
        </is>
      </c>
      <c r="J35" s="140" t="n">
        <v>1</v>
      </c>
    </row>
    <row r="36" ht="15" customHeight="1">
      <c r="H36" s="139" t="inlineStr">
        <is>
          <t>Welicho &amp; Kurume (bl</t>
        </is>
      </c>
      <c r="I36" s="140" t="inlineStr">
        <is>
          <t>$9.00</t>
        </is>
      </c>
      <c r="J36" s="140" t="n">
        <v>1</v>
      </c>
    </row>
    <row r="37" ht="15" customHeight="1">
      <c r="H37" s="143" t="inlineStr">
        <is>
          <t>Papayo</t>
        </is>
      </c>
      <c r="I37" s="144" t="inlineStr">
        <is>
          <t>$9.00</t>
        </is>
      </c>
      <c r="J37" s="144" t="n">
        <v>1</v>
      </c>
    </row>
    <row r="38" ht="15" customHeight="1">
      <c r="H38" s="143" t="inlineStr">
        <is>
          <t>Dega, Wolisho, Kurum</t>
        </is>
      </c>
      <c r="I38" s="144" t="inlineStr">
        <is>
          <t>$9.00</t>
        </is>
      </c>
      <c r="J38" s="144" t="n">
        <v>1</v>
      </c>
    </row>
    <row r="39" ht="15" customHeight="1">
      <c r="H39" s="143" t="inlineStr">
        <is>
          <t>Bourbon</t>
        </is>
      </c>
      <c r="I39" s="144" t="inlineStr">
        <is>
          <t>$8.82</t>
        </is>
      </c>
      <c r="J39" s="144" t="n">
        <v>4</v>
      </c>
    </row>
    <row r="40" ht="15" customHeight="1">
      <c r="H40" s="139" t="inlineStr">
        <is>
          <t>Hybrid Laurina</t>
        </is>
      </c>
      <c r="I40" s="140" t="inlineStr">
        <is>
          <t>$8.50</t>
        </is>
      </c>
      <c r="J40" s="140" t="n">
        <v>1</v>
      </c>
    </row>
    <row r="41" ht="15" customHeight="1">
      <c r="H41" s="139" t="inlineStr">
        <is>
          <t>SL28/SL34</t>
        </is>
      </c>
      <c r="I41" s="140" t="inlineStr">
        <is>
          <t>$8.50</t>
        </is>
      </c>
      <c r="J41" s="140" t="n">
        <v>2</v>
      </c>
    </row>
    <row r="42" ht="15" customHeight="1">
      <c r="H42" s="139" t="inlineStr">
        <is>
          <t>Arara</t>
        </is>
      </c>
      <c r="I42" s="140" t="inlineStr">
        <is>
          <t>$7.50</t>
        </is>
      </c>
      <c r="J42" s="140" t="n">
        <v>1</v>
      </c>
    </row>
    <row r="43" ht="15" customHeight="1">
      <c r="H43" s="143" t="inlineStr">
        <is>
          <t>Catimor</t>
        </is>
      </c>
      <c r="I43" s="144" t="inlineStr">
        <is>
          <t>$6.00</t>
        </is>
      </c>
      <c r="J43" s="144" t="n">
        <v>1</v>
      </c>
    </row>
    <row r="44" ht="6" customHeight="1"/>
    <row r="45" ht="22" customHeight="1">
      <c r="H45" s="132" t="inlineStr">
        <is>
          <t>💎  VALUE DENSITY — Best SGD-Per-Sensory-Impact</t>
        </is>
      </c>
      <c r="I45" s="187" t="n"/>
      <c r="J45" s="187" t="n"/>
      <c r="K45" s="187" t="n"/>
      <c r="L45" s="187" t="n"/>
      <c r="M45" s="188" t="n"/>
    </row>
    <row r="46" ht="40" customHeight="1">
      <c r="H46" s="134" t="inlineStr">
        <is>
          <t>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is>
      </c>
      <c r="I46" s="189" t="n"/>
      <c r="J46" s="189" t="n"/>
      <c r="K46" s="189" t="n"/>
      <c r="L46" s="189" t="n"/>
      <c r="M46" s="190" t="n"/>
    </row>
    <row r="200">
      <c r="B200" t="inlineStr">
        <is>
          <t>Origin</t>
        </is>
      </c>
      <c r="C200" t="inlineStr">
        <is>
          <t>Avg Price SGD</t>
        </is>
      </c>
    </row>
    <row r="201">
      <c r="B201" t="inlineStr">
        <is>
          <t>Ecuador</t>
        </is>
      </c>
      <c r="C201" t="n">
        <v>18</v>
      </c>
    </row>
    <row r="202">
      <c r="B202" t="inlineStr">
        <is>
          <t>Malaysia</t>
        </is>
      </c>
      <c r="C202" t="n">
        <v>13</v>
      </c>
    </row>
    <row r="203">
      <c r="B203" t="inlineStr">
        <is>
          <t>Colombia</t>
        </is>
      </c>
      <c r="C203" t="n">
        <v>12.03</v>
      </c>
    </row>
    <row r="204">
      <c r="B204" t="inlineStr">
        <is>
          <t>Honduras</t>
        </is>
      </c>
      <c r="C204" t="n">
        <v>12</v>
      </c>
    </row>
    <row r="205">
      <c r="B205" t="inlineStr">
        <is>
          <t>Boquerón</t>
        </is>
      </c>
      <c r="C205" t="n">
        <v>12</v>
      </c>
    </row>
    <row r="206">
      <c r="B206" t="inlineStr">
        <is>
          <t>Peru</t>
        </is>
      </c>
      <c r="C206" t="n">
        <v>11.75</v>
      </c>
    </row>
    <row r="207">
      <c r="B207" t="inlineStr">
        <is>
          <t>Bolivia</t>
        </is>
      </c>
      <c r="C207" t="n">
        <v>10</v>
      </c>
    </row>
    <row r="208">
      <c r="B208" t="inlineStr">
        <is>
          <t>Ethiopia</t>
        </is>
      </c>
      <c r="C208" t="n">
        <v>9.92</v>
      </c>
    </row>
  </sheetData>
  <mergeCells count="12">
    <mergeCell ref="B4:L4"/>
    <mergeCell ref="H45:M45"/>
    <mergeCell ref="H46:M46"/>
    <mergeCell ref="B11:F11"/>
    <mergeCell ref="B2:L2"/>
    <mergeCell ref="B5:L5"/>
    <mergeCell ref="H8:M8"/>
    <mergeCell ref="H25:M25"/>
    <mergeCell ref="B26:F26"/>
    <mergeCell ref="H26:M26"/>
    <mergeCell ref="B27:F27"/>
    <mergeCell ref="B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D4A1E"/>
    <outlinePr summaryBelow="1" summaryRight="1"/>
    <pageSetUpPr/>
  </sheetPr>
  <dimension ref="B1:L207"/>
  <sheetViews>
    <sheetView showGridLines="0" workbookViewId="0">
      <selection activeCell="A1" sqref="A1"/>
    </sheetView>
  </sheetViews>
  <sheetFormatPr baseColWidth="8" defaultRowHeight="15"/>
  <cols>
    <col width="2" customWidth="1" min="1" max="1"/>
    <col width="5" customWidth="1" min="2" max="2"/>
    <col width="12" customWidth="1" min="3" max="3"/>
    <col width="20" customWidth="1" min="4" max="4"/>
    <col width="22" customWidth="1" min="5" max="5"/>
    <col width="14" customWidth="1" min="6" max="6"/>
    <col width="16" customWidth="1" min="7" max="7"/>
    <col width="10" customWidth="1" min="8" max="8"/>
    <col width="8" customWidth="1" min="9" max="9"/>
    <col width="8" customWidth="1" min="10" max="10"/>
    <col width="10" customWidth="1" min="11" max="11"/>
    <col width="14" customWidth="1" min="12" max="12"/>
    <col width="2" customWidth="1" min="13" max="13"/>
  </cols>
  <sheetData>
    <row r="1" ht="38" customHeight="1">
      <c r="B1" s="116" t="inlineStr">
        <is>
          <t>📅  ARCHIVE GROWTH TIMELINE</t>
        </is>
      </c>
    </row>
    <row r="2" ht="16" customHeight="1">
      <c r="B2" s="117" t="inlineStr">
        <is>
          <t>January → July 2026 · 7 months · 54 cups · The story of a palate in motion</t>
        </is>
      </c>
    </row>
    <row r="3" ht="8" customHeight="1"/>
    <row r="4" ht="22" customHeight="1">
      <c r="B4" s="151" t="inlineStr">
        <is>
          <t>📖  THE ARCHIVE STORY</t>
        </is>
      </c>
      <c r="C4" s="193" t="n"/>
      <c r="D4" s="193" t="n"/>
      <c r="E4" s="193" t="n"/>
      <c r="F4" s="193" t="n"/>
      <c r="G4" s="193" t="n"/>
      <c r="H4" s="193" t="n"/>
      <c r="I4" s="193" t="n"/>
      <c r="J4" s="193" t="n"/>
      <c r="K4" s="193" t="n"/>
      <c r="L4" s="194" t="n"/>
    </row>
    <row r="5" ht="40" customHeight="1">
      <c r="B5" s="134" t="inlineStr">
        <is>
          <t>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is>
      </c>
      <c r="C5" s="189" t="n"/>
      <c r="D5" s="189" t="n"/>
      <c r="E5" s="189" t="n"/>
      <c r="F5" s="189" t="n"/>
      <c r="G5" s="189" t="n"/>
      <c r="H5" s="189" t="n"/>
      <c r="I5" s="189" t="n"/>
      <c r="J5" s="189" t="n"/>
      <c r="K5" s="189" t="n"/>
      <c r="L5" s="190" t="n"/>
    </row>
    <row r="6" ht="6" customHeight="1"/>
    <row r="7" ht="22" customHeight="1">
      <c r="B7" s="132" t="inlineStr">
        <is>
          <t>📊  MONTH-BY-MONTH ARCHIVE ACTIVITY</t>
        </is>
      </c>
      <c r="C7" s="187" t="n"/>
      <c r="D7" s="187" t="n"/>
      <c r="E7" s="187" t="n"/>
      <c r="F7" s="187" t="n"/>
      <c r="G7" s="187" t="n"/>
      <c r="H7" s="187" t="n"/>
      <c r="I7" s="187" t="n"/>
      <c r="J7" s="187" t="n"/>
      <c r="K7" s="187" t="n"/>
      <c r="L7" s="188" t="n"/>
    </row>
    <row r="8" ht="16" customHeight="1">
      <c r="B8" s="136" t="inlineStr">
        <is>
          <t>Month</t>
        </is>
      </c>
      <c r="C8" s="136" t="inlineStr">
        <is>
          <t>Entries</t>
        </is>
      </c>
      <c r="D8" s="136" t="inlineStr">
        <is>
          <t>Cafés</t>
        </is>
      </c>
      <c r="E8" s="136" t="inlineStr">
        <is>
          <t>Geshas</t>
        </is>
      </c>
      <c r="F8" s="136" t="inlineStr">
        <is>
          <t>Avg SGD</t>
        </is>
      </c>
      <c r="G8" s="136" t="inlineStr">
        <is>
          <t>Key Milestone</t>
        </is>
      </c>
    </row>
    <row r="9" ht="15" customHeight="1">
      <c r="B9" s="139" t="inlineStr">
        <is>
          <t>2026-01</t>
        </is>
      </c>
      <c r="C9" s="140" t="n">
        <v>3</v>
      </c>
      <c r="D9" s="140" t="n">
        <v>1</v>
      </c>
      <c r="E9" s="140" t="inlineStr">
        <is>
          <t>—</t>
        </is>
      </c>
      <c r="F9" s="140" t="inlineStr">
        <is>
          <t>—</t>
        </is>
      </c>
      <c r="G9" s="139" t="inlineStr">
        <is>
          <t>Archive opens · Ubud Bali · Seniman Coffee Studio</t>
        </is>
      </c>
    </row>
    <row r="10" ht="15" customHeight="1">
      <c r="B10" s="143" t="inlineStr">
        <is>
          <t>2026-02</t>
        </is>
      </c>
      <c r="C10" s="144" t="n">
        <v>1</v>
      </c>
      <c r="D10" s="144" t="n">
        <v>1</v>
      </c>
      <c r="E10" s="144" t="inlineStr">
        <is>
          <t>—</t>
        </is>
      </c>
      <c r="F10" s="144" t="inlineStr">
        <is>
          <t>$8.00</t>
        </is>
      </c>
      <c r="G10" s="143" t="inlineStr">
        <is>
          <t>Mumbai chapter · Subko Coffee</t>
        </is>
      </c>
    </row>
    <row r="11" ht="15" customHeight="1">
      <c r="B11" s="138" t="inlineStr">
        <is>
          <t>2026-03</t>
        </is>
      </c>
      <c r="C11" s="159" t="n">
        <v>13</v>
      </c>
      <c r="D11" s="137" t="n">
        <v>9</v>
      </c>
      <c r="E11" s="159" t="inlineStr">
        <is>
          <t>⭐×1</t>
        </is>
      </c>
      <c r="F11" s="137" t="inlineStr">
        <is>
          <t>$9.62</t>
        </is>
      </c>
      <c r="G11" s="158" t="inlineStr">
        <is>
          <t>Singapore sprint · 9 cafés · First Gesha (Asylum Peru)</t>
        </is>
      </c>
    </row>
    <row r="12" ht="15" customHeight="1">
      <c r="B12" s="154" t="inlineStr">
        <is>
          <t>2026-04</t>
        </is>
      </c>
      <c r="C12" s="155" t="n">
        <v>7</v>
      </c>
      <c r="D12" s="155" t="n">
        <v>5</v>
      </c>
      <c r="E12" s="157" t="inlineStr">
        <is>
          <t>⭐×2</t>
        </is>
      </c>
      <c r="F12" s="155" t="inlineStr">
        <is>
          <t>$11.01</t>
        </is>
      </c>
      <c r="G12" s="154" t="inlineStr">
        <is>
          <t>Hardware discovery · Timemore Sculptor debut · Second Gesha</t>
        </is>
      </c>
    </row>
    <row r="13" ht="15" customHeight="1">
      <c r="B13" s="138" t="inlineStr">
        <is>
          <t>2026-05</t>
        </is>
      </c>
      <c r="C13" s="159" t="n">
        <v>11</v>
      </c>
      <c r="D13" s="137" t="n">
        <v>8</v>
      </c>
      <c r="E13" s="159" t="inlineStr">
        <is>
          <t>⭐×2</t>
        </is>
      </c>
      <c r="F13" s="137" t="inlineStr">
        <is>
          <t>$10.88</t>
        </is>
      </c>
      <c r="G13" s="158" t="inlineStr">
        <is>
          <t>🏆 Cup of the Year — El Obraje Washed Gesha · Fluid Collective debut</t>
        </is>
      </c>
    </row>
    <row r="14" ht="15" customHeight="1">
      <c r="B14" s="138" t="inlineStr">
        <is>
          <t>2026-06</t>
        </is>
      </c>
      <c r="C14" s="159" t="n">
        <v>11</v>
      </c>
      <c r="D14" s="137" t="n">
        <v>9</v>
      </c>
      <c r="E14" s="159" t="inlineStr">
        <is>
          <t>⭐×2</t>
        </is>
      </c>
      <c r="F14" s="137" t="inlineStr">
        <is>
          <t>$10.80</t>
        </is>
      </c>
      <c r="G14" s="158" t="inlineStr">
        <is>
          <t>Six firsts: Liberica · Yunnan · Sudan Rume · Myanmar · Mosto · Pink Bourbon</t>
        </is>
      </c>
    </row>
    <row r="15" ht="15" customHeight="1">
      <c r="B15" s="154" t="inlineStr">
        <is>
          <t>2026-07</t>
        </is>
      </c>
      <c r="C15" s="155" t="n">
        <v>8</v>
      </c>
      <c r="D15" s="155" t="n">
        <v>6</v>
      </c>
      <c r="E15" s="157" t="inlineStr">
        <is>
          <t>⭐×3</t>
        </is>
      </c>
      <c r="F15" s="155" t="inlineStr">
        <is>
          <t>$11.49</t>
        </is>
      </c>
      <c r="G15" s="154" t="inlineStr">
        <is>
          <t>Fluid third visit · Pinhole watchlist fulfilled · Gesha count: 10</t>
        </is>
      </c>
    </row>
    <row r="16" ht="18" customHeight="1">
      <c r="B16" s="178" t="inlineStr">
        <is>
          <t>TOTAL / RANGE</t>
        </is>
      </c>
      <c r="C16" s="179" t="n">
        <v>54</v>
      </c>
      <c r="D16" s="179" t="n">
        <v>31</v>
      </c>
      <c r="E16" s="179" t="inlineStr">
        <is>
          <t>10⭐</t>
        </is>
      </c>
      <c r="F16" s="179" t="inlineStr">
        <is>
          <t>SGD 10.77</t>
        </is>
      </c>
      <c r="G16" s="179" t="inlineStr">
        <is>
          <t>Jan 2026 → Jul 2026 · Archive ongoing</t>
        </is>
      </c>
    </row>
    <row r="18" ht="8" customHeight="1"/>
    <row r="19" ht="22" customHeight="1">
      <c r="B19" s="132" t="inlineStr">
        <is>
          <t>📋  FULL CHRONOLOGICAL AUDIT LOG — All 54 Entries</t>
        </is>
      </c>
      <c r="C19" s="187" t="n"/>
      <c r="D19" s="187" t="n"/>
      <c r="E19" s="187" t="n"/>
      <c r="F19" s="187" t="n"/>
      <c r="G19" s="187" t="n"/>
      <c r="H19" s="187" t="n"/>
      <c r="I19" s="187" t="n"/>
      <c r="J19" s="187" t="n"/>
      <c r="K19" s="187" t="n"/>
      <c r="L19" s="188" t="n"/>
    </row>
    <row r="20" ht="16" customHeight="1">
      <c r="B20" s="136" t="inlineStr">
        <is>
          <t>#</t>
        </is>
      </c>
      <c r="C20" s="136" t="inlineStr">
        <is>
          <t>Date</t>
        </is>
      </c>
      <c r="D20" s="136" t="inlineStr">
        <is>
          <t>Café</t>
        </is>
      </c>
      <c r="E20" s="136" t="inlineStr">
        <is>
          <t>Coffee</t>
        </is>
      </c>
      <c r="F20" s="136" t="inlineStr">
        <is>
          <t>Origin</t>
        </is>
      </c>
      <c r="G20" s="136" t="inlineStr">
        <is>
          <t>Process</t>
        </is>
      </c>
      <c r="H20" s="136" t="inlineStr">
        <is>
          <t>Roast</t>
        </is>
      </c>
      <c r="I20" s="136" t="inlineStr">
        <is>
          <t>SGD</t>
        </is>
      </c>
      <c r="J20" s="136" t="inlineStr">
        <is>
          <t>Gesha</t>
        </is>
      </c>
    </row>
    <row r="21" ht="13" customHeight="1">
      <c r="B21" s="140" t="n">
        <v>1</v>
      </c>
      <c r="C21" s="139" t="inlineStr">
        <is>
          <t>2026-01-03</t>
        </is>
      </c>
      <c r="D21" s="139" t="inlineStr">
        <is>
          <t>Seniman Coffee Studi</t>
        </is>
      </c>
      <c r="E21" s="139" t="inlineStr">
        <is>
          <t>Bali Karana Kintamanis</t>
        </is>
      </c>
      <c r="F21" s="139" t="inlineStr">
        <is>
          <t>Indonesia</t>
        </is>
      </c>
      <c r="G21" s="139" t="inlineStr">
        <is>
          <t>Natural</t>
        </is>
      </c>
      <c r="H21" s="140" t="inlineStr">
        <is>
          <t>Light</t>
        </is>
      </c>
      <c r="I21" s="140" t="inlineStr">
        <is>
          <t>—</t>
        </is>
      </c>
      <c r="J21" s="140" t="inlineStr"/>
    </row>
    <row r="22" ht="13" customHeight="1">
      <c r="B22" s="144" t="n">
        <v>2</v>
      </c>
      <c r="C22" s="143" t="inlineStr">
        <is>
          <t>2026-01-04</t>
        </is>
      </c>
      <c r="D22" s="143" t="inlineStr">
        <is>
          <t>Seniman Coffee Studi</t>
        </is>
      </c>
      <c r="E22" s="143" t="inlineStr">
        <is>
          <t>Sulawesi Toraja</t>
        </is>
      </c>
      <c r="F22" s="143" t="inlineStr">
        <is>
          <t>Indonesia</t>
        </is>
      </c>
      <c r="G22" s="143" t="inlineStr">
        <is>
          <t>Wet-Hulled</t>
        </is>
      </c>
      <c r="H22" s="144" t="inlineStr">
        <is>
          <t>Medium</t>
        </is>
      </c>
      <c r="I22" s="144" t="inlineStr">
        <is>
          <t>—</t>
        </is>
      </c>
      <c r="J22" s="144" t="inlineStr"/>
    </row>
    <row r="23" ht="13" customHeight="1">
      <c r="B23" s="140" t="n">
        <v>3</v>
      </c>
      <c r="C23" s="139" t="inlineStr">
        <is>
          <t>2026-01-04</t>
        </is>
      </c>
      <c r="D23" s="139" t="inlineStr">
        <is>
          <t>Seniman Coffee Studi</t>
        </is>
      </c>
      <c r="E23" s="139" t="inlineStr">
        <is>
          <t>House Blend</t>
        </is>
      </c>
      <c r="F23" s="139" t="inlineStr">
        <is>
          <t>Unknown</t>
        </is>
      </c>
      <c r="G23" s="139" t="inlineStr">
        <is>
          <t>Unknown</t>
        </is>
      </c>
      <c r="H23" s="140" t="inlineStr">
        <is>
          <t>Espresso</t>
        </is>
      </c>
      <c r="I23" s="140" t="inlineStr">
        <is>
          <t>—</t>
        </is>
      </c>
      <c r="J23" s="140" t="inlineStr"/>
    </row>
    <row r="24" ht="12" customHeight="1">
      <c r="B24" s="180" t="inlineStr">
        <is>
          <t xml:space="preserve">  ── 2026-02 ──</t>
        </is>
      </c>
    </row>
    <row r="25" ht="13" customHeight="1">
      <c r="B25" s="144" t="n">
        <v>4</v>
      </c>
      <c r="C25" s="143" t="inlineStr">
        <is>
          <t>2026-02-10</t>
        </is>
      </c>
      <c r="D25" s="143" t="inlineStr">
        <is>
          <t>Kyuukei Coffee</t>
        </is>
      </c>
      <c r="E25" s="143" t="inlineStr">
        <is>
          <t>Kenya Kiamugumo AA</t>
        </is>
      </c>
      <c r="F25" s="143" t="inlineStr">
        <is>
          <t>Kenya</t>
        </is>
      </c>
      <c r="G25" s="143" t="inlineStr">
        <is>
          <t>Washed</t>
        </is>
      </c>
      <c r="H25" s="144" t="inlineStr">
        <is>
          <t>Unknown</t>
        </is>
      </c>
      <c r="I25" s="144" t="inlineStr">
        <is>
          <t>$8.00</t>
        </is>
      </c>
      <c r="J25" s="144" t="inlineStr"/>
    </row>
    <row r="26" ht="12" customHeight="1">
      <c r="B26" s="180" t="inlineStr">
        <is>
          <t xml:space="preserve">  ── 2026-03 ──</t>
        </is>
      </c>
    </row>
    <row r="27" ht="13" customHeight="1">
      <c r="B27" s="140" t="n">
        <v>5</v>
      </c>
      <c r="C27" s="139" t="inlineStr">
        <is>
          <t>2026-03-01</t>
        </is>
      </c>
      <c r="D27" s="139" t="inlineStr">
        <is>
          <t>Subko Coffee Roaster</t>
        </is>
      </c>
      <c r="E27" s="139" t="inlineStr">
        <is>
          <t>Project Pearl Ratnagir</t>
        </is>
      </c>
      <c r="F27" s="139" t="inlineStr">
        <is>
          <t>India</t>
        </is>
      </c>
      <c r="G27" s="139" t="inlineStr">
        <is>
          <t>Anaerobic Natural</t>
        </is>
      </c>
      <c r="H27" s="140" t="inlineStr">
        <is>
          <t>Light</t>
        </is>
      </c>
      <c r="I27" s="140" t="inlineStr">
        <is>
          <t>—</t>
        </is>
      </c>
      <c r="J27" s="140" t="inlineStr"/>
    </row>
    <row r="28" ht="13" customHeight="1">
      <c r="B28" s="144" t="n">
        <v>6</v>
      </c>
      <c r="C28" s="143" t="inlineStr">
        <is>
          <t>2026-03-08</t>
        </is>
      </c>
      <c r="D28" s="143" t="inlineStr">
        <is>
          <t>Grey Soul Coffee Roa</t>
        </is>
      </c>
      <c r="E28" s="143" t="inlineStr">
        <is>
          <t>Raspberry in Loop - Zo</t>
        </is>
      </c>
      <c r="F28" s="143" t="inlineStr">
        <is>
          <t>India</t>
        </is>
      </c>
      <c r="G28" s="143" t="inlineStr">
        <is>
          <t>Anaerobic</t>
        </is>
      </c>
      <c r="H28" s="144" t="inlineStr">
        <is>
          <t>Medium</t>
        </is>
      </c>
      <c r="I28" s="144" t="inlineStr">
        <is>
          <t>—</t>
        </is>
      </c>
      <c r="J28" s="144" t="inlineStr"/>
    </row>
    <row r="29" ht="13" customHeight="1">
      <c r="B29" s="140" t="n">
        <v>7</v>
      </c>
      <c r="C29" s="139" t="inlineStr">
        <is>
          <t>2026-03-18</t>
        </is>
      </c>
      <c r="D29" s="139" t="inlineStr">
        <is>
          <t>Narrative Coffee Sta</t>
        </is>
      </c>
      <c r="E29" s="139" t="inlineStr">
        <is>
          <t>Finca La Siberia</t>
        </is>
      </c>
      <c r="F29" s="139" t="inlineStr">
        <is>
          <t>El Salvador</t>
        </is>
      </c>
      <c r="G29" s="139" t="inlineStr">
        <is>
          <t>Natural</t>
        </is>
      </c>
      <c r="H29" s="140" t="inlineStr">
        <is>
          <t>Light</t>
        </is>
      </c>
      <c r="I29" s="140" t="inlineStr">
        <is>
          <t>—</t>
        </is>
      </c>
      <c r="J29" s="140" t="inlineStr"/>
    </row>
    <row r="30" ht="13" customHeight="1">
      <c r="B30" s="144" t="n">
        <v>8</v>
      </c>
      <c r="C30" s="143" t="inlineStr">
        <is>
          <t>2026-03-18</t>
        </is>
      </c>
      <c r="D30" s="143" t="inlineStr">
        <is>
          <t>Narrative Coffee Sta</t>
        </is>
      </c>
      <c r="E30" s="143" t="inlineStr">
        <is>
          <t>El Puente</t>
        </is>
      </c>
      <c r="F30" s="143" t="inlineStr">
        <is>
          <t>Honduras</t>
        </is>
      </c>
      <c r="G30" s="143" t="inlineStr">
        <is>
          <t>Washed</t>
        </is>
      </c>
      <c r="H30" s="144" t="inlineStr">
        <is>
          <t>Light</t>
        </is>
      </c>
      <c r="I30" s="144" t="inlineStr">
        <is>
          <t>—</t>
        </is>
      </c>
      <c r="J30" s="144" t="inlineStr"/>
    </row>
    <row r="31" ht="13" customHeight="1">
      <c r="B31" s="140" t="n">
        <v>9</v>
      </c>
      <c r="C31" s="139" t="inlineStr">
        <is>
          <t>2026-03-18</t>
        </is>
      </c>
      <c r="D31" s="139" t="inlineStr">
        <is>
          <t>ASK Coffee Roastery</t>
        </is>
      </c>
      <c r="E31" s="139" t="inlineStr">
        <is>
          <t>Honduras Masaguara (S1</t>
        </is>
      </c>
      <c r="F31" s="139" t="inlineStr">
        <is>
          <t>Honduras</t>
        </is>
      </c>
      <c r="G31" s="139" t="inlineStr">
        <is>
          <t>Experimental Ferment</t>
        </is>
      </c>
      <c r="H31" s="140" t="inlineStr">
        <is>
          <t>Light</t>
        </is>
      </c>
      <c r="I31" s="140" t="inlineStr">
        <is>
          <t>$15.00</t>
        </is>
      </c>
      <c r="J31" s="140" t="inlineStr"/>
    </row>
    <row r="32" ht="13" customHeight="1">
      <c r="B32" s="144" t="n">
        <v>10</v>
      </c>
      <c r="C32" s="143" t="inlineStr">
        <is>
          <t>2026-03-18</t>
        </is>
      </c>
      <c r="D32" s="143" t="inlineStr">
        <is>
          <t>ASK Coffee Roastery</t>
        </is>
      </c>
      <c r="E32" s="143" t="inlineStr">
        <is>
          <t>House Blend</t>
        </is>
      </c>
      <c r="F32" s="143" t="inlineStr">
        <is>
          <t>Unknown</t>
        </is>
      </c>
      <c r="G32" s="143" t="inlineStr">
        <is>
          <t>Unknown</t>
        </is>
      </c>
      <c r="H32" s="144" t="inlineStr">
        <is>
          <t>Unknown</t>
        </is>
      </c>
      <c r="I32" s="144" t="inlineStr">
        <is>
          <t>—</t>
        </is>
      </c>
      <c r="J32" s="144" t="inlineStr"/>
    </row>
    <row r="33" ht="13" customHeight="1">
      <c r="B33" s="140" t="n">
        <v>11</v>
      </c>
      <c r="C33" s="139" t="inlineStr">
        <is>
          <t>2026-03-22</t>
        </is>
      </c>
      <c r="D33" s="139" t="inlineStr">
        <is>
          <t>Apartment (Selegie R</t>
        </is>
      </c>
      <c r="E33" s="139" t="inlineStr">
        <is>
          <t>Colombia Don Gallego -</t>
        </is>
      </c>
      <c r="F33" s="139" t="inlineStr">
        <is>
          <t>Colombia</t>
        </is>
      </c>
      <c r="G33" s="139" t="inlineStr">
        <is>
          <t>Washed</t>
        </is>
      </c>
      <c r="H33" s="140" t="inlineStr">
        <is>
          <t>Light</t>
        </is>
      </c>
      <c r="I33" s="140" t="inlineStr">
        <is>
          <t>—</t>
        </is>
      </c>
      <c r="J33" s="140" t="inlineStr"/>
    </row>
    <row r="34" ht="13" customHeight="1">
      <c r="B34" s="144" t="n">
        <v>12</v>
      </c>
      <c r="C34" s="143" t="inlineStr">
        <is>
          <t>2026-03-24</t>
        </is>
      </c>
      <c r="D34" s="143" t="inlineStr">
        <is>
          <t>Kyuukei Coffee</t>
        </is>
      </c>
      <c r="E34" s="143" t="inlineStr">
        <is>
          <t>Kenya Ndiaini AA</t>
        </is>
      </c>
      <c r="F34" s="143" t="inlineStr">
        <is>
          <t>Kenya</t>
        </is>
      </c>
      <c r="G34" s="143" t="inlineStr">
        <is>
          <t>Washed</t>
        </is>
      </c>
      <c r="H34" s="144" t="inlineStr">
        <is>
          <t>Unknown</t>
        </is>
      </c>
      <c r="I34" s="144" t="inlineStr">
        <is>
          <t>$9.00</t>
        </is>
      </c>
      <c r="J34" s="144" t="inlineStr"/>
    </row>
    <row r="35" ht="13" customHeight="1">
      <c r="B35" s="140" t="n">
        <v>13</v>
      </c>
      <c r="C35" s="139" t="inlineStr">
        <is>
          <t>2026-03-25</t>
        </is>
      </c>
      <c r="D35" s="139" t="inlineStr">
        <is>
          <t>Agora Coffee</t>
        </is>
      </c>
      <c r="E35" s="139" t="inlineStr">
        <is>
          <t xml:space="preserve">Nicaragua Matagalpa - </t>
        </is>
      </c>
      <c r="F35" s="139" t="inlineStr">
        <is>
          <t>Nicaragua</t>
        </is>
      </c>
      <c r="G35" s="139" t="inlineStr">
        <is>
          <t>Washed</t>
        </is>
      </c>
      <c r="H35" s="140" t="inlineStr">
        <is>
          <t>Espresso</t>
        </is>
      </c>
      <c r="I35" s="140" t="inlineStr">
        <is>
          <t>—</t>
        </is>
      </c>
      <c r="J35" s="140" t="inlineStr"/>
    </row>
    <row r="36" ht="13" customHeight="1">
      <c r="B36" s="144" t="n">
        <v>14</v>
      </c>
      <c r="C36" s="143" t="inlineStr">
        <is>
          <t>2026-03-27</t>
        </is>
      </c>
      <c r="D36" s="143" t="inlineStr">
        <is>
          <t>Agora Coffee</t>
        </is>
      </c>
      <c r="E36" s="143" t="inlineStr">
        <is>
          <t>Ethiopia Yirgacheffe B</t>
        </is>
      </c>
      <c r="F36" s="143" t="inlineStr">
        <is>
          <t>Ethiopia</t>
        </is>
      </c>
      <c r="G36" s="143" t="inlineStr">
        <is>
          <t>Natural</t>
        </is>
      </c>
      <c r="H36" s="144" t="inlineStr">
        <is>
          <t>Filter</t>
        </is>
      </c>
      <c r="I36" s="144" t="inlineStr">
        <is>
          <t>—</t>
        </is>
      </c>
      <c r="J36" s="144" t="inlineStr"/>
    </row>
    <row r="37" ht="13" customHeight="1">
      <c r="B37" s="140" t="n">
        <v>15</v>
      </c>
      <c r="C37" s="139" t="inlineStr">
        <is>
          <t>2026-03-28</t>
        </is>
      </c>
      <c r="D37" s="139" t="inlineStr">
        <is>
          <t xml:space="preserve">Tiong Hoe Specialty </t>
        </is>
      </c>
      <c r="E37" s="139" t="inlineStr">
        <is>
          <t>Brazil Mogiana</t>
        </is>
      </c>
      <c r="F37" s="139" t="inlineStr">
        <is>
          <t>Brazil</t>
        </is>
      </c>
      <c r="G37" s="139" t="inlineStr">
        <is>
          <t>Natural</t>
        </is>
      </c>
      <c r="H37" s="140" t="inlineStr">
        <is>
          <t>Medium</t>
        </is>
      </c>
      <c r="I37" s="140" t="inlineStr">
        <is>
          <t>$8.00</t>
        </is>
      </c>
      <c r="J37" s="140" t="inlineStr"/>
    </row>
    <row r="38" ht="13" customHeight="1">
      <c r="B38" s="144" t="n">
        <v>16</v>
      </c>
      <c r="C38" s="143" t="inlineStr">
        <is>
          <t>2026-03-28</t>
        </is>
      </c>
      <c r="D38" s="143" t="inlineStr">
        <is>
          <t xml:space="preserve">Tiong Hoe Specialty </t>
        </is>
      </c>
      <c r="E38" s="143" t="inlineStr">
        <is>
          <t>Smoky Quartz Blend</t>
        </is>
      </c>
      <c r="F38" s="143" t="inlineStr">
        <is>
          <t>Brazil</t>
        </is>
      </c>
      <c r="G38" s="143" t="inlineStr">
        <is>
          <t>Unknown</t>
        </is>
      </c>
      <c r="H38" s="144" t="inlineStr">
        <is>
          <t>Unknown</t>
        </is>
      </c>
      <c r="I38" s="144" t="inlineStr">
        <is>
          <t>$5.10</t>
        </is>
      </c>
      <c r="J38" s="144" t="inlineStr"/>
    </row>
    <row r="39" ht="13" customHeight="1">
      <c r="B39" s="137" t="n">
        <v>17</v>
      </c>
      <c r="C39" s="138" t="inlineStr">
        <is>
          <t>2026-03-29</t>
        </is>
      </c>
      <c r="D39" s="158" t="inlineStr">
        <is>
          <t>Asylum Coffeehouse</t>
        </is>
      </c>
      <c r="E39" s="138" t="inlineStr">
        <is>
          <t>Peru Cajamarca Gesha (</t>
        </is>
      </c>
      <c r="F39" s="138" t="inlineStr">
        <is>
          <t>Peru</t>
        </is>
      </c>
      <c r="G39" s="138" t="inlineStr">
        <is>
          <t>Washed</t>
        </is>
      </c>
      <c r="H39" s="137" t="inlineStr">
        <is>
          <t>Medium</t>
        </is>
      </c>
      <c r="I39" s="137" t="inlineStr">
        <is>
          <t>$11.00</t>
        </is>
      </c>
      <c r="J39" s="137" t="inlineStr">
        <is>
          <t>⭐</t>
        </is>
      </c>
    </row>
    <row r="40" ht="12" customHeight="1">
      <c r="B40" s="180" t="inlineStr">
        <is>
          <t xml:space="preserve">  ── 2026-04 ──</t>
        </is>
      </c>
    </row>
    <row r="41" ht="13" customHeight="1">
      <c r="B41" s="144" t="n">
        <v>18</v>
      </c>
      <c r="C41" s="143" t="inlineStr">
        <is>
          <t>2026-04-01</t>
        </is>
      </c>
      <c r="D41" s="143" t="inlineStr">
        <is>
          <t>Maxi Coffee Bar</t>
        </is>
      </c>
      <c r="E41" s="143" t="inlineStr">
        <is>
          <t>La Laja</t>
        </is>
      </c>
      <c r="F41" s="143" t="inlineStr">
        <is>
          <t>Colombia</t>
        </is>
      </c>
      <c r="G41" s="143" t="inlineStr">
        <is>
          <t>Washed</t>
        </is>
      </c>
      <c r="H41" s="144" t="inlineStr">
        <is>
          <t>Light</t>
        </is>
      </c>
      <c r="I41" s="144" t="inlineStr">
        <is>
          <t>$9.00</t>
        </is>
      </c>
      <c r="J41" s="144" t="inlineStr"/>
    </row>
    <row r="42" ht="13" customHeight="1">
      <c r="B42" s="137" t="n">
        <v>19</v>
      </c>
      <c r="C42" s="138" t="inlineStr">
        <is>
          <t>2026-04-01</t>
        </is>
      </c>
      <c r="D42" s="158" t="inlineStr">
        <is>
          <t>Lume Café</t>
        </is>
      </c>
      <c r="E42" s="138" t="inlineStr">
        <is>
          <t>Corpachi Panama Geisha</t>
        </is>
      </c>
      <c r="F42" s="138" t="inlineStr">
        <is>
          <t>Boquerón</t>
        </is>
      </c>
      <c r="G42" s="138" t="inlineStr">
        <is>
          <t>Honey</t>
        </is>
      </c>
      <c r="H42" s="137" t="inlineStr">
        <is>
          <t>Filter</t>
        </is>
      </c>
      <c r="I42" s="137" t="inlineStr">
        <is>
          <t>$12.00</t>
        </is>
      </c>
      <c r="J42" s="137" t="inlineStr">
        <is>
          <t>⭐</t>
        </is>
      </c>
    </row>
    <row r="43" ht="13" customHeight="1">
      <c r="B43" s="144" t="n">
        <v>20</v>
      </c>
      <c r="C43" s="143" t="inlineStr">
        <is>
          <t>2026-04-05</t>
        </is>
      </c>
      <c r="D43" s="143" t="inlineStr">
        <is>
          <t>Asylum Coffeehouse</t>
        </is>
      </c>
      <c r="E43" s="143" t="inlineStr">
        <is>
          <t>Castillo Watermelon (J</t>
        </is>
      </c>
      <c r="F43" s="143" t="inlineStr">
        <is>
          <t>Colombia</t>
        </is>
      </c>
      <c r="G43" s="143" t="inlineStr">
        <is>
          <t>Experimental Ferment</t>
        </is>
      </c>
      <c r="H43" s="144" t="inlineStr">
        <is>
          <t>Unknown</t>
        </is>
      </c>
      <c r="I43" s="144" t="inlineStr">
        <is>
          <t>$12.50</t>
        </is>
      </c>
      <c r="J43" s="144" t="inlineStr"/>
    </row>
    <row r="44" ht="13" customHeight="1">
      <c r="B44" s="137" t="n">
        <v>21</v>
      </c>
      <c r="C44" s="138" t="inlineStr">
        <is>
          <t>2026-04-05</t>
        </is>
      </c>
      <c r="D44" s="158" t="inlineStr">
        <is>
          <t>Asylum Coffeehouse</t>
        </is>
      </c>
      <c r="E44" s="138" t="inlineStr">
        <is>
          <t>Peru Gesha (Wilder Gar</t>
        </is>
      </c>
      <c r="F44" s="138" t="inlineStr">
        <is>
          <t>Peru</t>
        </is>
      </c>
      <c r="G44" s="138" t="inlineStr">
        <is>
          <t>Washed</t>
        </is>
      </c>
      <c r="H44" s="137" t="inlineStr">
        <is>
          <t>Filter</t>
        </is>
      </c>
      <c r="I44" s="137" t="inlineStr">
        <is>
          <t>$12.50</t>
        </is>
      </c>
      <c r="J44" s="137" t="inlineStr">
        <is>
          <t>⭐</t>
        </is>
      </c>
    </row>
    <row r="45" ht="13" customHeight="1">
      <c r="B45" s="144" t="n">
        <v>22</v>
      </c>
      <c r="C45" s="143" t="inlineStr">
        <is>
          <t>2026-04-08</t>
        </is>
      </c>
      <c r="D45" s="143" t="inlineStr">
        <is>
          <t>Maxi Coffee Bar</t>
        </is>
      </c>
      <c r="E45" s="143" t="inlineStr">
        <is>
          <t>La Villa #1</t>
        </is>
      </c>
      <c r="F45" s="143" t="inlineStr">
        <is>
          <t>Colombia</t>
        </is>
      </c>
      <c r="G45" s="143" t="inlineStr">
        <is>
          <t>Natural</t>
        </is>
      </c>
      <c r="H45" s="144" t="inlineStr">
        <is>
          <t>Unknown</t>
        </is>
      </c>
      <c r="I45" s="144" t="inlineStr">
        <is>
          <t>$9.00</t>
        </is>
      </c>
      <c r="J45" s="144" t="inlineStr"/>
    </row>
    <row r="46" ht="13" customHeight="1">
      <c r="B46" s="140" t="n">
        <v>23</v>
      </c>
      <c r="C46" s="139" t="inlineStr">
        <is>
          <t>2026-04-18</t>
        </is>
      </c>
      <c r="D46" s="139" t="inlineStr">
        <is>
          <t>Unknown</t>
        </is>
      </c>
      <c r="E46" s="139" t="inlineStr">
        <is>
          <t>Hacienda La Florida</t>
        </is>
      </c>
      <c r="F46" s="139" t="inlineStr">
        <is>
          <t>Unknown</t>
        </is>
      </c>
      <c r="G46" s="139" t="inlineStr">
        <is>
          <t>Anaerobic Washed</t>
        </is>
      </c>
      <c r="H46" s="140" t="inlineStr">
        <is>
          <t>Unknown</t>
        </is>
      </c>
      <c r="I46" s="140" t="inlineStr">
        <is>
          <t>$11.08</t>
        </is>
      </c>
      <c r="J46" s="140" t="inlineStr"/>
    </row>
    <row r="47" ht="13" customHeight="1">
      <c r="B47" s="144" t="n">
        <v>24</v>
      </c>
      <c r="C47" s="143" t="inlineStr">
        <is>
          <t>2026-04-24</t>
        </is>
      </c>
      <c r="D47" s="143" t="inlineStr">
        <is>
          <t>Agora Coffee</t>
        </is>
      </c>
      <c r="E47" s="143" t="inlineStr">
        <is>
          <t>Brazil Santuário Sul</t>
        </is>
      </c>
      <c r="F47" s="143" t="inlineStr">
        <is>
          <t>Brazil</t>
        </is>
      </c>
      <c r="G47" s="143" t="inlineStr">
        <is>
          <t>Natural</t>
        </is>
      </c>
      <c r="H47" s="144" t="inlineStr">
        <is>
          <t>Light</t>
        </is>
      </c>
      <c r="I47" s="144" t="inlineStr">
        <is>
          <t>—</t>
        </is>
      </c>
      <c r="J47" s="144" t="inlineStr"/>
    </row>
    <row r="48" ht="12" customHeight="1">
      <c r="B48" s="180" t="inlineStr">
        <is>
          <t xml:space="preserve">  ── 2026-05 ──</t>
        </is>
      </c>
    </row>
    <row r="49" ht="13" customHeight="1">
      <c r="B49" s="140" t="n">
        <v>25</v>
      </c>
      <c r="C49" s="139" t="inlineStr">
        <is>
          <t>2026-05-06</t>
        </is>
      </c>
      <c r="D49" s="139" t="inlineStr">
        <is>
          <t>Nylon Coffee Roaster</t>
        </is>
      </c>
      <c r="E49" s="139" t="inlineStr">
        <is>
          <t>Brazil FAF Organic</t>
        </is>
      </c>
      <c r="F49" s="139" t="inlineStr">
        <is>
          <t>Brazil</t>
        </is>
      </c>
      <c r="G49" s="139" t="inlineStr">
        <is>
          <t>Natural</t>
        </is>
      </c>
      <c r="H49" s="140" t="inlineStr">
        <is>
          <t>Filter</t>
        </is>
      </c>
      <c r="I49" s="140" t="inlineStr">
        <is>
          <t>$7.50</t>
        </is>
      </c>
      <c r="J49" s="140" t="inlineStr"/>
    </row>
    <row r="50" ht="13" customHeight="1">
      <c r="B50" s="144" t="n">
        <v>26</v>
      </c>
      <c r="C50" s="143" t="inlineStr">
        <is>
          <t>2026-05-06</t>
        </is>
      </c>
      <c r="D50" s="143" t="inlineStr">
        <is>
          <t>Nylon Coffee Roaster</t>
        </is>
      </c>
      <c r="E50" s="143" t="inlineStr">
        <is>
          <t>Brazil Serra dos Cigan</t>
        </is>
      </c>
      <c r="F50" s="143" t="inlineStr">
        <is>
          <t>Brazil</t>
        </is>
      </c>
      <c r="G50" s="143" t="inlineStr">
        <is>
          <t>Natural</t>
        </is>
      </c>
      <c r="H50" s="144" t="inlineStr">
        <is>
          <t>Espresso</t>
        </is>
      </c>
      <c r="I50" s="144" t="inlineStr">
        <is>
          <t>—</t>
        </is>
      </c>
      <c r="J50" s="144" t="inlineStr"/>
    </row>
    <row r="51" ht="13" customHeight="1">
      <c r="B51" s="140" t="n">
        <v>27</v>
      </c>
      <c r="C51" s="139" t="inlineStr">
        <is>
          <t>2026-05-07</t>
        </is>
      </c>
      <c r="D51" s="139" t="inlineStr">
        <is>
          <t>Nylon Coffee Roaster</t>
        </is>
      </c>
      <c r="E51" s="139" t="inlineStr">
        <is>
          <t>Nicaragua Buena Vista</t>
        </is>
      </c>
      <c r="F51" s="139" t="inlineStr">
        <is>
          <t>Nicaragua</t>
        </is>
      </c>
      <c r="G51" s="139" t="inlineStr">
        <is>
          <t>Anaerobic Natural</t>
        </is>
      </c>
      <c r="H51" s="140" t="inlineStr">
        <is>
          <t>Espresso</t>
        </is>
      </c>
      <c r="I51" s="140" t="inlineStr">
        <is>
          <t>—</t>
        </is>
      </c>
      <c r="J51" s="140" t="inlineStr"/>
    </row>
    <row r="52" ht="13" customHeight="1">
      <c r="B52" s="144" t="n">
        <v>28</v>
      </c>
      <c r="C52" s="143" t="inlineStr">
        <is>
          <t>2026-05-07</t>
        </is>
      </c>
      <c r="D52" s="143" t="inlineStr">
        <is>
          <t>Nylon Coffee Roaster</t>
        </is>
      </c>
      <c r="E52" s="143" t="inlineStr">
        <is>
          <t>Ethiopia Banko Gotiti</t>
        </is>
      </c>
      <c r="F52" s="143" t="inlineStr">
        <is>
          <t>Ethiopia</t>
        </is>
      </c>
      <c r="G52" s="143" t="inlineStr">
        <is>
          <t>Washed</t>
        </is>
      </c>
      <c r="H52" s="144" t="inlineStr">
        <is>
          <t>Filter</t>
        </is>
      </c>
      <c r="I52" s="144" t="inlineStr">
        <is>
          <t>$8.50</t>
        </is>
      </c>
      <c r="J52" s="144" t="inlineStr"/>
    </row>
    <row r="53" ht="13" customHeight="1">
      <c r="B53" s="140" t="n">
        <v>29</v>
      </c>
      <c r="C53" s="139" t="inlineStr">
        <is>
          <t>2026-05-08</t>
        </is>
      </c>
      <c r="D53" s="139" t="inlineStr">
        <is>
          <t>Alchemist (Raffles P</t>
        </is>
      </c>
      <c r="E53" s="139" t="inlineStr">
        <is>
          <t>El Morito</t>
        </is>
      </c>
      <c r="F53" s="139" t="inlineStr">
        <is>
          <t>Colombia</t>
        </is>
      </c>
      <c r="G53" s="139" t="inlineStr">
        <is>
          <t>Washed</t>
        </is>
      </c>
      <c r="H53" s="140" t="inlineStr">
        <is>
          <t>Filter</t>
        </is>
      </c>
      <c r="I53" s="140" t="inlineStr">
        <is>
          <t>—</t>
        </is>
      </c>
      <c r="J53" s="140" t="inlineStr"/>
    </row>
    <row r="54" ht="13" customHeight="1">
      <c r="B54" s="144" t="n">
        <v>30</v>
      </c>
      <c r="C54" s="143" t="inlineStr">
        <is>
          <t>2026-05-12</t>
        </is>
      </c>
      <c r="D54" s="143" t="inlineStr">
        <is>
          <t>Kurasu</t>
        </is>
      </c>
      <c r="E54" s="143" t="inlineStr">
        <is>
          <t>Indonesia Frinsa Estat</t>
        </is>
      </c>
      <c r="F54" s="143" t="inlineStr">
        <is>
          <t>Indonesia</t>
        </is>
      </c>
      <c r="G54" s="143" t="inlineStr">
        <is>
          <t>Honey</t>
        </is>
      </c>
      <c r="H54" s="144" t="inlineStr">
        <is>
          <t>Light</t>
        </is>
      </c>
      <c r="I54" s="144" t="inlineStr">
        <is>
          <t>$9.50</t>
        </is>
      </c>
      <c r="J54" s="144" t="inlineStr"/>
    </row>
    <row r="55" ht="13" customHeight="1">
      <c r="B55" s="140" t="n">
        <v>31</v>
      </c>
      <c r="C55" s="139" t="inlineStr">
        <is>
          <t>2026-05-13</t>
        </is>
      </c>
      <c r="D55" s="139" t="inlineStr">
        <is>
          <t>The Community Coffee</t>
        </is>
      </c>
      <c r="E55" s="139" t="inlineStr">
        <is>
          <t>Jose Mancia Honduras</t>
        </is>
      </c>
      <c r="F55" s="139" t="inlineStr">
        <is>
          <t>Honduras</t>
        </is>
      </c>
      <c r="G55" s="139" t="inlineStr">
        <is>
          <t>Natural</t>
        </is>
      </c>
      <c r="H55" s="140" t="inlineStr">
        <is>
          <t>Filter</t>
        </is>
      </c>
      <c r="I55" s="140" t="inlineStr">
        <is>
          <t>$9.00</t>
        </is>
      </c>
      <c r="J55" s="140" t="inlineStr"/>
    </row>
    <row r="56" ht="13" customHeight="1">
      <c r="B56" s="144" t="n">
        <v>32</v>
      </c>
      <c r="C56" s="143" t="inlineStr">
        <is>
          <t>2026-05-15</t>
        </is>
      </c>
      <c r="D56" s="143" t="inlineStr">
        <is>
          <t>Alchemist (Ocean Fin</t>
        </is>
      </c>
      <c r="E56" s="143" t="inlineStr">
        <is>
          <t>Ijen Laurina</t>
        </is>
      </c>
      <c r="F56" s="143" t="inlineStr">
        <is>
          <t>Indonesia</t>
        </is>
      </c>
      <c r="G56" s="143" t="inlineStr">
        <is>
          <t>Anaerobic Natural</t>
        </is>
      </c>
      <c r="H56" s="144" t="inlineStr">
        <is>
          <t>Light</t>
        </is>
      </c>
      <c r="I56" s="144" t="inlineStr">
        <is>
          <t>$8.50</t>
        </is>
      </c>
      <c r="J56" s="144" t="inlineStr"/>
    </row>
    <row r="57" ht="13" customHeight="1">
      <c r="B57" s="137" t="n">
        <v>33</v>
      </c>
      <c r="C57" s="138" t="inlineStr">
        <is>
          <t>2026-05-16</t>
        </is>
      </c>
      <c r="D57" s="158" t="inlineStr">
        <is>
          <t>FLUID</t>
        </is>
      </c>
      <c r="E57" s="138" t="inlineStr">
        <is>
          <t>El Obraje</t>
        </is>
      </c>
      <c r="F57" s="138" t="inlineStr">
        <is>
          <t>Colombia</t>
        </is>
      </c>
      <c r="G57" s="138" t="inlineStr">
        <is>
          <t>Washed</t>
        </is>
      </c>
      <c r="H57" s="137" t="inlineStr">
        <is>
          <t>Light</t>
        </is>
      </c>
      <c r="I57" s="137" t="inlineStr">
        <is>
          <t>$14.00</t>
        </is>
      </c>
      <c r="J57" s="137" t="inlineStr">
        <is>
          <t>⭐</t>
        </is>
      </c>
    </row>
    <row r="58" ht="13" customHeight="1">
      <c r="B58" s="137" t="n">
        <v>34</v>
      </c>
      <c r="C58" s="138" t="inlineStr">
        <is>
          <t>2026-05-19</t>
        </is>
      </c>
      <c r="D58" s="158" t="inlineStr">
        <is>
          <t>Pocket by Flip (Flip</t>
        </is>
      </c>
      <c r="E58" s="138" t="inlineStr">
        <is>
          <t>Ecuador La Papaya</t>
        </is>
      </c>
      <c r="F58" s="138" t="inlineStr">
        <is>
          <t>Ecuador</t>
        </is>
      </c>
      <c r="G58" s="138" t="inlineStr">
        <is>
          <t>Washed</t>
        </is>
      </c>
      <c r="H58" s="137" t="inlineStr">
        <is>
          <t>Light</t>
        </is>
      </c>
      <c r="I58" s="137" t="inlineStr">
        <is>
          <t>$18.00</t>
        </is>
      </c>
      <c r="J58" s="137" t="inlineStr">
        <is>
          <t>⭐</t>
        </is>
      </c>
    </row>
    <row r="59" ht="13" customHeight="1">
      <c r="B59" s="140" t="n">
        <v>35</v>
      </c>
      <c r="C59" s="139" t="inlineStr">
        <is>
          <t>2026-05-26</t>
        </is>
      </c>
      <c r="D59" s="139" t="inlineStr">
        <is>
          <t>Zerah Roasters</t>
        </is>
      </c>
      <c r="E59" s="139" t="inlineStr">
        <is>
          <t>El Diviso — Caturra Ch</t>
        </is>
      </c>
      <c r="F59" s="139" t="inlineStr">
        <is>
          <t>Colombia</t>
        </is>
      </c>
      <c r="G59" s="139" t="inlineStr">
        <is>
          <t>Anaerobic Natural</t>
        </is>
      </c>
      <c r="H59" s="140" t="inlineStr">
        <is>
          <t>Filter</t>
        </is>
      </c>
      <c r="I59" s="140" t="inlineStr">
        <is>
          <t>$12.00</t>
        </is>
      </c>
      <c r="J59" s="140" t="inlineStr"/>
    </row>
    <row r="60" ht="12" customHeight="1">
      <c r="B60" s="180" t="inlineStr">
        <is>
          <t xml:space="preserve">  ── 2026-06 ──</t>
        </is>
      </c>
    </row>
    <row r="61" ht="13" customHeight="1">
      <c r="B61" s="144" t="n">
        <v>36</v>
      </c>
      <c r="C61" s="143" t="inlineStr">
        <is>
          <t>2026-06-10</t>
        </is>
      </c>
      <c r="D61" s="143" t="inlineStr">
        <is>
          <t>Nylon Coffee Roaster</t>
        </is>
      </c>
      <c r="E61" s="143" t="inlineStr">
        <is>
          <t>Colombia Juan Martin</t>
        </is>
      </c>
      <c r="F61" s="143" t="inlineStr">
        <is>
          <t>Colombia</t>
        </is>
      </c>
      <c r="G61" s="143" t="inlineStr">
        <is>
          <t>Washed</t>
        </is>
      </c>
      <c r="H61" s="144" t="inlineStr">
        <is>
          <t>Filter</t>
        </is>
      </c>
      <c r="I61" s="144" t="inlineStr">
        <is>
          <t>$7.50</t>
        </is>
      </c>
      <c r="J61" s="144" t="inlineStr"/>
    </row>
    <row r="62" ht="13" customHeight="1">
      <c r="B62" s="140" t="n">
        <v>37</v>
      </c>
      <c r="C62" s="139" t="inlineStr">
        <is>
          <t>2026-06-13</t>
        </is>
      </c>
      <c r="D62" s="139" t="inlineStr">
        <is>
          <t>Kurasu</t>
        </is>
      </c>
      <c r="E62" s="139" t="inlineStr">
        <is>
          <t>Rwanda Nkara Soil Proj</t>
        </is>
      </c>
      <c r="F62" s="139" t="inlineStr">
        <is>
          <t>Rwanda</t>
        </is>
      </c>
      <c r="G62" s="139" t="inlineStr">
        <is>
          <t>Washed</t>
        </is>
      </c>
      <c r="H62" s="140" t="inlineStr">
        <is>
          <t>Filter</t>
        </is>
      </c>
      <c r="I62" s="140" t="inlineStr">
        <is>
          <t>$9.27</t>
        </is>
      </c>
      <c r="J62" s="140" t="inlineStr"/>
    </row>
    <row r="63" ht="13" customHeight="1">
      <c r="B63" s="137" t="n">
        <v>38</v>
      </c>
      <c r="C63" s="138" t="inlineStr">
        <is>
          <t>2026-06-14</t>
        </is>
      </c>
      <c r="D63" s="158" t="inlineStr">
        <is>
          <t>Keryi Coffee</t>
        </is>
      </c>
      <c r="E63" s="138" t="inlineStr">
        <is>
          <t>Colombia Finca La Esma</t>
        </is>
      </c>
      <c r="F63" s="138" t="inlineStr">
        <is>
          <t>Colombia</t>
        </is>
      </c>
      <c r="G63" s="138" t="inlineStr">
        <is>
          <t>Honey</t>
        </is>
      </c>
      <c r="H63" s="137" t="inlineStr">
        <is>
          <t>Light</t>
        </is>
      </c>
      <c r="I63" s="137" t="inlineStr">
        <is>
          <t>$15.00</t>
        </is>
      </c>
      <c r="J63" s="137" t="inlineStr">
        <is>
          <t>⭐</t>
        </is>
      </c>
    </row>
    <row r="64" ht="13" customHeight="1">
      <c r="B64" s="140" t="n">
        <v>39</v>
      </c>
      <c r="C64" s="139" t="inlineStr">
        <is>
          <t>2026-06-19</t>
        </is>
      </c>
      <c r="D64" s="139" t="inlineStr">
        <is>
          <t>Corner Corner</t>
        </is>
      </c>
      <c r="E64" s="139" t="inlineStr">
        <is>
          <t>Malaysia My Liberica</t>
        </is>
      </c>
      <c r="F64" s="139" t="inlineStr">
        <is>
          <t>Malaysia</t>
        </is>
      </c>
      <c r="G64" s="139" t="inlineStr">
        <is>
          <t>Natural</t>
        </is>
      </c>
      <c r="H64" s="140" t="inlineStr">
        <is>
          <t>Light</t>
        </is>
      </c>
      <c r="I64" s="140" t="inlineStr">
        <is>
          <t>$13.00</t>
        </is>
      </c>
      <c r="J64" s="140" t="inlineStr"/>
    </row>
    <row r="65" ht="13" customHeight="1">
      <c r="B65" s="137" t="n">
        <v>40</v>
      </c>
      <c r="C65" s="138" t="inlineStr">
        <is>
          <t>2026-06-19</t>
        </is>
      </c>
      <c r="D65" s="158" t="inlineStr">
        <is>
          <t>Equate</t>
        </is>
      </c>
      <c r="E65" s="138" t="inlineStr">
        <is>
          <t>Colombia Huila La Prad</t>
        </is>
      </c>
      <c r="F65" s="138" t="inlineStr">
        <is>
          <t>Colombia</t>
        </is>
      </c>
      <c r="G65" s="138" t="inlineStr">
        <is>
          <t>Washed</t>
        </is>
      </c>
      <c r="H65" s="137" t="inlineStr">
        <is>
          <t>Unknown</t>
        </is>
      </c>
      <c r="I65" s="137" t="inlineStr">
        <is>
          <t>$13.00</t>
        </is>
      </c>
      <c r="J65" s="137" t="inlineStr">
        <is>
          <t>⭐</t>
        </is>
      </c>
    </row>
    <row r="66" ht="13" customHeight="1">
      <c r="B66" s="140" t="n">
        <v>41</v>
      </c>
      <c r="C66" s="139" t="inlineStr">
        <is>
          <t>2026-06-21</t>
        </is>
      </c>
      <c r="D66" s="139" t="inlineStr">
        <is>
          <t>Apartment (Jalan Ria</t>
        </is>
      </c>
      <c r="E66" s="139" t="inlineStr">
        <is>
          <t>Colombia Javier Quinte</t>
        </is>
      </c>
      <c r="F66" s="139" t="inlineStr">
        <is>
          <t>Colombia</t>
        </is>
      </c>
      <c r="G66" s="139" t="inlineStr">
        <is>
          <t>Washed</t>
        </is>
      </c>
      <c r="H66" s="140" t="inlineStr">
        <is>
          <t>Light</t>
        </is>
      </c>
      <c r="I66" s="140" t="inlineStr">
        <is>
          <t>$9.50</t>
        </is>
      </c>
      <c r="J66" s="140" t="inlineStr"/>
    </row>
    <row r="67" ht="13" customHeight="1">
      <c r="B67" s="144" t="n">
        <v>42</v>
      </c>
      <c r="C67" s="143" t="inlineStr">
        <is>
          <t>2026-06-25</t>
        </is>
      </c>
      <c r="D67" s="143" t="inlineStr">
        <is>
          <t>PPP Coffee (Funan)</t>
        </is>
      </c>
      <c r="E67" s="143" t="inlineStr">
        <is>
          <t>Ethiopia Suke Quto</t>
        </is>
      </c>
      <c r="F67" s="143" t="inlineStr">
        <is>
          <t>Ethiopia</t>
        </is>
      </c>
      <c r="G67" s="143" t="inlineStr">
        <is>
          <t>Washed</t>
        </is>
      </c>
      <c r="H67" s="144" t="inlineStr">
        <is>
          <t>Light</t>
        </is>
      </c>
      <c r="I67" s="144" t="inlineStr">
        <is>
          <t>$9.00</t>
        </is>
      </c>
      <c r="J67" s="144" t="inlineStr"/>
    </row>
    <row r="68" ht="13" customHeight="1">
      <c r="B68" s="140" t="n">
        <v>43</v>
      </c>
      <c r="C68" s="139" t="inlineStr">
        <is>
          <t>2026-06-27</t>
        </is>
      </c>
      <c r="D68" s="139" t="inlineStr">
        <is>
          <t>Apartment (Jalan Ria</t>
        </is>
      </c>
      <c r="E68" s="139" t="inlineStr">
        <is>
          <t>China Yunnan Meng Hai</t>
        </is>
      </c>
      <c r="F68" s="139" t="inlineStr">
        <is>
          <t>China</t>
        </is>
      </c>
      <c r="G68" s="139" t="inlineStr">
        <is>
          <t>Washed</t>
        </is>
      </c>
      <c r="H68" s="140" t="inlineStr">
        <is>
          <t>Light</t>
        </is>
      </c>
      <c r="I68" s="140" t="inlineStr">
        <is>
          <t>$9.50</t>
        </is>
      </c>
      <c r="J68" s="140" t="inlineStr"/>
    </row>
    <row r="69" ht="13" customHeight="1">
      <c r="B69" s="144" t="n">
        <v>44</v>
      </c>
      <c r="C69" s="143" t="inlineStr">
        <is>
          <t>2026-06-28</t>
        </is>
      </c>
      <c r="D69" s="143" t="inlineStr">
        <is>
          <t>Keryi Coffee</t>
        </is>
      </c>
      <c r="E69" s="143" t="inlineStr">
        <is>
          <t>Ethiopia Urabeast G1</t>
        </is>
      </c>
      <c r="F69" s="143" t="inlineStr">
        <is>
          <t>Ethiopia</t>
        </is>
      </c>
      <c r="G69" s="143" t="inlineStr">
        <is>
          <t>Experimental Ferment</t>
        </is>
      </c>
      <c r="H69" s="144" t="inlineStr">
        <is>
          <t>Filter</t>
        </is>
      </c>
      <c r="I69" s="144" t="inlineStr">
        <is>
          <t>$13.00</t>
        </is>
      </c>
      <c r="J69" s="144" t="inlineStr"/>
    </row>
    <row r="70" ht="13" customHeight="1">
      <c r="B70" s="140" t="n">
        <v>45</v>
      </c>
      <c r="C70" s="139" t="inlineStr">
        <is>
          <t>2026-06-28</t>
        </is>
      </c>
      <c r="D70" s="139" t="inlineStr">
        <is>
          <t>Asylum Coffeehouse</t>
        </is>
      </c>
      <c r="E70" s="139" t="inlineStr">
        <is>
          <t>Yellow Sudan Rume</t>
        </is>
      </c>
      <c r="F70" s="139" t="inlineStr">
        <is>
          <t>Colombia</t>
        </is>
      </c>
      <c r="G70" s="139" t="inlineStr">
        <is>
          <t>Natural</t>
        </is>
      </c>
      <c r="H70" s="140" t="inlineStr">
        <is>
          <t>Filter</t>
        </is>
      </c>
      <c r="I70" s="140" t="inlineStr">
        <is>
          <t>$14.00</t>
        </is>
      </c>
      <c r="J70" s="140" t="inlineStr"/>
    </row>
    <row r="71" ht="13" customHeight="1">
      <c r="B71" s="144" t="n">
        <v>46</v>
      </c>
      <c r="C71" s="143" t="inlineStr">
        <is>
          <t>2026-06-30</t>
        </is>
      </c>
      <c r="D71" s="143" t="inlineStr">
        <is>
          <t>2050 Coffee</t>
        </is>
      </c>
      <c r="E71" s="143" t="inlineStr">
        <is>
          <t>Myanmar Arakan Mountai</t>
        </is>
      </c>
      <c r="F71" s="143" t="inlineStr">
        <is>
          <t>Myanmar</t>
        </is>
      </c>
      <c r="G71" s="143" t="inlineStr">
        <is>
          <t>Honey</t>
        </is>
      </c>
      <c r="H71" s="144" t="inlineStr">
        <is>
          <t>Light</t>
        </is>
      </c>
      <c r="I71" s="144" t="inlineStr">
        <is>
          <t>$6.00</t>
        </is>
      </c>
      <c r="J71" s="144" t="inlineStr"/>
    </row>
    <row r="72" ht="12" customHeight="1">
      <c r="B72" s="180" t="inlineStr">
        <is>
          <t xml:space="preserve">  ── 2026-07 ──</t>
        </is>
      </c>
    </row>
    <row r="73" ht="13" customHeight="1">
      <c r="B73" s="140" t="n">
        <v>47</v>
      </c>
      <c r="C73" s="139" t="inlineStr">
        <is>
          <t>2026-07-01</t>
        </is>
      </c>
      <c r="D73" s="139" t="inlineStr">
        <is>
          <t>Kyuukei Coffee</t>
        </is>
      </c>
      <c r="E73" s="139" t="inlineStr">
        <is>
          <t>Ethiopia Worka Chelche</t>
        </is>
      </c>
      <c r="F73" s="139" t="inlineStr">
        <is>
          <t>Ethiopia</t>
        </is>
      </c>
      <c r="G73" s="139" t="inlineStr">
        <is>
          <t>Washed</t>
        </is>
      </c>
      <c r="H73" s="140" t="inlineStr">
        <is>
          <t>Light</t>
        </is>
      </c>
      <c r="I73" s="140" t="inlineStr">
        <is>
          <t>$9.00</t>
        </is>
      </c>
      <c r="J73" s="140" t="inlineStr"/>
    </row>
    <row r="74" ht="13" customHeight="1">
      <c r="B74" s="144" t="n">
        <v>48</v>
      </c>
      <c r="C74" s="143" t="inlineStr">
        <is>
          <t>2026-07-03</t>
        </is>
      </c>
      <c r="D74" s="143" t="inlineStr">
        <is>
          <t>Zerah Roasters</t>
        </is>
      </c>
      <c r="E74" s="143" t="inlineStr">
        <is>
          <t>Finca Villarazo — Pink</t>
        </is>
      </c>
      <c r="F74" s="143" t="inlineStr">
        <is>
          <t>Colombia</t>
        </is>
      </c>
      <c r="G74" s="143" t="inlineStr">
        <is>
          <t>Washed</t>
        </is>
      </c>
      <c r="H74" s="144" t="inlineStr">
        <is>
          <t>Filter</t>
        </is>
      </c>
      <c r="I74" s="144" t="inlineStr">
        <is>
          <t>$9.00</t>
        </is>
      </c>
      <c r="J74" s="144" t="inlineStr"/>
    </row>
    <row r="75" ht="13" customHeight="1">
      <c r="B75" s="137" t="n">
        <v>49</v>
      </c>
      <c r="C75" s="138" t="inlineStr">
        <is>
          <t>2026-07-05</t>
        </is>
      </c>
      <c r="D75" s="158" t="inlineStr">
        <is>
          <t>Homeground Coffee Ro</t>
        </is>
      </c>
      <c r="E75" s="138" t="inlineStr">
        <is>
          <t>Colombia Inmaculada Ge</t>
        </is>
      </c>
      <c r="F75" s="138" t="inlineStr">
        <is>
          <t>Colombia</t>
        </is>
      </c>
      <c r="G75" s="138" t="inlineStr">
        <is>
          <t>Natural</t>
        </is>
      </c>
      <c r="H75" s="137" t="inlineStr">
        <is>
          <t>Light</t>
        </is>
      </c>
      <c r="I75" s="137" t="inlineStr">
        <is>
          <t>$19.00</t>
        </is>
      </c>
      <c r="J75" s="137" t="inlineStr">
        <is>
          <t>⭐</t>
        </is>
      </c>
    </row>
    <row r="76" ht="13" customHeight="1">
      <c r="B76" s="144" t="n">
        <v>50</v>
      </c>
      <c r="C76" s="143" t="inlineStr">
        <is>
          <t>2026-07-05</t>
        </is>
      </c>
      <c r="D76" s="143" t="inlineStr">
        <is>
          <t>Homeground Coffee Ro</t>
        </is>
      </c>
      <c r="E76" s="143" t="inlineStr">
        <is>
          <t xml:space="preserve">Bolivia Los Rodriguez </t>
        </is>
      </c>
      <c r="F76" s="143" t="inlineStr">
        <is>
          <t>Bolivia</t>
        </is>
      </c>
      <c r="G76" s="143" t="inlineStr">
        <is>
          <t>Washed</t>
        </is>
      </c>
      <c r="H76" s="144" t="inlineStr">
        <is>
          <t>Light</t>
        </is>
      </c>
      <c r="I76" s="144" t="inlineStr">
        <is>
          <t>$10.00</t>
        </is>
      </c>
      <c r="J76" s="144" t="inlineStr"/>
    </row>
    <row r="77" ht="13" customHeight="1">
      <c r="B77" s="137" t="n">
        <v>51</v>
      </c>
      <c r="C77" s="138" t="inlineStr">
        <is>
          <t>2026-07-05</t>
        </is>
      </c>
      <c r="D77" s="158" t="inlineStr">
        <is>
          <t>Cowpresso Coffee Roa</t>
        </is>
      </c>
      <c r="E77" s="138" t="inlineStr">
        <is>
          <t>Geisha Colombia Las Nu</t>
        </is>
      </c>
      <c r="F77" s="138" t="inlineStr">
        <is>
          <t>Colombia</t>
        </is>
      </c>
      <c r="G77" s="138" t="inlineStr">
        <is>
          <t>Natural</t>
        </is>
      </c>
      <c r="H77" s="137" t="inlineStr">
        <is>
          <t>Medium</t>
        </is>
      </c>
      <c r="I77" s="137" t="inlineStr">
        <is>
          <t>$9.90</t>
        </is>
      </c>
      <c r="J77" s="137" t="inlineStr">
        <is>
          <t>⭐</t>
        </is>
      </c>
    </row>
    <row r="78" ht="13" customHeight="1">
      <c r="B78" s="144" t="n">
        <v>52</v>
      </c>
      <c r="C78" s="143" t="inlineStr">
        <is>
          <t>2026-07-06</t>
        </is>
      </c>
      <c r="D78" s="143" t="inlineStr">
        <is>
          <t>Fluid Collective</t>
        </is>
      </c>
      <c r="E78" s="143" t="inlineStr">
        <is>
          <t>Alo Coffee — Natural A</t>
        </is>
      </c>
      <c r="F78" s="143" t="inlineStr">
        <is>
          <t>Ethiopia</t>
        </is>
      </c>
      <c r="G78" s="143" t="inlineStr">
        <is>
          <t>Anaerobic Natural</t>
        </is>
      </c>
      <c r="H78" s="144" t="inlineStr">
        <is>
          <t>Light</t>
        </is>
      </c>
      <c r="I78" s="144" t="inlineStr">
        <is>
          <t>$11.00</t>
        </is>
      </c>
      <c r="J78" s="144" t="inlineStr"/>
    </row>
    <row r="79" ht="13" customHeight="1">
      <c r="B79" s="140" t="n">
        <v>53</v>
      </c>
      <c r="C79" s="139" t="inlineStr">
        <is>
          <t>2026-07-06</t>
        </is>
      </c>
      <c r="D79" s="139" t="inlineStr">
        <is>
          <t>Fluid Collective</t>
        </is>
      </c>
      <c r="E79" s="139" t="inlineStr">
        <is>
          <t>Gara Agena</t>
        </is>
      </c>
      <c r="F79" s="139" t="inlineStr">
        <is>
          <t>Ethiopia</t>
        </is>
      </c>
      <c r="G79" s="139" t="inlineStr">
        <is>
          <t>Washed</t>
        </is>
      </c>
      <c r="H79" s="140" t="inlineStr">
        <is>
          <t>Light</t>
        </is>
      </c>
      <c r="I79" s="140" t="inlineStr">
        <is>
          <t>$9.00</t>
        </is>
      </c>
      <c r="J79" s="140" t="inlineStr"/>
    </row>
    <row r="80" ht="13" customHeight="1">
      <c r="B80" s="137" t="n">
        <v>54</v>
      </c>
      <c r="C80" s="138" t="inlineStr">
        <is>
          <t>2026-07-07</t>
        </is>
      </c>
      <c r="D80" s="158" t="inlineStr">
        <is>
          <t>Pinhole Coffee Bar</t>
        </is>
      </c>
      <c r="E80" s="138" t="inlineStr">
        <is>
          <t>Santa Barbara #1 — Ges</t>
        </is>
      </c>
      <c r="F80" s="138" t="inlineStr">
        <is>
          <t>Colombia</t>
        </is>
      </c>
      <c r="G80" s="138" t="inlineStr">
        <is>
          <t>Honey</t>
        </is>
      </c>
      <c r="H80" s="137" t="inlineStr">
        <is>
          <t>Light</t>
        </is>
      </c>
      <c r="I80" s="137" t="inlineStr">
        <is>
          <t>$15.00</t>
        </is>
      </c>
      <c r="J80" s="137" t="inlineStr">
        <is>
          <t>⭐</t>
        </is>
      </c>
    </row>
    <row r="200">
      <c r="B200" t="inlineStr">
        <is>
          <t>Month</t>
        </is>
      </c>
      <c r="C200" t="inlineStr">
        <is>
          <t>Entries</t>
        </is>
      </c>
      <c r="D200" t="inlineStr">
        <is>
          <t>Gesha Cups</t>
        </is>
      </c>
    </row>
    <row r="201">
      <c r="B201" t="inlineStr">
        <is>
          <t>2026-01</t>
        </is>
      </c>
      <c r="C201" t="n">
        <v>3</v>
      </c>
      <c r="D201" t="n">
        <v>0</v>
      </c>
    </row>
    <row r="202">
      <c r="B202" t="inlineStr">
        <is>
          <t>2026-02</t>
        </is>
      </c>
      <c r="C202" t="n">
        <v>1</v>
      </c>
      <c r="D202" t="n">
        <v>0</v>
      </c>
    </row>
    <row r="203">
      <c r="B203" t="inlineStr">
        <is>
          <t>2026-03</t>
        </is>
      </c>
      <c r="C203" t="n">
        <v>13</v>
      </c>
      <c r="D203" t="n">
        <v>1</v>
      </c>
    </row>
    <row r="204">
      <c r="B204" t="inlineStr">
        <is>
          <t>2026-04</t>
        </is>
      </c>
      <c r="C204" t="n">
        <v>7</v>
      </c>
      <c r="D204" t="n">
        <v>2</v>
      </c>
    </row>
    <row r="205">
      <c r="B205" t="inlineStr">
        <is>
          <t>2026-05</t>
        </is>
      </c>
      <c r="C205" t="n">
        <v>11</v>
      </c>
      <c r="D205" t="n">
        <v>2</v>
      </c>
    </row>
    <row r="206">
      <c r="B206" t="inlineStr">
        <is>
          <t>2026-06</t>
        </is>
      </c>
      <c r="C206" t="n">
        <v>11</v>
      </c>
      <c r="D206" t="n">
        <v>2</v>
      </c>
    </row>
    <row r="207">
      <c r="B207" t="inlineStr">
        <is>
          <t>2026-07</t>
        </is>
      </c>
      <c r="C207" t="n">
        <v>8</v>
      </c>
      <c r="D207" t="n">
        <v>3</v>
      </c>
    </row>
  </sheetData>
  <mergeCells count="12">
    <mergeCell ref="B4:L4"/>
    <mergeCell ref="B72:J72"/>
    <mergeCell ref="B7:L7"/>
    <mergeCell ref="B60:J60"/>
    <mergeCell ref="B2:L2"/>
    <mergeCell ref="B5:L5"/>
    <mergeCell ref="B19:L19"/>
    <mergeCell ref="B26:J26"/>
    <mergeCell ref="B40:J40"/>
    <mergeCell ref="B48:J48"/>
    <mergeCell ref="B24:J24"/>
    <mergeCell ref="B1:L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B3600"/>
    <outlinePr summaryBelow="1" summaryRight="1"/>
    <pageSetUpPr/>
  </sheetPr>
  <dimension ref="B1:H46"/>
  <sheetViews>
    <sheetView showGridLines="0" workbookViewId="0">
      <selection activeCell="A1" sqref="A1"/>
    </sheetView>
  </sheetViews>
  <sheetFormatPr baseColWidth="8" defaultRowHeight="15"/>
  <cols>
    <col width="2" customWidth="1" min="1" max="1"/>
    <col width="22" customWidth="1" min="2" max="2"/>
    <col width="8" customWidth="1" min="3" max="3"/>
    <col width="14" customWidth="1" min="4" max="4"/>
    <col width="10" customWidth="1" min="5" max="5"/>
    <col width="8" customWidth="1" min="6" max="6"/>
    <col width="16" customWidth="1" min="7" max="7"/>
    <col width="20" customWidth="1" min="8" max="8"/>
    <col width="2" customWidth="1" min="9" max="9"/>
  </cols>
  <sheetData>
    <row r="1" ht="38" customHeight="1">
      <c r="B1" s="116" t="inlineStr">
        <is>
          <t>🏙️  CAFÉ DIRECTORY — 31 VENUES AUDITED</t>
        </is>
      </c>
    </row>
    <row r="2" ht="16" customHeight="1">
      <c r="B2" s="117" t="inlineStr">
        <is>
          <t>Singapore · Ubud Bali · Mumbai · Johor Bahru</t>
        </is>
      </c>
    </row>
    <row r="3" ht="8" customHeight="1"/>
    <row r="4" ht="22" customHeight="1">
      <c r="B4" s="151" t="inlineStr">
        <is>
          <t>📖  THE CITY THESIS</t>
        </is>
      </c>
      <c r="C4" s="193" t="n"/>
      <c r="D4" s="193" t="n"/>
      <c r="E4" s="193" t="n"/>
      <c r="F4" s="193" t="n"/>
      <c r="G4" s="193" t="n"/>
      <c r="H4" s="194" t="n"/>
    </row>
    <row r="5" ht="40" customHeight="1">
      <c r="B5" s="134" t="inlineStr">
        <is>
          <t>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is>
      </c>
      <c r="C5" s="189" t="n"/>
      <c r="D5" s="189" t="n"/>
      <c r="E5" s="189" t="n"/>
      <c r="F5" s="189" t="n"/>
      <c r="G5" s="189" t="n"/>
      <c r="H5" s="190" t="n"/>
    </row>
    <row r="6" ht="6" customHeight="1"/>
    <row r="7" ht="22" customHeight="1">
      <c r="B7" s="145" t="inlineStr">
        <is>
          <t>🌏  BY CITY — COVERAGE OVERVIEW</t>
        </is>
      </c>
      <c r="C7" s="191" t="n"/>
      <c r="D7" s="191" t="n"/>
      <c r="E7" s="191" t="n"/>
      <c r="F7" s="191" t="n"/>
      <c r="G7" s="191" t="n"/>
      <c r="H7" s="192" t="n"/>
    </row>
    <row r="8" ht="16" customHeight="1">
      <c r="B8" s="146" t="inlineStr">
        <is>
          <t>City</t>
        </is>
      </c>
      <c r="C8" s="146" t="inlineStr">
        <is>
          <t>Entries</t>
        </is>
      </c>
      <c r="D8" s="146" t="inlineStr">
        <is>
          <t>Cafés</t>
        </is>
      </c>
      <c r="E8" s="146" t="inlineStr">
        <is>
          <t>%</t>
        </is>
      </c>
      <c r="F8" s="146" t="inlineStr">
        <is>
          <t>Note</t>
        </is>
      </c>
    </row>
    <row r="9" ht="15" customHeight="1">
      <c r="B9" s="160" t="inlineStr">
        <is>
          <t>Singapore</t>
        </is>
      </c>
      <c r="C9" s="150" t="n">
        <v>48</v>
      </c>
      <c r="D9" s="150" t="n">
        <v>27</v>
      </c>
      <c r="E9" s="150" t="inlineStr">
        <is>
          <t>89%</t>
        </is>
      </c>
      <c r="F9" s="149" t="inlineStr">
        <is>
          <t>Primary market — roaster-owned specialty scene</t>
        </is>
      </c>
    </row>
    <row r="10" ht="15" customHeight="1">
      <c r="B10" s="162" t="inlineStr">
        <is>
          <t>Ubud, Bali</t>
        </is>
      </c>
      <c r="C10" s="148" t="n">
        <v>3</v>
      </c>
      <c r="D10" s="148" t="n">
        <v>1</v>
      </c>
      <c r="E10" s="148" t="inlineStr">
        <is>
          <t>6%</t>
        </is>
      </c>
      <c r="F10" s="147" t="inlineStr">
        <is>
          <t>Archive origin city — Seniman Coffee Studio</t>
        </is>
      </c>
    </row>
    <row r="11" ht="15" customHeight="1">
      <c r="B11" s="181" t="inlineStr">
        <is>
          <t>Mumbai</t>
        </is>
      </c>
      <c r="C11" s="144" t="n">
        <v>2</v>
      </c>
      <c r="D11" s="144" t="n">
        <v>2</v>
      </c>
      <c r="E11" s="144" t="inlineStr">
        <is>
          <t>4%</t>
        </is>
      </c>
      <c r="F11" s="143" t="inlineStr">
        <is>
          <t>Subko Coffee · Expanding India chapter</t>
        </is>
      </c>
    </row>
    <row r="12" ht="15" customHeight="1">
      <c r="B12" s="156" t="inlineStr">
        <is>
          <t>Johor Bahru</t>
        </is>
      </c>
      <c r="C12" s="155" t="n">
        <v>1</v>
      </c>
      <c r="D12" s="155" t="n">
        <v>1</v>
      </c>
      <c r="E12" s="155" t="inlineStr">
        <is>
          <t>2%</t>
        </is>
      </c>
      <c r="F12" s="154" t="inlineStr">
        <is>
          <t>Cross-border audit</t>
        </is>
      </c>
    </row>
    <row r="13" ht="6" customHeight="1"/>
    <row r="14" ht="22" customHeight="1">
      <c r="B14" s="132" t="inlineStr">
        <is>
          <t>☕  COMPLETE CAFÉ DIRECTORY</t>
        </is>
      </c>
      <c r="C14" s="187" t="n"/>
      <c r="D14" s="187" t="n"/>
      <c r="E14" s="187" t="n"/>
      <c r="F14" s="187" t="n"/>
      <c r="G14" s="187" t="n"/>
      <c r="H14" s="188" t="n"/>
    </row>
    <row r="15" ht="16" customHeight="1">
      <c r="B15" s="136" t="inlineStr">
        <is>
          <t>Café</t>
        </is>
      </c>
      <c r="C15" s="136" t="inlineStr">
        <is>
          <t>Entries</t>
        </is>
      </c>
      <c r="D15" s="136" t="inlineStr">
        <is>
          <t>City</t>
        </is>
      </c>
      <c r="E15" s="136" t="inlineStr">
        <is>
          <t>Avg SGD</t>
        </is>
      </c>
      <c r="F15" s="136" t="inlineStr">
        <is>
          <t>Gesha?</t>
        </is>
      </c>
      <c r="G15" s="136" t="inlineStr">
        <is>
          <t>Top Process</t>
        </is>
      </c>
      <c r="H15" s="136" t="inlineStr">
        <is>
          <t>Note</t>
        </is>
      </c>
    </row>
    <row r="16" ht="15" customHeight="1">
      <c r="B16" s="160" t="inlineStr">
        <is>
          <t>Nylon Coffee Roasters</t>
        </is>
      </c>
      <c r="C16" s="150" t="n">
        <v>5</v>
      </c>
      <c r="D16" s="149" t="inlineStr">
        <is>
          <t>Singapore</t>
        </is>
      </c>
      <c r="E16" s="150" t="inlineStr">
        <is>
          <t>$7.83</t>
        </is>
      </c>
      <c r="F16" s="150" t="inlineStr">
        <is>
          <t>—</t>
        </is>
      </c>
      <c r="G16" s="149" t="inlineStr">
        <is>
          <t>Natural</t>
        </is>
      </c>
      <c r="H16" s="149" t="inlineStr">
        <is>
          <t>⭐ Reliability anchor</t>
        </is>
      </c>
    </row>
    <row r="17" ht="15" customHeight="1">
      <c r="B17" s="158" t="inlineStr">
        <is>
          <t>Asylum Coffeehouse</t>
        </is>
      </c>
      <c r="C17" s="137" t="n">
        <v>4</v>
      </c>
      <c r="D17" s="138" t="inlineStr">
        <is>
          <t>Singapore</t>
        </is>
      </c>
      <c r="E17" s="137" t="inlineStr">
        <is>
          <t>$12.50</t>
        </is>
      </c>
      <c r="F17" s="159" t="inlineStr">
        <is>
          <t>⭐×2</t>
        </is>
      </c>
      <c r="G17" s="138" t="inlineStr">
        <is>
          <t>Washed</t>
        </is>
      </c>
      <c r="H17" s="138" t="inlineStr">
        <is>
          <t>⭐ 2 Gesha entry</t>
        </is>
      </c>
    </row>
    <row r="18" ht="15" customHeight="1">
      <c r="B18" s="139" t="inlineStr">
        <is>
          <t>Seniman Coffee Studio</t>
        </is>
      </c>
      <c r="C18" s="140" t="n">
        <v>3</v>
      </c>
      <c r="D18" s="139" t="inlineStr">
        <is>
          <t>Ubud</t>
        </is>
      </c>
      <c r="E18" s="140" t="inlineStr">
        <is>
          <t>—</t>
        </is>
      </c>
      <c r="F18" s="140" t="inlineStr">
        <is>
          <t>—</t>
        </is>
      </c>
      <c r="G18" s="139" t="inlineStr">
        <is>
          <t>Natural</t>
        </is>
      </c>
      <c r="H18" s="139" t="inlineStr"/>
    </row>
    <row r="19" ht="15" customHeight="1">
      <c r="B19" s="143" t="inlineStr">
        <is>
          <t>Kyuukei Coffee</t>
        </is>
      </c>
      <c r="C19" s="144" t="n">
        <v>3</v>
      </c>
      <c r="D19" s="143" t="inlineStr">
        <is>
          <t>Singapore</t>
        </is>
      </c>
      <c r="E19" s="144" t="inlineStr">
        <is>
          <t>$8.67</t>
        </is>
      </c>
      <c r="F19" s="144" t="inlineStr">
        <is>
          <t>—</t>
        </is>
      </c>
      <c r="G19" s="143" t="inlineStr">
        <is>
          <t>Washed</t>
        </is>
      </c>
      <c r="H19" s="143" t="inlineStr"/>
    </row>
    <row r="20" ht="15" customHeight="1">
      <c r="B20" s="139" t="inlineStr">
        <is>
          <t>Agora Coffee</t>
        </is>
      </c>
      <c r="C20" s="140" t="n">
        <v>3</v>
      </c>
      <c r="D20" s="139" t="inlineStr">
        <is>
          <t>Singapore</t>
        </is>
      </c>
      <c r="E20" s="140" t="inlineStr">
        <is>
          <t>—</t>
        </is>
      </c>
      <c r="F20" s="140" t="inlineStr">
        <is>
          <t>—</t>
        </is>
      </c>
      <c r="G20" s="139" t="inlineStr">
        <is>
          <t>Natural</t>
        </is>
      </c>
      <c r="H20" s="139" t="inlineStr"/>
    </row>
    <row r="21" ht="15" customHeight="1">
      <c r="B21" s="143" t="inlineStr">
        <is>
          <t>Narrative Coffee Stand</t>
        </is>
      </c>
      <c r="C21" s="144" t="n">
        <v>2</v>
      </c>
      <c r="D21" s="143" t="inlineStr">
        <is>
          <t>Singapore</t>
        </is>
      </c>
      <c r="E21" s="144" t="inlineStr">
        <is>
          <t>—</t>
        </is>
      </c>
      <c r="F21" s="144" t="inlineStr">
        <is>
          <t>—</t>
        </is>
      </c>
      <c r="G21" s="143" t="inlineStr">
        <is>
          <t>Natural</t>
        </is>
      </c>
      <c r="H21" s="143" t="inlineStr"/>
    </row>
    <row r="22" ht="15" customHeight="1">
      <c r="B22" s="139" t="inlineStr">
        <is>
          <t>ASK Coffee Roastery</t>
        </is>
      </c>
      <c r="C22" s="140" t="n">
        <v>2</v>
      </c>
      <c r="D22" s="139" t="inlineStr">
        <is>
          <t>Singapore</t>
        </is>
      </c>
      <c r="E22" s="140" t="inlineStr">
        <is>
          <t>$15.00</t>
        </is>
      </c>
      <c r="F22" s="140" t="inlineStr">
        <is>
          <t>—</t>
        </is>
      </c>
      <c r="G22" s="139" t="inlineStr">
        <is>
          <t>Experimental Ferment</t>
        </is>
      </c>
      <c r="H22" s="139" t="inlineStr"/>
    </row>
    <row r="23" ht="15" customHeight="1">
      <c r="B23" s="143" t="inlineStr">
        <is>
          <t>Tiong Hoe Specialty Coffee</t>
        </is>
      </c>
      <c r="C23" s="144" t="n">
        <v>2</v>
      </c>
      <c r="D23" s="143" t="inlineStr">
        <is>
          <t>Singapore</t>
        </is>
      </c>
      <c r="E23" s="144" t="inlineStr">
        <is>
          <t>$6.55</t>
        </is>
      </c>
      <c r="F23" s="144" t="inlineStr">
        <is>
          <t>—</t>
        </is>
      </c>
      <c r="G23" s="143" t="inlineStr">
        <is>
          <t>Natural</t>
        </is>
      </c>
      <c r="H23" s="143" t="inlineStr"/>
    </row>
    <row r="24" ht="15" customHeight="1">
      <c r="B24" s="139" t="inlineStr">
        <is>
          <t>Maxi Coffee Bar</t>
        </is>
      </c>
      <c r="C24" s="140" t="n">
        <v>2</v>
      </c>
      <c r="D24" s="139" t="inlineStr">
        <is>
          <t>Singapore</t>
        </is>
      </c>
      <c r="E24" s="140" t="inlineStr">
        <is>
          <t>$9.00</t>
        </is>
      </c>
      <c r="F24" s="140" t="inlineStr">
        <is>
          <t>—</t>
        </is>
      </c>
      <c r="G24" s="139" t="inlineStr">
        <is>
          <t>Washed</t>
        </is>
      </c>
      <c r="H24" s="139" t="inlineStr"/>
    </row>
    <row r="25" ht="15" customHeight="1">
      <c r="B25" s="143" t="inlineStr">
        <is>
          <t>Kurasu</t>
        </is>
      </c>
      <c r="C25" s="144" t="n">
        <v>2</v>
      </c>
      <c r="D25" s="143" t="inlineStr">
        <is>
          <t>Singapore</t>
        </is>
      </c>
      <c r="E25" s="144" t="inlineStr">
        <is>
          <t>$9.38</t>
        </is>
      </c>
      <c r="F25" s="144" t="inlineStr">
        <is>
          <t>—</t>
        </is>
      </c>
      <c r="G25" s="143" t="inlineStr">
        <is>
          <t>Honey</t>
        </is>
      </c>
      <c r="H25" s="143" t="inlineStr"/>
    </row>
    <row r="26" ht="15" customHeight="1">
      <c r="B26" s="139" t="inlineStr">
        <is>
          <t>Zerah Roasters</t>
        </is>
      </c>
      <c r="C26" s="140" t="n">
        <v>2</v>
      </c>
      <c r="D26" s="139" t="inlineStr">
        <is>
          <t>Singapore</t>
        </is>
      </c>
      <c r="E26" s="140" t="inlineStr">
        <is>
          <t>$10.50</t>
        </is>
      </c>
      <c r="F26" s="140" t="inlineStr">
        <is>
          <t>—</t>
        </is>
      </c>
      <c r="G26" s="139" t="inlineStr">
        <is>
          <t>Anaerobic Natural</t>
        </is>
      </c>
      <c r="H26" s="139" t="inlineStr">
        <is>
          <t>⭐ High innovation</t>
        </is>
      </c>
    </row>
    <row r="27" ht="15" customHeight="1">
      <c r="B27" s="158" t="inlineStr">
        <is>
          <t>Keryi Coffee</t>
        </is>
      </c>
      <c r="C27" s="137" t="n">
        <v>2</v>
      </c>
      <c r="D27" s="138" t="inlineStr">
        <is>
          <t>Singapore</t>
        </is>
      </c>
      <c r="E27" s="137" t="inlineStr">
        <is>
          <t>$14.00</t>
        </is>
      </c>
      <c r="F27" s="159" t="inlineStr">
        <is>
          <t>⭐×1</t>
        </is>
      </c>
      <c r="G27" s="138" t="inlineStr">
        <is>
          <t>Honey</t>
        </is>
      </c>
      <c r="H27" s="138" t="inlineStr">
        <is>
          <t>⭐ 1 Gesha entry</t>
        </is>
      </c>
    </row>
    <row r="28" ht="15" customHeight="1">
      <c r="B28" s="139" t="inlineStr">
        <is>
          <t>Apartment (Jalan Riang)</t>
        </is>
      </c>
      <c r="C28" s="140" t="n">
        <v>2</v>
      </c>
      <c r="D28" s="139" t="inlineStr">
        <is>
          <t>Singapore</t>
        </is>
      </c>
      <c r="E28" s="140" t="inlineStr">
        <is>
          <t>$9.50</t>
        </is>
      </c>
      <c r="F28" s="140" t="inlineStr">
        <is>
          <t>—</t>
        </is>
      </c>
      <c r="G28" s="139" t="inlineStr">
        <is>
          <t>Washed</t>
        </is>
      </c>
      <c r="H28" s="139" t="inlineStr"/>
    </row>
    <row r="29" ht="15" customHeight="1">
      <c r="B29" s="158" t="inlineStr">
        <is>
          <t>Homeground Coffee Roasters</t>
        </is>
      </c>
      <c r="C29" s="137" t="n">
        <v>2</v>
      </c>
      <c r="D29" s="138" t="inlineStr">
        <is>
          <t>Singapore</t>
        </is>
      </c>
      <c r="E29" s="137" t="inlineStr">
        <is>
          <t>$14.50</t>
        </is>
      </c>
      <c r="F29" s="159" t="inlineStr">
        <is>
          <t>⭐×1</t>
        </is>
      </c>
      <c r="G29" s="138" t="inlineStr">
        <is>
          <t>Natural</t>
        </is>
      </c>
      <c r="H29" s="138" t="inlineStr">
        <is>
          <t>⭐ 1 Gesha entry</t>
        </is>
      </c>
    </row>
    <row r="30" ht="15" customHeight="1">
      <c r="B30" s="160" t="inlineStr">
        <is>
          <t>Fluid Collective</t>
        </is>
      </c>
      <c r="C30" s="150" t="n">
        <v>2</v>
      </c>
      <c r="D30" s="149" t="inlineStr">
        <is>
          <t>Singapore</t>
        </is>
      </c>
      <c r="E30" s="150" t="inlineStr">
        <is>
          <t>$10.00</t>
        </is>
      </c>
      <c r="F30" s="150" t="inlineStr">
        <is>
          <t>—</t>
        </is>
      </c>
      <c r="G30" s="149" t="inlineStr">
        <is>
          <t>Anaerobic Natural</t>
        </is>
      </c>
      <c r="H30" s="149" t="inlineStr">
        <is>
          <t>🏆 Cup of Year · Best hardware</t>
        </is>
      </c>
    </row>
    <row r="31" ht="15" customHeight="1">
      <c r="B31" s="143" t="inlineStr">
        <is>
          <t>Subko Coffee Roasters</t>
        </is>
      </c>
      <c r="C31" s="144" t="n">
        <v>1</v>
      </c>
      <c r="D31" s="143" t="inlineStr">
        <is>
          <t>Mumbai</t>
        </is>
      </c>
      <c r="E31" s="144" t="inlineStr">
        <is>
          <t>—</t>
        </is>
      </c>
      <c r="F31" s="144" t="inlineStr">
        <is>
          <t>—</t>
        </is>
      </c>
      <c r="G31" s="143" t="inlineStr">
        <is>
          <t>Anaerobic Natural</t>
        </is>
      </c>
      <c r="H31" s="143" t="inlineStr"/>
    </row>
    <row r="32" ht="15" customHeight="1">
      <c r="B32" s="139" t="inlineStr">
        <is>
          <t>Grey Soul Coffee Roasters</t>
        </is>
      </c>
      <c r="C32" s="140" t="n">
        <v>1</v>
      </c>
      <c r="D32" s="139" t="inlineStr">
        <is>
          <t>Mumbai</t>
        </is>
      </c>
      <c r="E32" s="140" t="inlineStr">
        <is>
          <t>—</t>
        </is>
      </c>
      <c r="F32" s="140" t="inlineStr">
        <is>
          <t>—</t>
        </is>
      </c>
      <c r="G32" s="139" t="inlineStr">
        <is>
          <t>Anaerobic</t>
        </is>
      </c>
      <c r="H32" s="139" t="inlineStr"/>
    </row>
    <row r="33" ht="15" customHeight="1">
      <c r="B33" s="143" t="inlineStr">
        <is>
          <t>Apartment (Selegie Rd)</t>
        </is>
      </c>
      <c r="C33" s="144" t="n">
        <v>1</v>
      </c>
      <c r="D33" s="143" t="inlineStr">
        <is>
          <t>Singapore</t>
        </is>
      </c>
      <c r="E33" s="144" t="inlineStr">
        <is>
          <t>—</t>
        </is>
      </c>
      <c r="F33" s="144" t="inlineStr">
        <is>
          <t>—</t>
        </is>
      </c>
      <c r="G33" s="143" t="inlineStr">
        <is>
          <t>Washed</t>
        </is>
      </c>
      <c r="H33" s="143" t="inlineStr"/>
    </row>
    <row r="34" ht="15" customHeight="1">
      <c r="B34" s="158" t="inlineStr">
        <is>
          <t>Lume Café</t>
        </is>
      </c>
      <c r="C34" s="137" t="n">
        <v>1</v>
      </c>
      <c r="D34" s="138" t="inlineStr">
        <is>
          <t>Singapore</t>
        </is>
      </c>
      <c r="E34" s="137" t="inlineStr">
        <is>
          <t>$12.00</t>
        </is>
      </c>
      <c r="F34" s="159" t="inlineStr">
        <is>
          <t>⭐×1</t>
        </is>
      </c>
      <c r="G34" s="138" t="inlineStr">
        <is>
          <t>Honey</t>
        </is>
      </c>
      <c r="H34" s="138" t="inlineStr">
        <is>
          <t>⭐ 1 Gesha entry</t>
        </is>
      </c>
    </row>
    <row r="35" ht="15" customHeight="1">
      <c r="B35" s="143" t="inlineStr">
        <is>
          <t>Unknown</t>
        </is>
      </c>
      <c r="C35" s="144" t="n">
        <v>1</v>
      </c>
      <c r="D35" s="143" t="inlineStr">
        <is>
          <t>Johor Bahru</t>
        </is>
      </c>
      <c r="E35" s="144" t="inlineStr">
        <is>
          <t>$11.08</t>
        </is>
      </c>
      <c r="F35" s="144" t="inlineStr">
        <is>
          <t>—</t>
        </is>
      </c>
      <c r="G35" s="143" t="inlineStr">
        <is>
          <t>Anaerobic Washed</t>
        </is>
      </c>
      <c r="H35" s="143" t="inlineStr"/>
    </row>
    <row r="36" ht="15" customHeight="1">
      <c r="B36" s="139" t="inlineStr">
        <is>
          <t>Alchemist (Raffles Place)</t>
        </is>
      </c>
      <c r="C36" s="140" t="n">
        <v>1</v>
      </c>
      <c r="D36" s="139" t="inlineStr">
        <is>
          <t>Singapore</t>
        </is>
      </c>
      <c r="E36" s="140" t="inlineStr">
        <is>
          <t>—</t>
        </is>
      </c>
      <c r="F36" s="140" t="inlineStr">
        <is>
          <t>—</t>
        </is>
      </c>
      <c r="G36" s="139" t="inlineStr">
        <is>
          <t>Washed</t>
        </is>
      </c>
      <c r="H36" s="139" t="inlineStr"/>
    </row>
    <row r="37" ht="15" customHeight="1">
      <c r="B37" s="143" t="inlineStr">
        <is>
          <t>The Community Coffee (Hamilton)</t>
        </is>
      </c>
      <c r="C37" s="144" t="n">
        <v>1</v>
      </c>
      <c r="D37" s="143" t="inlineStr">
        <is>
          <t>Singapore</t>
        </is>
      </c>
      <c r="E37" s="144" t="inlineStr">
        <is>
          <t>$9.00</t>
        </is>
      </c>
      <c r="F37" s="144" t="inlineStr">
        <is>
          <t>—</t>
        </is>
      </c>
      <c r="G37" s="143" t="inlineStr">
        <is>
          <t>Natural</t>
        </is>
      </c>
      <c r="H37" s="143" t="inlineStr"/>
    </row>
    <row r="38" ht="15" customHeight="1">
      <c r="B38" s="139" t="inlineStr">
        <is>
          <t>Alchemist (Ocean Financial Centre)</t>
        </is>
      </c>
      <c r="C38" s="140" t="n">
        <v>1</v>
      </c>
      <c r="D38" s="139" t="inlineStr">
        <is>
          <t>Singapore</t>
        </is>
      </c>
      <c r="E38" s="140" t="inlineStr">
        <is>
          <t>$8.50</t>
        </is>
      </c>
      <c r="F38" s="140" t="inlineStr">
        <is>
          <t>—</t>
        </is>
      </c>
      <c r="G38" s="139" t="inlineStr">
        <is>
          <t>Anaerobic Natural</t>
        </is>
      </c>
      <c r="H38" s="139" t="inlineStr"/>
    </row>
    <row r="39" ht="15" customHeight="1">
      <c r="B39" s="158" t="inlineStr">
        <is>
          <t>FLUID</t>
        </is>
      </c>
      <c r="C39" s="137" t="n">
        <v>1</v>
      </c>
      <c r="D39" s="138" t="inlineStr">
        <is>
          <t>Singapore</t>
        </is>
      </c>
      <c r="E39" s="137" t="inlineStr">
        <is>
          <t>$14.00</t>
        </is>
      </c>
      <c r="F39" s="159" t="inlineStr">
        <is>
          <t>⭐×1</t>
        </is>
      </c>
      <c r="G39" s="138" t="inlineStr">
        <is>
          <t>Washed</t>
        </is>
      </c>
      <c r="H39" s="138" t="inlineStr">
        <is>
          <t>⭐ 1 Gesha entry</t>
        </is>
      </c>
    </row>
    <row r="40" ht="15" customHeight="1">
      <c r="B40" s="158" t="inlineStr">
        <is>
          <t>Pocket by Flip (Flip Coffee Roasters)</t>
        </is>
      </c>
      <c r="C40" s="137" t="n">
        <v>1</v>
      </c>
      <c r="D40" s="138" t="inlineStr">
        <is>
          <t>Singapore</t>
        </is>
      </c>
      <c r="E40" s="137" t="inlineStr">
        <is>
          <t>$18.00</t>
        </is>
      </c>
      <c r="F40" s="159" t="inlineStr">
        <is>
          <t>⭐×1</t>
        </is>
      </c>
      <c r="G40" s="138" t="inlineStr">
        <is>
          <t>Washed</t>
        </is>
      </c>
      <c r="H40" s="138" t="inlineStr">
        <is>
          <t>⭐ 1 Gesha entry</t>
        </is>
      </c>
    </row>
    <row r="41" ht="15" customHeight="1">
      <c r="B41" s="143" t="inlineStr">
        <is>
          <t>Corner Corner</t>
        </is>
      </c>
      <c r="C41" s="144" t="n">
        <v>1</v>
      </c>
      <c r="D41" s="143" t="inlineStr">
        <is>
          <t>Singapore</t>
        </is>
      </c>
      <c r="E41" s="144" t="inlineStr">
        <is>
          <t>$13.00</t>
        </is>
      </c>
      <c r="F41" s="144" t="inlineStr">
        <is>
          <t>—</t>
        </is>
      </c>
      <c r="G41" s="143" t="inlineStr">
        <is>
          <t>Natural</t>
        </is>
      </c>
      <c r="H41" s="143" t="inlineStr"/>
    </row>
    <row r="42" ht="15" customHeight="1">
      <c r="B42" s="158" t="inlineStr">
        <is>
          <t>Equate</t>
        </is>
      </c>
      <c r="C42" s="137" t="n">
        <v>1</v>
      </c>
      <c r="D42" s="138" t="inlineStr">
        <is>
          <t>Singapore</t>
        </is>
      </c>
      <c r="E42" s="137" t="inlineStr">
        <is>
          <t>$13.00</t>
        </is>
      </c>
      <c r="F42" s="159" t="inlineStr">
        <is>
          <t>⭐×1</t>
        </is>
      </c>
      <c r="G42" s="138" t="inlineStr">
        <is>
          <t>Washed</t>
        </is>
      </c>
      <c r="H42" s="138" t="inlineStr">
        <is>
          <t>⭐ 1 Gesha entry</t>
        </is>
      </c>
    </row>
    <row r="43" ht="15" customHeight="1">
      <c r="B43" s="143" t="inlineStr">
        <is>
          <t>PPP Coffee (Funan)</t>
        </is>
      </c>
      <c r="C43" s="144" t="n">
        <v>1</v>
      </c>
      <c r="D43" s="143" t="inlineStr">
        <is>
          <t>Singapore</t>
        </is>
      </c>
      <c r="E43" s="144" t="inlineStr">
        <is>
          <t>$9.00</t>
        </is>
      </c>
      <c r="F43" s="144" t="inlineStr">
        <is>
          <t>—</t>
        </is>
      </c>
      <c r="G43" s="143" t="inlineStr">
        <is>
          <t>Washed</t>
        </is>
      </c>
      <c r="H43" s="143" t="inlineStr"/>
    </row>
    <row r="44" ht="15" customHeight="1">
      <c r="B44" s="139" t="inlineStr">
        <is>
          <t>2050 Coffee</t>
        </is>
      </c>
      <c r="C44" s="140" t="n">
        <v>1</v>
      </c>
      <c r="D44" s="139" t="inlineStr">
        <is>
          <t>Singapore</t>
        </is>
      </c>
      <c r="E44" s="140" t="inlineStr">
        <is>
          <t>$6.00</t>
        </is>
      </c>
      <c r="F44" s="140" t="inlineStr">
        <is>
          <t>—</t>
        </is>
      </c>
      <c r="G44" s="139" t="inlineStr">
        <is>
          <t>Honey</t>
        </is>
      </c>
      <c r="H44" s="139" t="inlineStr"/>
    </row>
    <row r="45" ht="15" customHeight="1">
      <c r="B45" s="158" t="inlineStr">
        <is>
          <t>Cowpresso Coffee Roasters</t>
        </is>
      </c>
      <c r="C45" s="137" t="n">
        <v>1</v>
      </c>
      <c r="D45" s="138" t="inlineStr">
        <is>
          <t>Singapore</t>
        </is>
      </c>
      <c r="E45" s="137" t="inlineStr">
        <is>
          <t>$9.90</t>
        </is>
      </c>
      <c r="F45" s="159" t="inlineStr">
        <is>
          <t>⭐×1</t>
        </is>
      </c>
      <c r="G45" s="138" t="inlineStr">
        <is>
          <t>Natural</t>
        </is>
      </c>
      <c r="H45" s="138" t="inlineStr">
        <is>
          <t>⭐ 1 Gesha entry</t>
        </is>
      </c>
    </row>
    <row r="46" ht="15" customHeight="1">
      <c r="B46" s="158" t="inlineStr">
        <is>
          <t>Pinhole Coffee Bar</t>
        </is>
      </c>
      <c r="C46" s="137" t="n">
        <v>1</v>
      </c>
      <c r="D46" s="138" t="inlineStr">
        <is>
          <t>Singapore</t>
        </is>
      </c>
      <c r="E46" s="137" t="inlineStr">
        <is>
          <t>$15.00</t>
        </is>
      </c>
      <c r="F46" s="159" t="inlineStr">
        <is>
          <t>⭐×1</t>
        </is>
      </c>
      <c r="G46" s="138" t="inlineStr">
        <is>
          <t>Honey</t>
        </is>
      </c>
      <c r="H46" s="138" t="inlineStr">
        <is>
          <t>⭐ 1 Gesha entry</t>
        </is>
      </c>
    </row>
  </sheetData>
  <mergeCells count="6">
    <mergeCell ref="B14:H14"/>
    <mergeCell ref="B1:H1"/>
    <mergeCell ref="B4:H4"/>
    <mergeCell ref="B2:H2"/>
    <mergeCell ref="B7:H7"/>
    <mergeCell ref="B5:H5"/>
  </mergeCells>
  <pageMargins left="0.75" right="0.75" top="1" bottom="1" header="0.5" footer="0.5"/>
</worksheet>
</file>

<file path=xl/worksheets/sheet9.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10.xml><?xml version="1.0" encoding="utf-8"?>
<worksheet xmlns="http://schemas.openxmlformats.org/spreadsheetml/2006/main">
  <sheetPr>
    <tabColor rgb="002C1503"/>
    <outlinePr summaryBelow="1" summaryRight="1"/>
    <pageSetUpPr/>
  </sheetPr>
  <dimension ref="A1:C15"/>
  <sheetViews>
    <sheetView showGridLines="0" workbookViewId="0">
      <selection activeCell="A1" sqref="A1"/>
    </sheetView>
  </sheetViews>
  <sheetFormatPr baseColWidth="8" defaultRowHeight="15"/>
  <cols>
    <col width="22" customWidth="1" min="1" max="1"/>
    <col width="18" customWidth="1" min="2" max="2"/>
    <col width="40" customWidth="1" min="3" max="3"/>
  </cols>
  <sheetData>
    <row r="1" ht="26" customHeight="1">
      <c r="A1" s="182" t="inlineStr">
        <is>
          <t>HARI COFFEE AUDIT — ARCHIVE STATS</t>
        </is>
      </c>
      <c r="B1" s="175" t="n"/>
      <c r="C1" s="176" t="n"/>
    </row>
    <row r="2" ht="18" customHeight="1"/>
    <row r="3" ht="20" customHeight="1">
      <c r="A3" s="183" t="inlineStr">
        <is>
          <t>Total Entries</t>
        </is>
      </c>
      <c r="B3" s="184" t="n">
        <v>56</v>
      </c>
      <c r="C3" s="134" t="inlineStr">
        <is>
          <t>Entries #001–#056</t>
        </is>
      </c>
    </row>
    <row r="4" ht="20" customHeight="1">
      <c r="A4" s="183" t="inlineStr">
        <is>
          <t>Unique Cafés</t>
        </is>
      </c>
      <c r="B4" s="184" t="inlineStr">
        <is>
          <t>30</t>
        </is>
      </c>
      <c r="C4" s="134" t="inlineStr">
        <is>
          <t>Across SG, Bali, Mumbai, JB</t>
        </is>
      </c>
    </row>
    <row r="5" ht="20" customHeight="1">
      <c r="A5" s="183" t="inlineStr">
        <is>
          <t>Date Range</t>
        </is>
      </c>
      <c r="B5" s="184" t="inlineStr">
        <is>
          <t>2026-01-03 → 2026-07-08</t>
        </is>
      </c>
      <c r="C5" s="134" t="inlineStr">
        <is>
          <t>First to latest entry</t>
        </is>
      </c>
    </row>
    <row r="6" ht="20" customHeight="1">
      <c r="A6" s="183" t="inlineStr">
        <is>
          <t>Cities Covered</t>
        </is>
      </c>
      <c r="B6" s="184" t="inlineStr">
        <is>
          <t>Singapore · Ubud Bali · Mumbai · Johor Bahru</t>
        </is>
      </c>
      <c r="C6" s="134" t="inlineStr">
        <is>
          <t>4 cities</t>
        </is>
      </c>
    </row>
    <row r="7" ht="20" customHeight="1">
      <c r="A7" s="183" t="inlineStr">
        <is>
          <t>Origin Countries</t>
        </is>
      </c>
      <c r="B7" s="184" t="inlineStr">
        <is>
          <t>17</t>
        </is>
      </c>
      <c r="C7" s="134" t="inlineStr">
        <is>
          <t>Including Bolivia, Myanmar, Ecuador, Panama, Rwanda firsts</t>
        </is>
      </c>
    </row>
    <row r="8" ht="20" customHeight="1">
      <c r="A8" s="183" t="inlineStr">
        <is>
          <t>Starred Entries</t>
        </is>
      </c>
      <c r="B8" s="184" t="inlineStr">
        <is>
          <t>16</t>
        </is>
      </c>
      <c r="C8" s="134" t="inlineStr">
        <is>
          <t>Top-tier cups</t>
        </is>
      </c>
    </row>
    <row r="9" ht="20" customHeight="1">
      <c r="A9" s="183" t="inlineStr">
        <is>
          <t>Gesha / Geisha Entries</t>
        </is>
      </c>
      <c r="B9" s="184" t="n">
        <v>11</v>
      </c>
      <c r="C9" s="134" t="inlineStr">
        <is>
          <t>Apex varietal count</t>
        </is>
      </c>
    </row>
    <row r="10" ht="20" customHeight="1">
      <c r="A10" s="183" t="inlineStr">
        <is>
          <t>Washed Process %</t>
        </is>
      </c>
      <c r="B10" s="184" t="inlineStr">
        <is>
          <t>~39%</t>
        </is>
      </c>
      <c r="C10" s="134" t="inlineStr">
        <is>
          <t>Dominant process — clarity-first palate</t>
        </is>
      </c>
    </row>
    <row r="11" ht="20" customHeight="1">
      <c r="A11" s="183" t="inlineStr">
        <is>
          <t>Avg Price (SGD)</t>
        </is>
      </c>
      <c r="B11" s="184" t="inlineStr">
        <is>
          <t>~10.84</t>
        </is>
      </c>
      <c r="C11" s="134" t="inlineStr">
        <is>
          <t>Across 41 priced entries</t>
        </is>
      </c>
    </row>
    <row r="12" ht="20" customHeight="1">
      <c r="A12" s="183" t="inlineStr">
        <is>
          <t>Latest Entry</t>
        </is>
      </c>
      <c r="B12" s="184" t="inlineStr">
        <is>
          <t>Entry #056 — La Flor de la Palma (Nylon)</t>
        </is>
      </c>
      <c r="C12" s="134" t="inlineStr">
        <is>
          <t>Nylon Coffee Roasters, 8 Jul 2026</t>
        </is>
      </c>
    </row>
    <row r="13" ht="20" customHeight="1">
      <c r="A13" s="183" t="inlineStr">
        <is>
          <t>Companion Entry</t>
        </is>
      </c>
      <c r="B13" s="184" t="inlineStr">
        <is>
          <t>Entry #052 — First Natural Geisha</t>
        </is>
      </c>
      <c r="C13" s="134" t="inlineStr">
        <is>
          <t>Cowpresso Custom Dripper — 3rd conical entry</t>
        </is>
      </c>
    </row>
    <row r="14" ht="20" customHeight="1">
      <c r="A14" s="183" t="inlineStr">
        <is>
          <t>Colombia Gesha Trilogy</t>
        </is>
      </c>
      <c r="B14" s="184" t="inlineStr">
        <is>
          <t>Washed (Fluid) · Honey (Keryi) · Natural (Homeground)</t>
        </is>
      </c>
      <c r="C14" s="134" t="inlineStr">
        <is>
          <t>COMPLETE</t>
        </is>
      </c>
    </row>
    <row r="15" ht="20" customHeight="1">
      <c r="A15" s="183" t="inlineStr">
        <is>
          <t>Milestones Today</t>
        </is>
      </c>
      <c r="B15" s="184" t="inlineStr">
        <is>
          <t>First Double Shot Coffee · First Kotowa Carolina estate entry · Panama Gesha #4 in archive</t>
        </is>
      </c>
      <c r="C15" s="134" t="inlineStr">
        <is>
          <t>8 Jul 2026</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2026-07-10T14:15:13Z</dcterms:modified>
</cp:coreProperties>
</file>