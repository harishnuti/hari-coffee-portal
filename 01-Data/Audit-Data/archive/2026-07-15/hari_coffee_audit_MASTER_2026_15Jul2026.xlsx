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ffee Audit" sheetId="1" state="visible" r:id="rId3"/>
    <sheet name="☕ Dashboard" sheetId="2" state="visible" r:id="rId4"/>
    <sheet name="🧬 Palate DNA" sheetId="3" state="visible" r:id="rId5"/>
    <sheet name="🌍 Origin &amp; Terroir" sheetId="4" state="visible" r:id="rId6"/>
    <sheet name="⚙️ Hardware" sheetId="5" state="visible" r:id="rId7"/>
    <sheet name="🏙️ Café Directory" sheetId="6" state="visible" r:id="rId8"/>
    <sheet name="📖 Legend" sheetId="7" state="visible" r:id="rId9"/>
    <sheet name="Stats" sheetId="8" state="visible" r:id="rId10"/>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30" authorId="0">
      <text>
        <r>
          <rPr>
            <sz val="10"/>
            <rFont val="Arial"/>
            <family val="2"/>
          </rPr>
          <t xml:space="preserve">Corrected: user confirms only ever visited the OFC outlet. 'Raffles Place' was a mislabel. Now matches row 32/34 (same venue). 11Jul2026 audit.</t>
        </r>
      </text>
    </comment>
    <comment ref="C41" authorId="0">
      <text>
        <r>
          <rPr>
            <sz val="10"/>
            <rFont val="Arial"/>
            <family val="2"/>
          </rPr>
          <t xml:space="preserve">Capitalization standardized to Google's canonical listing. 11Jul2026 audit.</t>
        </r>
      </text>
    </comment>
    <comment ref="C44" authorId="0">
      <text>
        <r>
          <rPr>
            <sz val="10"/>
            <rFont val="Arial"/>
            <family val="2"/>
          </rPr>
          <t xml:space="preserve">Renamed per user instruction to distinguish from Apartment (Selegie Rd). 11Jul2026 audit.</t>
        </r>
      </text>
    </comment>
    <comment ref="C46" authorId="0">
      <text>
        <r>
          <rPr>
            <sz val="10"/>
            <rFont val="Arial"/>
            <family val="2"/>
          </rPr>
          <t xml:space="preserve">Renamed per user instruction to distinguish from Apartment (Selegie Rd). 11Jul2026 audit.</t>
        </r>
      </text>
    </comment>
    <comment ref="C47" authorId="0">
      <text>
        <r>
          <rPr>
            <sz val="10"/>
            <rFont val="Arial"/>
            <family val="2"/>
          </rPr>
          <t xml:space="preserve">Capitalization standardized to Google's canonical listing. 11Jul2026 audit.</t>
        </r>
      </text>
    </comment>
  </commentList>
</comments>
</file>

<file path=xl/sharedStrings.xml><?xml version="1.0" encoding="utf-8"?>
<sst xmlns="http://schemas.openxmlformats.org/spreadsheetml/2006/main" count="2304" uniqueCount="1285">
  <si>
    <t xml:space="preserve">Date</t>
  </si>
  <si>
    <t xml:space="preserve">City</t>
  </si>
  <si>
    <t xml:space="preserve">Cafe_Name</t>
  </si>
  <si>
    <t xml:space="preserve">Coffee_Name</t>
  </si>
  <si>
    <t xml:space="preserve">Producer_Farm</t>
  </si>
  <si>
    <t xml:space="preserve">Origin</t>
  </si>
  <si>
    <t xml:space="preserve">Varietal</t>
  </si>
  <si>
    <t xml:space="preserve">Process</t>
  </si>
  <si>
    <t xml:space="preserve">Roast_Level</t>
  </si>
  <si>
    <t xml:space="preserve">Brew_Method</t>
  </si>
  <si>
    <t xml:space="preserve">Dose_g</t>
  </si>
  <si>
    <t xml:space="preserve">Yield_g</t>
  </si>
  <si>
    <t xml:space="preserve">Ratio</t>
  </si>
  <si>
    <t xml:space="preserve">Water_Temp_C</t>
  </si>
  <si>
    <t xml:space="preserve">Bloom</t>
  </si>
  <si>
    <t xml:space="preserve">Grinder</t>
  </si>
  <si>
    <t xml:space="preserve">Price_SGD</t>
  </si>
  <si>
    <t xml:space="preserve">Official_Notes</t>
  </si>
  <si>
    <t xml:space="preserve">Your_Verdict</t>
  </si>
  <si>
    <t xml:space="preserve">Technical_Enrichment</t>
  </si>
  <si>
    <t xml:space="preserve">Visit_Context</t>
  </si>
  <si>
    <t xml:space="preserve">Source</t>
  </si>
  <si>
    <t xml:space="preserve">Gesha_Alert</t>
  </si>
  <si>
    <t xml:space="preserve">Address</t>
  </si>
  <si>
    <t xml:space="preserve">Ubud, Bali</t>
  </si>
  <si>
    <t xml:space="preserve">Seniman Coffee Studio</t>
  </si>
  <si>
    <t xml:space="preserve">Bali Karana Kintamanis</t>
  </si>
  <si>
    <t xml:space="preserve">Unknown</t>
  </si>
  <si>
    <t xml:space="preserve">Kintamani, Bali</t>
  </si>
  <si>
    <t xml:space="preserve">Natural</t>
  </si>
  <si>
    <t xml:space="preserve">Light</t>
  </si>
  <si>
    <t xml:space="preserve">Filter</t>
  </si>
  <si>
    <t xml:space="preserve">Clean citrus; floral</t>
  </si>
  <si>
    <t xml:space="preserve">Excellent clarity for a natural process; clean citrus and floral notes.</t>
  </si>
  <si>
    <t xml:space="preserve">Natural processing contributed mild fruit-forward esters with relatively clean finish; foundational exposure to local Indonesian origins.</t>
  </si>
  <si>
    <t xml:space="preserve">Bali family trip</t>
  </si>
  <si>
    <t xml:space="preserve">Merged (Gemini + ChatGPT)</t>
  </si>
  <si>
    <t xml:space="preserve">Jl. Sri Wedari No.5, Ubud, Gianyar, Bali 80571, Indonesia</t>
  </si>
  <si>
    <t xml:space="preserve">Sulawesi Toraja</t>
  </si>
  <si>
    <t xml:space="preserve">Sulawesi, Indonesia</t>
  </si>
  <si>
    <t xml:space="preserve">Wet-Hulled</t>
  </si>
  <si>
    <t xml:space="preserve">Medium</t>
  </si>
  <si>
    <t xml:space="preserve">Pour-over</t>
  </si>
  <si>
    <t xml:space="preserve">Cocoa; earthy structures</t>
  </si>
  <si>
    <t xml:space="preserve">Heavy body with rich cocoa and earthy notes; low acidity; dense mouthfeel.</t>
  </si>
  <si>
    <t xml:space="preserve">Classic Giling Basah wet-hulled process emphasized earthy compounds and syrupy mouthfeel; structural density confirmed.</t>
  </si>
  <si>
    <t xml:space="preserve">House Blend</t>
  </si>
  <si>
    <t xml:space="preserve">Espresso Roast</t>
  </si>
  <si>
    <t xml:space="preserve">Piccolo</t>
  </si>
  <si>
    <t xml:space="preserve">Balanced</t>
  </si>
  <si>
    <t xml:space="preserve">Great milk integration; standard espresso + milk calibration.</t>
  </si>
  <si>
    <t xml:space="preserve">Baseline milk pairing; milk fats softened acidity and amplified sweetness and body.</t>
  </si>
  <si>
    <t xml:space="preserve">Singapore</t>
  </si>
  <si>
    <t xml:space="preserve">Kyuukei Coffee</t>
  </si>
  <si>
    <t xml:space="preserve">Kenya Kiamugumo AA</t>
  </si>
  <si>
    <t xml:space="preserve">New Ngariama Farmer's Cooperative Society</t>
  </si>
  <si>
    <t xml:space="preserve">Kiamugumo, Murang'a County, Kenya</t>
  </si>
  <si>
    <t xml:space="preserve">SL28 / SL34</t>
  </si>
  <si>
    <t xml:space="preserve">Washed</t>
  </si>
  <si>
    <t xml:space="preserve">Pour-over (Flat-Bottom)</t>
  </si>
  <si>
    <t xml:space="preserve">1:16</t>
  </si>
  <si>
    <t xml:space="preserve">93</t>
  </si>
  <si>
    <t xml:space="preserve">120mm Hybrid Burr</t>
  </si>
  <si>
    <t xml:space="preserve">Blackcurrant, Lemon, Citrus Zest, Mineral Finish</t>
  </si>
  <si>
    <t xml:space="preserve">Extremely clean and structured — classic Kenyan profile. Bright blackcurrant acidity layered with lemon and light white grape sweetness. Clarity was the standout: no fermentation noise, no muddiness — precise, well-executed extraction. Compelling demonstration of how a well-processed washed coffee performs when roasted and brewed correctly. Phosphoric acid signature fully confirmed across all phases.</t>
  </si>
  <si>
    <t xml:space="preserve">120mm hybrid burr grinder delivered uniform particle distribution; flat-bottom pour-over geometry ensured even extraction across the full puck. 93°C water temp and 1:16 lean ratio preserved SL28/SL34 phosphoric acid clarity without over-extracting into bitterness. Brew time 2:45 consistent with controlled drawdown on flat-bottom geometry. Kenyan phosphoric acid and anthocyanin-driven blackcurrant notes are varietal signatures of Scott Laboratories SL28/SL34 genetics.</t>
  </si>
  <si>
    <t xml:space="preserve">Solo visit — early archive period, first Kyūkei filter audit</t>
  </si>
  <si>
    <t xml:space="preserve">Direct observation + infographic + Google review (10 Feb 2026)</t>
  </si>
  <si>
    <t xml:space="preserve">121 Bukit Merah Lane 1, #01-06, Singapore 150121</t>
  </si>
  <si>
    <t xml:space="preserve">Mumbai</t>
  </si>
  <si>
    <t xml:space="preserve">Subko Coffee Roasters</t>
  </si>
  <si>
    <t xml:space="preserve">Project Pearl Ratnagiri</t>
  </si>
  <si>
    <t xml:space="preserve">Ratnagiri Estate</t>
  </si>
  <si>
    <t xml:space="preserve">India</t>
  </si>
  <si>
    <t xml:space="preserve">Anaerobic Natural</t>
  </si>
  <si>
    <t xml:space="preserve">Light (Agtron 89)</t>
  </si>
  <si>
    <t xml:space="preserve">Clean and balanced; interesting but restrained anaerobic expression.</t>
  </si>
  <si>
    <t xml:space="preserve">Very light roast (Agtron 89) suppressed ester development despite anaerobic process; muted expected fermented intensity.</t>
  </si>
  <si>
    <t xml:space="preserve">Mumbai café exploration</t>
  </si>
  <si>
    <t xml:space="preserve">Mary Lodge, 21A Chapel Rd, Ranwar, Bandra West, Mumbai 400050, India</t>
  </si>
  <si>
    <t xml:space="preserve">Grey Soul Coffee Roasters</t>
  </si>
  <si>
    <t xml:space="preserve">Raspberry in Loop - Zoya Estate</t>
  </si>
  <si>
    <t xml:space="preserve">Zoya Estate</t>
  </si>
  <si>
    <t xml:space="preserve">Multi-stage Anaerobic</t>
  </si>
  <si>
    <t xml:space="preserve">Chocolate</t>
  </si>
  <si>
    <t xml:space="preserve">Heavy body; over-smoothed expression muted brightness and terroir.</t>
  </si>
  <si>
    <t xml:space="preserve">Higher development in medium roast reduced aggressive fruit acidity; heavy multi-stage fermentation suppressed terroir expression.</t>
  </si>
  <si>
    <t xml:space="preserve">Dr Ambedkar Rd, Pali Village, Bandra West, Mumbai 400050, India</t>
  </si>
  <si>
    <t xml:space="preserve">Narrative Coffee Stand</t>
  </si>
  <si>
    <t xml:space="preserve">Finca La Siberia</t>
  </si>
  <si>
    <t xml:space="preserve">El Salvador</t>
  </si>
  <si>
    <t xml:space="preserve">Pacamara</t>
  </si>
  <si>
    <t xml:space="preserve">Stewed apples; Apricot; Pu'er tea — Aanya's first specialty filter experience.</t>
  </si>
  <si>
    <t xml:space="preserve">Natural Pacamara generated beginner-friendly fruit esters and approachable sweetness; large Pacamara bean size aided even extraction.</t>
  </si>
  <si>
    <t xml:space="preserve">Father-daughter coffee exploration</t>
  </si>
  <si>
    <t xml:space="preserve">ChatGPT only</t>
  </si>
  <si>
    <t xml:space="preserve">Blk 231 Bain St, #01-05, Singapore 180231</t>
  </si>
  <si>
    <t xml:space="preserve">El Puente</t>
  </si>
  <si>
    <t xml:space="preserve">Honduras</t>
  </si>
  <si>
    <t xml:space="preserve">Catuai</t>
  </si>
  <si>
    <t xml:space="preserve">Medium-Light</t>
  </si>
  <si>
    <t xml:space="preserve">Espresso</t>
  </si>
  <si>
    <t xml:space="preserve">Black cherry; Apricot; Pecan — ordered for espresso contrast.</t>
  </si>
  <si>
    <t xml:space="preserve">Washed Central American espresso balanced nutty sweetness and fruit acidity; Catuai's consistent cell structure aided uniform extraction.</t>
  </si>
  <si>
    <t xml:space="preserve">ASK Coffee Roastery</t>
  </si>
  <si>
    <t xml:space="preserve">Honduras Masaguara (S13)</t>
  </si>
  <si>
    <t xml:space="preserve">Catuai / Caturra</t>
  </si>
  <si>
    <t xml:space="preserve">Washed Co-Ferment</t>
  </si>
  <si>
    <t xml:space="preserve">Lychee; Brandy; Honeydew; Milk Chocolate</t>
  </si>
  <si>
    <t xml:space="preserve">Premium but memorable; highly complex tropical profile.</t>
  </si>
  <si>
    <t xml:space="preserve">Co-fermentation amplified tropical ester complexity; co-ferment substrates introduced lychee lactones and brandy-like ethyl esters.</t>
  </si>
  <si>
    <t xml:space="preserve">32 Seah St, Singapore 188388</t>
  </si>
  <si>
    <t xml:space="preserve">Magic (Ristretto Milk)</t>
  </si>
  <si>
    <t xml:space="preserve">Contrast milk calibration; excellent concentrated cocoa expression.</t>
  </si>
  <si>
    <t xml:space="preserve">Ristretto milk extraction increased sweetness density and concentrated cocoa compounds through reduced water content.</t>
  </si>
  <si>
    <t xml:space="preserve">Apartment (Selegie Rd)</t>
  </si>
  <si>
    <t xml:space="preserve">Colombia Don Gallego - Wush Wush</t>
  </si>
  <si>
    <t xml:space="preserve">Don Gallego</t>
  </si>
  <si>
    <t xml:space="preserve">Colombia</t>
  </si>
  <si>
    <t xml:space="preserve">Wush Wush</t>
  </si>
  <si>
    <t xml:space="preserve">1:17</t>
  </si>
  <si>
    <t xml:space="preserve">Tea-like</t>
  </si>
  <si>
    <t xml:space="preserve">Incredible tea-like clarity; transparent floral expression.</t>
  </si>
  <si>
    <t xml:space="preserve">Lean 1:17 ratio maximized aromatic separation; Wush Wush's Ethiopian-lineage genetics produced delicate phenolic and floral complexity.</t>
  </si>
  <si>
    <t xml:space="preserve">Solo specialty calibration</t>
  </si>
  <si>
    <t xml:space="preserve">139 Selegie Rd, #01-01, Singapore 188309</t>
  </si>
  <si>
    <t xml:space="preserve">Kenya Ndiaini AA</t>
  </si>
  <si>
    <t xml:space="preserve">Kenya</t>
  </si>
  <si>
    <t xml:space="preserve">SL28 / SL34 / Ruiru 11</t>
  </si>
  <si>
    <t xml:space="preserve">Redcurrant; Elderflower; Lemon; Apricot</t>
  </si>
  <si>
    <t xml:space="preserve">Acidic and interesting; well balanced; high clarity.</t>
  </si>
  <si>
    <t xml:space="preserve">Ruiru 11 introduced structural body alongside classic SL28/SL34 brightness; further Kenyan terroir depth confirmed.</t>
  </si>
  <si>
    <t xml:space="preserve">Agora Coffee</t>
  </si>
  <si>
    <t xml:space="preserve">Nicaragua Matagalpa - Finca La Virgen</t>
  </si>
  <si>
    <t xml:space="preserve">Finca La Virgen</t>
  </si>
  <si>
    <t xml:space="preserve">Nicaragua</t>
  </si>
  <si>
    <t xml:space="preserve">Fully Washed</t>
  </si>
  <si>
    <t xml:space="preserve">Flat White</t>
  </si>
  <si>
    <t xml:space="preserve">Caramel; Chocolate; Red Apple</t>
  </si>
  <si>
    <t xml:space="preserve">Solid milk beverage; clean apple acidity preserved in milk integration.</t>
  </si>
  <si>
    <t xml:space="preserve">Fully washed Central American profile preserved clean malic acidity in milk; espresso roast development amplified caramel Maillard notes.</t>
  </si>
  <si>
    <t xml:space="preserve">31 Club St, #01-02, Singapore 069468</t>
  </si>
  <si>
    <t xml:space="preserve">Ethiopia Yirgacheffe Beloya</t>
  </si>
  <si>
    <t xml:space="preserve">Beloya</t>
  </si>
  <si>
    <t xml:space="preserve">Yirgacheffe, Ethiopia</t>
  </si>
  <si>
    <t xml:space="preserve">Heirloom</t>
  </si>
  <si>
    <t xml:space="preserve">Filter Roast</t>
  </si>
  <si>
    <t xml:space="preserve">V60</t>
  </si>
  <si>
    <t xml:space="preserve">1:14.6</t>
  </si>
  <si>
    <t xml:space="preserve">Mahlkönig EK43</t>
  </si>
  <si>
    <t xml:space="preserve">Blackcurrant; Strawberry; White Floral</t>
  </si>
  <si>
    <t xml:space="preserve">Bright, floral, and distinct strawberry; classic natural Ethiopian profile.</t>
  </si>
  <si>
    <t xml:space="preserve">EK43 98mm flat burrs reduced fines and preserved clarity despite natural processing; 1:14.6 ratio retained fruity body.</t>
  </si>
  <si>
    <t xml:space="preserve">Tiong Hoe Specialty Coffee</t>
  </si>
  <si>
    <t xml:space="preserve">Brazil Mogiana</t>
  </si>
  <si>
    <t xml:space="preserve">Mogiana, Brazil</t>
  </si>
  <si>
    <t xml:space="preserve">1:15</t>
  </si>
  <si>
    <t xml:space="preserve">Red Dates; Chocolates; Honey</t>
  </si>
  <si>
    <t xml:space="preserve">Chocolate-heavy and satisfying; classic dense Brazilian profile.</t>
  </si>
  <si>
    <t xml:space="preserve">Tighter 1:15 ratio increased body and amplified Maillard-derived caramel sweetness; medium roast caramelized sugars without losing origin character.</t>
  </si>
  <si>
    <t xml:space="preserve">1 Harbourfront Walk, VivoCity Fairprice Xtra, #B2-23, Singapore 098585</t>
  </si>
  <si>
    <t xml:space="preserve">Smoky Quartz Blend</t>
  </si>
  <si>
    <t xml:space="preserve">Brazil + India</t>
  </si>
  <si>
    <t xml:space="preserve">Piccolo Latte</t>
  </si>
  <si>
    <t xml:space="preserve">Dark Chocolates; Hazelnut; Smoky</t>
  </si>
  <si>
    <t xml:space="preserve">Strong milk side calibration; excellent concentrated cocoa expression.</t>
  </si>
  <si>
    <t xml:space="preserve">Low milk volume in piccolo format concentrated cocoa and hazelnut compounds; cross-origin blend leveraged Indian robusta structural density.</t>
  </si>
  <si>
    <t xml:space="preserve">Asylum Coffeehouse</t>
  </si>
  <si>
    <t xml:space="preserve">Peru Cajamarca Gesha (Iced)</t>
  </si>
  <si>
    <t xml:space="preserve">Wilder Garcia</t>
  </si>
  <si>
    <t xml:space="preserve">Cajamarca, Peru</t>
  </si>
  <si>
    <t xml:space="preserve">Gesha</t>
  </si>
  <si>
    <t xml:space="preserve">Iced Pour-over</t>
  </si>
  <si>
    <t xml:space="preserve">92.5</t>
  </si>
  <si>
    <t xml:space="preserve">Option-O Lagom P64</t>
  </si>
  <si>
    <t xml:space="preserve">Jasmine; Caramel; Lime; Cacao Nibs</t>
  </si>
  <si>
    <t xml:space="preserve">Super floral and elegant; flash-chilled expression of Gesha purity.</t>
  </si>
  <si>
    <t xml:space="preserve">Flash-chilled extraction via Option-O Lagom P64 preserved volatile floral monoterpenes (linalool); cold dilution stabilized aromatic compounds.</t>
  </si>
  <si>
    <t xml:space="preserve">311 Jln Besar, Singapore 208970</t>
  </si>
  <si>
    <t xml:space="preserve">Maxi Coffee Bar</t>
  </si>
  <si>
    <t xml:space="preserve">La Laja</t>
  </si>
  <si>
    <t xml:space="preserve">James Fernandez</t>
  </si>
  <si>
    <t xml:space="preserve">Cauca, Colombia</t>
  </si>
  <si>
    <t xml:space="preserve">Sudan Rume</t>
  </si>
  <si>
    <t xml:space="preserve">1:15.3</t>
  </si>
  <si>
    <t xml:space="preserve">90-92</t>
  </si>
  <si>
    <t xml:space="preserve">FM Grinder 120mm Flat Burr / Timemore Sculptor 078</t>
  </si>
  <si>
    <t xml:space="preserve">Raspberry; Nectarine; Floral</t>
  </si>
  <si>
    <t xml:space="preserve">Nectarine and raspberry extremely clear; barista sophistication superb; technical milestone.</t>
  </si>
  <si>
    <t xml:space="preserve">120mm flat burr geometry maximized uniform particle distribution; flat-bottom brewer enhanced sweetness while preserving Sudan Rume's rare genetic clarity.</t>
  </si>
  <si>
    <t xml:space="preserve">CBD lunch calibration</t>
  </si>
  <si>
    <t xml:space="preserve">64 Club St, Back Entrance, Singapore 069438</t>
  </si>
  <si>
    <t xml:space="preserve">Lume Café</t>
  </si>
  <si>
    <t xml:space="preserve">Corpachi Panama Geisha</t>
  </si>
  <si>
    <t xml:space="preserve">Corpachi</t>
  </si>
  <si>
    <t xml:space="preserve">Boquerón, Chiriquí, Panama</t>
  </si>
  <si>
    <t xml:space="preserve">Geisha</t>
  </si>
  <si>
    <t xml:space="preserve">Red Honey</t>
  </si>
  <si>
    <t xml:space="preserve">90 + 70</t>
  </si>
  <si>
    <t xml:space="preserve">Mandarin Candy; Jasmine; Apricot</t>
  </si>
  <si>
    <t xml:space="preserve">Clearly perceived apricot and structured sweetness.</t>
  </si>
  <si>
    <t xml:space="preserve">Dual-temperature extraction balanced aromatics and body in honey-process Geisha; red honey partial mucilage retention amplified structured sweetness.</t>
  </si>
  <si>
    <t xml:space="preserve">Rainy CBD lunch calibration</t>
  </si>
  <si>
    <t xml:space="preserve">108 Robinson Rd, #01-01, Singapore 068900</t>
  </si>
  <si>
    <t xml:space="preserve">Castillo Watermelon (Jairo Arcila)</t>
  </si>
  <si>
    <t xml:space="preserve">Jairo Arcila</t>
  </si>
  <si>
    <t xml:space="preserve">Armenia, Quindío, Colombia</t>
  </si>
  <si>
    <t xml:space="preserve">Castillo</t>
  </si>
  <si>
    <t xml:space="preserve">Washed Co-Ferment (Watermelon Anaerobic)</t>
  </si>
  <si>
    <t xml:space="preserve">Pour-over (V60)</t>
  </si>
  <si>
    <t xml:space="preserve">Watermelon; Mint; Lime; Chocolate</t>
  </si>
  <si>
    <t xml:space="preserve">Distinct fruit-forward expression; sweetness layered rather than sharp; experimental but controlled.</t>
  </si>
  <si>
    <t xml:space="preserve">Watermelon co-fermentation enhanced volatile ester complexity; dual-temperature extraction preserved layered aromatic architecture.</t>
  </si>
  <si>
    <t xml:space="preserve">Father-daughter coffee session</t>
  </si>
  <si>
    <t xml:space="preserve">Peru Gesha (Wilder Garcia)</t>
  </si>
  <si>
    <t xml:space="preserve">Jaén, Peru</t>
  </si>
  <si>
    <t xml:space="preserve">Clean, structured, high-clarity cup; apricot-like sweetness and excellent structure.</t>
  </si>
  <si>
    <t xml:space="preserve">Dual-temperature extraction engineered aromatic separation and body control; Gesha genetics delivered intrinsic phenolic complexity with minimal processing interference.</t>
  </si>
  <si>
    <t xml:space="preserve">La Villa #1</t>
  </si>
  <si>
    <t xml:space="preserve">Eduard Gaviria</t>
  </si>
  <si>
    <t xml:space="preserve">Huila, Colombia</t>
  </si>
  <si>
    <t xml:space="preserve">Papayo</t>
  </si>
  <si>
    <t xml:space="preserve">Timemore Sculptor 078</t>
  </si>
  <si>
    <t xml:space="preserve">Stewed Forest Berries; Grape; Black Forest Cake</t>
  </si>
  <si>
    <t xml:space="preserve">Dense fruit profile with rounded sweetness.</t>
  </si>
  <si>
    <t xml:space="preserve">Flat-bottom geometry and tight 1:15 ratio emphasized body; Papayo varietal's high sugar content amplified by natural processing into rich fruit-cake profile.</t>
  </si>
  <si>
    <t xml:space="preserve">Lunch catch-up with Yichen</t>
  </si>
  <si>
    <t xml:space="preserve">Johor Bahru</t>
  </si>
  <si>
    <t xml:space="preserve">Clod Coffee Bar &amp; Roasters</t>
  </si>
  <si>
    <t xml:space="preserve">Hacienda La Florida</t>
  </si>
  <si>
    <t xml:space="preserve">Typica Mejorado</t>
  </si>
  <si>
    <t xml:space="preserve">Anaerobic Washed</t>
  </si>
  <si>
    <t xml:space="preserve">Origami (Conical)</t>
  </si>
  <si>
    <t xml:space="preserve">1:15.4</t>
  </si>
  <si>
    <t xml:space="preserve">42g / 30s (1:2.3)</t>
  </si>
  <si>
    <t xml:space="preserve">Mahlkönig EK Omnia</t>
  </si>
  <si>
    <t xml:space="preserve">Lemon verbena; Red plum; Citronella; Hibiscus</t>
  </si>
  <si>
    <t xml:space="preserve">Excellent. Lime when hot, distinct plum as it cooled.</t>
  </si>
  <si>
    <t xml:space="preserve">EK Omnia precision grind and Origami conical drove extreme clarity; thermal phase shift perfectly isolated citric-to-malic acid transition (lime → plum).</t>
  </si>
  <si>
    <t xml:space="preserve">Gemini only</t>
  </si>
  <si>
    <t xml:space="preserve">123 Jalan Beringin, Taman Melodies, 80250 Johor Bahru, Malaysia</t>
  </si>
  <si>
    <t xml:space="preserve">Brazil Santuário Sul</t>
  </si>
  <si>
    <t xml:space="preserve">Carmo de Minas, Brazil</t>
  </si>
  <si>
    <t xml:space="preserve">Natural Fermentation</t>
  </si>
  <si>
    <t xml:space="preserve">Light-Medium</t>
  </si>
  <si>
    <t xml:space="preserve">1:14</t>
  </si>
  <si>
    <t xml:space="preserve">95</t>
  </si>
  <si>
    <t xml:space="preserve">Blackcurrant; Black Cherry; Dark Chocolate</t>
  </si>
  <si>
    <t xml:space="preserve">Full body; prominent blackcurrant; clear chocolaty finish.</t>
  </si>
  <si>
    <t xml:space="preserve">Tight 1:14 ratio engineered maximum body; EK43 98mm burrs maintained clarity to keep fermented natural fruit clean and non-bitter.</t>
  </si>
  <si>
    <t xml:space="preserve">Midday specialty calibration</t>
  </si>
  <si>
    <t xml:space="preserve">Nylon Coffee Roasters</t>
  </si>
  <si>
    <t xml:space="preserve">Brazil FAF Organic</t>
  </si>
  <si>
    <t xml:space="preserve">Brazil</t>
  </si>
  <si>
    <t xml:space="preserve">Arara</t>
  </si>
  <si>
    <t xml:space="preserve">xBloom (Flat-Bottom)</t>
  </si>
  <si>
    <t xml:space="preserve">Red Apple; Cherry; Raisin; Milk Chocolate</t>
  </si>
  <si>
    <t xml:space="preserve">Solid body with crisp green apple (malic) front, resolving into smooth milk chocolate finish.</t>
  </si>
  <si>
    <t xml:space="preserve">High-quality Arara natural processing yielded excellent structural body while maintaining crisp malic acidity; xBloom flat-bottom avoided heavy fermentation mud.</t>
  </si>
  <si>
    <t xml:space="preserve">4 Everton Park, #01-40, Singapore 080004</t>
  </si>
  <si>
    <t xml:space="preserve">Brazil Serra dos Ciganos</t>
  </si>
  <si>
    <t xml:space="preserve">Catucai 24/137</t>
  </si>
  <si>
    <t xml:space="preserve">Sultana; Dried Apricot; Praline; Roasted Hazelnut</t>
  </si>
  <si>
    <t xml:space="preserve">Good cup with pleasant lingering sweet aftertaste.</t>
  </si>
  <si>
    <t xml:space="preserve">Milk fats bound perfectly with natural processed espresso; Catucai 24/137 high-density bean structure created long, comforting finish.</t>
  </si>
  <si>
    <t xml:space="preserve">Ethiopia Banko Gotiti</t>
  </si>
  <si>
    <t xml:space="preserve">Ethiopia</t>
  </si>
  <si>
    <t xml:space="preserve">Lemonade; Raspberry; Peach; Bergamot</t>
  </si>
  <si>
    <t xml:space="preserve">Lemon front, heavy melon mid-cup, fading into clean white tea finish.</t>
  </si>
  <si>
    <t xml:space="preserve">1:17 lean ratio isolated volatile citric acids; xBloom flat-bottom geometry stabilized mid-cup sugars before clean tannin-forward white tea finish.</t>
  </si>
  <si>
    <t xml:space="preserve">Nicaragua Buena Vista</t>
  </si>
  <si>
    <t xml:space="preserve">Parainema</t>
  </si>
  <si>
    <t xml:space="preserve">Natural Anaerobic</t>
  </si>
  <si>
    <t xml:space="preserve">Single Espresso</t>
  </si>
  <si>
    <t xml:space="preserve">~1:2</t>
  </si>
  <si>
    <t xml:space="preserve">Chiku; Stewed Cherry; Dried Apricot; Brazil Nut</t>
  </si>
  <si>
    <t xml:space="preserve">Thick, syrupy body. Highly fermented, savory/not sweet, very long lingering finish.</t>
  </si>
  <si>
    <t xml:space="preserve">Anaerobic fermentation metabolized sugars into complex savory esters; 9-bar pressure emulsification drove heavy oil-based viscosity and extended aftertaste.</t>
  </si>
  <si>
    <t xml:space="preserve">Alchemist (Ocean Financial Centre)</t>
  </si>
  <si>
    <t xml:space="preserve">El Morito</t>
  </si>
  <si>
    <t xml:space="preserve">Marshell</t>
  </si>
  <si>
    <t xml:space="preserve">V60 Pour-over (Conical)</t>
  </si>
  <si>
    <t xml:space="preserve">Mahlkönig EK43S (98mm Flat Burr)</t>
  </si>
  <si>
    <t xml:space="preserve">Yellow Plum; Orange; Cane Sugar</t>
  </si>
  <si>
    <t xml:space="preserve">Simultaneous citric-malic acid overlap with integrated cane sugar — smooth and refreshing with excellent mid-palate juiciness. Confirmed: I love this bean.</t>
  </si>
  <si>
    <t xml:space="preserve">EK43S 98mm flat burrs + V60 conical at 1:16 delivered perfect dual-acid integration (citric orange + malic plum) without single-note dominance. Sucrose extraction at 1:16 bridged acid structure into clean cane sugar finish. Marshell is an extremely rare Colombian varietal — natural mutation prized for simultaneous citric-malic acid duality.</t>
  </si>
  <si>
    <t xml:space="preserve">Solo visit — Alchemist Raffles Place</t>
  </si>
  <si>
    <t xml:space="preserve">Master CSV (hari_coffee_audit_master_2026)</t>
  </si>
  <si>
    <t xml:space="preserve">10 Collyer Quay, #01-K1, Singapore 049315</t>
  </si>
  <si>
    <t xml:space="preserve">Kurasu</t>
  </si>
  <si>
    <t xml:space="preserve">Indonesia Frinsa Estate</t>
  </si>
  <si>
    <t xml:space="preserve">Frinsa Estate</t>
  </si>
  <si>
    <t xml:space="preserve">West Java, Indonesia</t>
  </si>
  <si>
    <t xml:space="preserve">Local Varietals</t>
  </si>
  <si>
    <t xml:space="preserve">Extended Fermentation Honey</t>
  </si>
  <si>
    <t xml:space="preserve">Pour-over (Hario Alpha — Flat-Bottom)</t>
  </si>
  <si>
    <t xml:space="preserve">80 → 95 → 80</t>
  </si>
  <si>
    <t xml:space="preserve">Floral aroma; Stewed Strawberries; Grapefruit; Brown Sugar; Black Tea</t>
  </si>
  <si>
    <t xml:space="preserve">Floral taste with a sweet coating on the tongue that gradually sticks and fades off cleanly — sugar and tea aftertaste. Well-executed Indonesian honey with unusual clarity for the origin.</t>
  </si>
  <si>
    <t xml:space="preserve">Multi-temperature pour (80→95→80°C) with Hario Alpha flat-bottom perfectly managed heavy honey-process mucilage sugars — clear floral extraction at lower temps, dissolving jammy mucilage at peak heat, finishing cleanly. Extended fermentation honey adds structured sweetness without heavy ferment-funk. First Indonesian-mainland entry in archive (distinct from Bali entries).</t>
  </si>
  <si>
    <t xml:space="preserve">Solo visit — Kurasu Singapore</t>
  </si>
  <si>
    <t xml:space="preserve">261 Waterloo St, #01-24, Singapore 180261</t>
  </si>
  <si>
    <t xml:space="preserve">The Community Coffee (Hamilton)</t>
  </si>
  <si>
    <t xml:space="preserve">Jose Mancia Honduras</t>
  </si>
  <si>
    <t xml:space="preserve">Jose Mancia</t>
  </si>
  <si>
    <t xml:space="preserve">Typica</t>
  </si>
  <si>
    <t xml:space="preserve">Pour-over (Hario Switch — Immersion/Percolation)</t>
  </si>
  <si>
    <t xml:space="preserve">Mahlkönig EK43 (98mm Flat Burr)</t>
  </si>
  <si>
    <t xml:space="preserve">Kiwi; Oolong Tea; Chocolate Truffle</t>
  </si>
  <si>
    <t xml:space="preserve">Pretty good. Kiwi and oolong tea style — full bodied. Short finish with slight hints of chocolate. Clean and approachable natural without heavy fermentation noise.</t>
  </si>
  <si>
    <t xml:space="preserve">Typica inherent lipid clarity + raised-bed drying produced clean tea-structure body. EK43 98mm flat burrs + Hario Switch immersion phase stabilised full mouthfeel at lean 1:17. Short finish consistent with 15-days-off-roast volatile taper — kiwi and oolong top notes fade rapidly. Honduras Typica at altitude expresses tea-like clarity atypical of natural-process expectations.</t>
  </si>
  <si>
    <t xml:space="preserve">Solo visit — The Community Coffee Hamilton</t>
  </si>
  <si>
    <t xml:space="preserve">38 Hamilton Rd, Singapore 209208</t>
  </si>
  <si>
    <t xml:space="preserve">Ijen Laurina</t>
  </si>
  <si>
    <t xml:space="preserve">Ijen Plateau</t>
  </si>
  <si>
    <t xml:space="preserve">East Java, Indonesia</t>
  </si>
  <si>
    <t xml:space="preserve">Hybrid Laurina</t>
  </si>
  <si>
    <t xml:space="preserve">90</t>
  </si>
  <si>
    <t xml:space="preserve">Hibiscus; Red Apple; Hawthorn</t>
  </si>
  <si>
    <t xml:space="preserve">Felt hibiscus hot. Mid temp showed apple paste. Cooled to a honeyed character. Full bodied. Textbook style flavours — definitely a good one. Clean progressive thermal arc.</t>
  </si>
  <si>
    <t xml:space="preserve">90°C brew temp suppressed lactic ester over-extraction while preserving volatile anthocyanin hibiscus esters. Laurina low-caffeine mutation allows intrinsic sucrose to express as clean honeyed finish without alkaloid bitterness. Anaerobic Natural transformed malic acid into jammy apple paste mid-phase. First Hybrid Laurina varietal in archive — new genetic category unlocked. Hibiscus = anthocyanin; Apple paste = malic lactone; Honey = sucrose at sub-50°C.</t>
  </si>
  <si>
    <t xml:space="preserve">Solo visit — Alchemist Ocean Financial Centre</t>
  </si>
  <si>
    <t xml:space="preserve">Fluid Collective</t>
  </si>
  <si>
    <t xml:space="preserve">El Obraje</t>
  </si>
  <si>
    <t xml:space="preserve">Flatbed Dripper (Flat-Bottom)</t>
  </si>
  <si>
    <t xml:space="preserve">92</t>
  </si>
  <si>
    <t xml:space="preserve">Option-O Lagom P64 (64mm Flat Burr)</t>
  </si>
  <si>
    <t xml:space="preserve">Mango; Orange Blossom; Nectarine; Honey</t>
  </si>
  <si>
    <t xml:space="preserve">Damn the taste so nice — the orange nectarine finishing with that honey is terrific. Love this one. So far my favourite. Honey sweetness lingers and taste changes as temperature cools. Best Gesha washed in archive at time of logging.</t>
  </si>
  <si>
    <t xml:space="preserve">Lagom P64 64mm flat burrs deliver near-unimodal particle distribution — same hardware platform as Asylum Coffeehouse entries, enabling pure terroir delta comparison between Colombia Gesha (El Obraje, Huila) and Peru Gesha (Wilder Garcia, Jaén). 92°C at 1:15.3 maximised linalool floral ester retention while stabilising malic acid mango-nectarine backbone. Flat-bottom eliminated bypass and ensured even bed saturation — critical for preserving fragile Gesha aromatics. Honey finish = sucrose preserved at washed-process mucilage removal stage.</t>
  </si>
  <si>
    <t xml:space="preserve">Solo visit — FLUID Singapore</t>
  </si>
  <si>
    <t xml:space="preserve">24 Opal Cres, Singapore 328418</t>
  </si>
  <si>
    <t xml:space="preserve">Pocket by Flip (Flip Coffee Roasters)</t>
  </si>
  <si>
    <t xml:space="preserve">Ecuador La Papaya</t>
  </si>
  <si>
    <t xml:space="preserve">La Papaya Farm</t>
  </si>
  <si>
    <t xml:space="preserve">Loja, Ecuador</t>
  </si>
  <si>
    <t xml:space="preserve">Filter Hot — Flat-Bottom (Hario Alpha)</t>
  </si>
  <si>
    <t xml:space="preserve">92 → 75 → 92</t>
  </si>
  <si>
    <t xml:space="preserve">Mahlkönig CORE (54mm Flat Burr)</t>
  </si>
  <si>
    <t xml:space="preserve">Fresh Apricot; Rooibos; Lemon Thyme; Toffee Apple</t>
  </si>
  <si>
    <t xml:space="preserve">Opening: tartaric apricot + rooibos aspalathin. Mid: thymol terpene coat — lipid-binding, persistent to midway. Cooling: malic apple shift + caramelised sucrose. Clean transparent fade. No linalool/jasmine — terpene-forward character distinct from Peru Geisha entries. Highest-altitude Geisha in archive at 2,100 MASL.</t>
  </si>
  <si>
    <t xml:space="preserve">Triple-temp cascade (92→75→92°C) on CORE 54mm flat burr + Hario Alpha flat-bottom preserved heat-sensitive thymol terpenes from 2,100 MASL Loja terroir. 75°C mid-pour is the critical terpene-stabilisation variable — thymol is lipid-binding and volatile above 80°C, so mid-temp pour is the architecture delivering the persistent midpalate coat. Ecuador Geisha = terpene-forward (Thymol/Aspalathin) clearly differentiated from linalool-forward Peru Geisha (Jasmine/Citric). First Ecuador-origin entry in archive.</t>
  </si>
  <si>
    <t xml:space="preserve">Solo visit — Pocket by Flip, 30 Stevens Road</t>
  </si>
  <si>
    <t xml:space="preserve">30 Stevens Rd, #01-08, Singapore 257840</t>
  </si>
  <si>
    <t xml:space="preserve">20 Grams Coffee Roastery</t>
  </si>
  <si>
    <t xml:space="preserve">Rwanda Nyabihu — Red Bourbon</t>
  </si>
  <si>
    <t xml:space="preserve">Josue Dusengiyumva, Shyira Washing Station</t>
  </si>
  <si>
    <t xml:space="preserve">Nyabihu District, Rwanda</t>
  </si>
  <si>
    <t xml:space="preserve">Red Bourbon</t>
  </si>
  <si>
    <t xml:space="preserve">Light (Nordic Roast)</t>
  </si>
  <si>
    <t xml:space="preserve">Pourover</t>
  </si>
  <si>
    <t xml:space="preserve">Ditting 804 (Flat Burr)</t>
  </si>
  <si>
    <t xml:space="preserve">Hibiscus; Raspberry; Tropical Fruit</t>
  </si>
  <si>
    <t xml:space="preserve">Palate confirmed: peach, stone fruit, malic clarity. "Soft, peach-forward, malic clarity — light and approachable. First Rwanda origin entry. Terroir-pure expression of Nyabihu volcanic terroir." 4/5 stars.</t>
  </si>
  <si>
    <t xml:space="preserve">1:16 lean ratio (vs 1:15 standard) suppresses body/TDS to amplify volatile aromatics — deliberate strategy to showcase Rwandan terroir delicacy. Malic-acid-dominant, smooth rounded onset consistent with washed Red Bourbon genetics.</t>
  </si>
  <si>
    <t xml:space="preserve">Twenty Grams Roastery, MacPherson — first Rwanda origin entry</t>
  </si>
  <si>
    <t xml:space="preserve">Field entry (infographic-derived)</t>
  </si>
  <si>
    <t xml:space="preserve">14 Arumugam Rd, #01-05 LTC Building C, Singapore 409959</t>
  </si>
  <si>
    <t xml:space="preserve">Kenya Nyeri Hill — SL28</t>
  </si>
  <si>
    <t xml:space="preserve">Nyeri Hill Factory</t>
  </si>
  <si>
    <t xml:space="preserve">Kiambu District, Kenya</t>
  </si>
  <si>
    <t xml:space="preserve">SL28</t>
  </si>
  <si>
    <t xml:space="preserve">Cortado (Espresso-based)</t>
  </si>
  <si>
    <t xml:space="preserve">~1:1 (espresso/milk)</t>
  </si>
  <si>
    <t xml:space="preserve">N/A — espresso format</t>
  </si>
  <si>
    <t xml:space="preserve">Ditting Lab Sweet 403</t>
  </si>
  <si>
    <t xml:space="preserve">Apple; Grape; Blackcurrant</t>
  </si>
  <si>
    <t xml:space="preserve">Palate confirmed: clean, nice, excellent lingering finish. "Clean, structured, with an exceptional lingering phosphoric finish — textbook SL28 Kenyan expression perfectly delivered in cortado format." 4/5 stars.</t>
  </si>
  <si>
    <t xml:space="preserve">9-bar extraction emulsifies coffee lipids into the crema matrix; ~1:1 milk ratio softens entry while SL28's signature phosphoric acid structure dominates the finish — classic Kenyan cortado profile.</t>
  </si>
  <si>
    <t xml:space="preserve">Twenty Grams Roastery, MacPherson — same visit as Rwanda pourover</t>
  </si>
  <si>
    <t xml:space="preserve">Zerah Roasters</t>
  </si>
  <si>
    <t xml:space="preserve">El Diviso — Caturra Chiroso (Ester Bomb)</t>
  </si>
  <si>
    <t xml:space="preserve">El Diviso Farm</t>
  </si>
  <si>
    <t xml:space="preserve">Caturra Chiroso</t>
  </si>
  <si>
    <t xml:space="preserve">Yeast Anaerobic Natural</t>
  </si>
  <si>
    <t xml:space="preserve">Flat-Bottom Dripper</t>
  </si>
  <si>
    <t xml:space="preserve">38g / Unknown seconds</t>
  </si>
  <si>
    <t xml:space="preserve">DF64 Gen 2 (64mm Flat Burr — aftermarket upgrade)</t>
  </si>
  <si>
    <t xml:space="preserve">Passionfruit; Plum Wine; Mango</t>
  </si>
  <si>
    <t xml:space="preserve">Goddamn the smell is intense. Flavor burst — acid or strong flavor, super punchy. Passionfruit with enhanced fruit, funky. Plums. After cooling — sugars came out. Interesting. Strong flavor gone. Overall: funky, fermentation-driven. Processing-dominant cup. Three completely different cups in one — ester detonation hot, funk phase mid, mango sweetness cool.</t>
  </si>
  <si>
    <t xml:space="preserve">Yeast strains WLPU07 + LALVIN 71B at 96hr fermentation, pH 3.72, 100% anaerobic sealed tank (1.2 bar, 23.4°C) produced extreme ester complexity: γ-decalactone (passionfruit lactone) dominant hot, tartaric esters + acetic acid (plum wine/funk) mid, fructose ester chains (mango sweetness) cold. 1:16 lean ratio was critical safety valve — prevented cloying ester overload and enabled three-phase thermal tracking. Flat-bottom geometry amplified body and even bed saturation. DF64 Gen 2 with aftermarket 64mm flat burrs: first DF64 platform entry in archive. Caturra Chiroso = elongated cell structure, Geisha-adjacent clarity potential overridden by fermentation intensity. Yeast Anaerobic Natural distinct process category from Wild Anaerobic.</t>
  </si>
  <si>
    <t xml:space="preserve">Solo visit — Zerah Roasters, Singapore, 26 May 2026. Barista explained fermentation process, flat-bottom geometry rationale, 1:16 ratio decision in detail. Warm educational session on 2nd floor cosy space. Barista recommended Glyph Supply Co (Jurong).</t>
  </si>
  <si>
    <t xml:space="preserve">Infographic (Entry #025 Ester Bomb) + Google Maps review + Google review authored by Hari</t>
  </si>
  <si>
    <t xml:space="preserve">465 North Bridge Rd, #02-5063, Singapore 188720</t>
  </si>
  <si>
    <t xml:space="preserve">Colombia Juan Martin</t>
  </si>
  <si>
    <t xml:space="preserve">Banexport</t>
  </si>
  <si>
    <t xml:space="preserve">Red Striped Bourbon</t>
  </si>
  <si>
    <t xml:space="preserve">Mahlkönig EK Omnia (98mm Flat Burr)</t>
  </si>
  <si>
    <t xml:space="preserve">Berry, Red Plum, Nectarine, Orange Tea</t>
  </si>
  <si>
    <t xml:space="preserve">Orange-type aromatic afterfeel when hot — bright and encapsulating. Clearly fruity character throughout. Mellows cleanly as it cools; sugars emerge distinctly at mid-cool phase. Nice and light overall — 1:17 lean ratio working well on this varietal.</t>
  </si>
  <si>
    <t xml:space="preserve">EK Omnia 98mm flat burrs + xBloom flat-bottom geometry maintained body integrity at 1:17 lean ratio. Retail bag on shelf dated 10 Jun 2026 but filter batch roast date unconfirmed — cup behaviour (clean sugar emergence, well-integrated stone fruit at cool phase) is consistent with a properly rested lot of 10–21 days post-roast. Red Striped Bourbon sucrose density confirmed by clean sweetness at cool phase.</t>
  </si>
  <si>
    <t xml:space="preserve">Solo visit — office lunch break, 13:15</t>
  </si>
  <si>
    <t xml:space="preserve">Direct observation + bag photo (retail stock)</t>
  </si>
  <si>
    <t xml:space="preserve">Rwanda Nkara Soil Project Lot 1204</t>
  </si>
  <si>
    <t xml:space="preserve">Nkara Soil Project</t>
  </si>
  <si>
    <t xml:space="preserve">Rwanda</t>
  </si>
  <si>
    <t xml:space="preserve">Floral aroma, taste of mandarin orange, baked apple and grapefruit, brown sugar-like sweetness and accompanying aftertaste</t>
  </si>
  <si>
    <t xml:space="preserve">Strong aftertaste with slight bitterness noted. Baked apple taste dominates and persists across all phases. Sugars emerge clearly on cooling — brown sugar sweetness confirmed at cool phase. Rated average. Rwanda Nkara terroir pushes more citrus-floral (mandarin/grapefruit) vs prior Rwanda entry at Twenty Grams (Entry #024) which was peach/stone fruit dominant.</t>
  </si>
  <si>
    <t xml:space="preserve">EK43 98mm flat burrs paired with conical V60 geometry — key hardware distinction vs prior Kurasu Frinsa entry. V60 conical creates faster flow rate and higher bypass risk vs flat-bottom; the slight bitterness is consistent with conical geometry allowing fine particles to over-extract at the drain. Washed Red Bourbon at altitude delivers classic Rwandan citric-malic duality (mandarin + baked apple). Baked apple dominance = malic acid thermally stabilised — persists across full thermal arc unlike volatile citric top notes which fade. Brown sugar aftertaste is sucrose retention signature of Red Bourbon genetics.</t>
  </si>
  <si>
    <t xml:space="preserve">Solo visit — 13 Jun 2026</t>
  </si>
  <si>
    <t xml:space="preserve">Direct observation + bean card photo</t>
  </si>
  <si>
    <t xml:space="preserve">KerYi Coffee</t>
  </si>
  <si>
    <t xml:space="preserve">Colombia Finca La Esmaralda</t>
  </si>
  <si>
    <t xml:space="preserve">Finca La Esmaralda</t>
  </si>
  <si>
    <t xml:space="preserve">Honey</t>
  </si>
  <si>
    <t xml:space="preserve">Light Roast</t>
  </si>
  <si>
    <t xml:space="preserve">Hario Switch (Immersion/Percolation Hybrid)</t>
  </si>
  <si>
    <t xml:space="preserve">91 → 78</t>
  </si>
  <si>
    <t xml:space="preserve">60g (~4:1)</t>
  </si>
  <si>
    <t xml:space="preserve">Ditting 98mm flat burr</t>
  </si>
  <si>
    <t xml:space="preserve">Citrus, white florals, lychee, sugar-cane sweetness</t>
  </si>
  <si>
    <t xml:space="preserve">Smooth body throughout. Lychee &amp; white florals lead in the hot phase — fragile linalool terpenes survived the tight 1:14 concentration. Citrus surfaces mid-cool as perceived sweetness rises; honey-derived sweetness rounds the cool-phase finish into progressive smoothness. Rated highly — a fine, relaxing Gesha. Clarity held; upper Gesha tier (cf. El Obraje washed favourite, Hiu Los Lajones honey Panama).</t>
  </si>
  <si>
    <t xml:space="preserve">Ditting 98mm flat burrs deliver lab-grade narrow particle distribution with minimal fines — the key variable licensing an aggressive 1:14 ratio without astringency. Descending pour (91°C bloom/first pour → 78°C final) uses temperature as a brake on the extraction tail: high heat early extracts volatile terpenes, acids &amp; sugars; the cool final pour reaches target volume while suppressing late-stage chlorogenic-acid bitterness. Hario Switch valve-closed immersion develops honey-process mucilage sweetness &amp; body evenly before percolative drain adds finish definition — conical geometry runs against the flat-bottom affinity but suits this process.</t>
  </si>
  <si>
    <t xml:space="preserve">Solo relaxation visit — Sunday 14 Jun 2026, 11 AM; barista-led brew interview (grinder/ratio/temp confirmed)</t>
  </si>
  <si>
    <t xml:space="preserve">Direct observation + menu photo + barista interview</t>
  </si>
  <si>
    <t xml:space="preserve">161 Lavender St, #01-08, Singapore 338750</t>
  </si>
  <si>
    <t xml:space="preserve">Corner Corner</t>
  </si>
  <si>
    <t xml:space="preserve">Malaysia My Liberica</t>
  </si>
  <si>
    <t xml:space="preserve">My Liberica (Jason Liew), Kulai, Johor</t>
  </si>
  <si>
    <t xml:space="preserve">Malaysia, Kulai, Johor</t>
  </si>
  <si>
    <t xml:space="preserve">Liberica (Coffea liberica)</t>
  </si>
  <si>
    <t xml:space="preserve">JH Natural (Jekyll &amp; Hyde controlled fermentation - proprietary My Liberica process)</t>
  </si>
  <si>
    <t xml:space="preserve">Pour Over (filter)</t>
  </si>
  <si>
    <t xml:space="preserve">90-92 (steady throughout)</t>
  </si>
  <si>
    <t xml:space="preserve">Timemore (conical Gold burr, coarse)</t>
  </si>
  <si>
    <t xml:space="preserve">Root beer / Tropical fruit punch / Raspberry candy / Rambutan / Longan / Sarsi (roaster: One Half)</t>
  </si>
  <si>
    <t xml:space="preserve">Interesting and approachable - 'not so funky but different for sure'; picked out longan-type fruit. First non-arabica capture in the archive; landed as a positive novelty rather than rejected.</t>
  </si>
  <si>
    <t xml:space="preserve">First Liberica (Coffea liberica) and first Malaysia/Johor origin in archive; near-sea-level farm (26-30 MASL). Low 13g dose at ~1:14.6 ratio with steady 90-92C and a conical Timemore Gold burr deliberately tames Liberica's smoky-woody funk into a cleaner, longan-forward cup; the small dose + generous water dilutes intensity for legibility. NOTE: barista verbally cited ~1:16, but stated 13g:190g computes to 1:14.6.</t>
  </si>
  <si>
    <t xml:space="preserve">Roaster: One Half (light-roast filter program). Corner Corner is a vinyl-record listening bar/cafe; walls of LPs, warm low lighting, Japanese-style carafe-and-cup serve. Friday 19 June 2026, ~15:15. Rated awesome by Hari.</t>
  </si>
  <si>
    <t xml:space="preserve">Field audit (Claude)</t>
  </si>
  <si>
    <t xml:space="preserve">16 Duxton Rd, Singapore 089482</t>
  </si>
  <si>
    <t xml:space="preserve">Equate</t>
  </si>
  <si>
    <t xml:space="preserve">Colombia Huila La Pradera</t>
  </si>
  <si>
    <t xml:space="preserve">La Pradera</t>
  </si>
  <si>
    <t xml:space="preserve">Colombia, Huila</t>
  </si>
  <si>
    <t xml:space="preserve">Pour Over (Orea V4)</t>
  </si>
  <si>
    <t xml:space="preserve">90-92 (pours 1-2), 68-70 (pours 3-4)</t>
  </si>
  <si>
    <t xml:space="preserve">EK43</t>
  </si>
  <si>
    <t xml:space="preserve">Peach Jam / Orange / Honey Sweetness</t>
  </si>
  <si>
    <t xml:space="preserve">Average - strong isolated peach note but jam/honey sweetness underdeveloped; suspects 1:15 ratio would have balanced acid/sweetness better</t>
  </si>
  <si>
    <t xml:space="preserve">Flat-burr EK43 (98mm) paired with flat-bottom Orea V4 geometry and a descending 90-92C to 68-70C thermal pulse profile; the 1:14 ratio (tighter than Hari's 1:15-1:17 default) front-loaded malic acid extraction (strong peach) while leaving honey/sweetness underdeveloped due to reduced dilution and low back-half temperature.</t>
  </si>
  <si>
    <t xml:space="preserve">2nd-floor minimalist cafe; pastel interiors, spacious, dog-friendly; cakes-only food menu (banana cake); benchmark ambience per Hari.</t>
  </si>
  <si>
    <t xml:space="preserve">1 Tanjong Pagar Plaza, #02-25, Singapore 082001</t>
  </si>
  <si>
    <t xml:space="preserve">Apartment Roastery</t>
  </si>
  <si>
    <t xml:space="preserve">Colombia Javier Quintero</t>
  </si>
  <si>
    <t xml:space="preserve">Javier Quintero, Buena Vista Farm</t>
  </si>
  <si>
    <t xml:space="preserve">Inza, Cauca, Colombia</t>
  </si>
  <si>
    <t xml:space="preserve">Bourbon Aruzi</t>
  </si>
  <si>
    <t xml:space="preserve">Light (Filter Roast)</t>
  </si>
  <si>
    <t xml:space="preserve">Pour-over (Hand Brew)</t>
  </si>
  <si>
    <t xml:space="preserve">1:16.9</t>
  </si>
  <si>
    <t xml:space="preserve">White peach; blackberry; jasmine</t>
  </si>
  <si>
    <t xml:space="preserve">White peach dominant, well-balanced; clean washed expression, very enjoyable</t>
  </si>
  <si>
    <t xml:space="preserve">High-temp (95C) and 1:16.9 ratio on EK43 flat burr favored extraction of volatile floral/peach esters (linalool, lactones) over heavier blackberry polyphenolics, producing a peach-forward, high-clarity cup. 200g bag roasted 15 June 2026 (6 days post-roast at time of visit).</t>
  </si>
  <si>
    <t xml:space="preserve">Sister branch of Apartment (Selegie Rd), located Jalan Riang, Serangoon Gardens. First visit to this branch.</t>
  </si>
  <si>
    <t xml:space="preserve">Jln Riang, #15-9, Singapore 358987</t>
  </si>
  <si>
    <t xml:space="preserve">PPP Coffee (Funan)</t>
  </si>
  <si>
    <t xml:space="preserve">Ethiopia Suke Quto</t>
  </si>
  <si>
    <t xml:space="preserve">Suke Quto Farm (Tesfaye Bekele)</t>
  </si>
  <si>
    <t xml:space="preserve">Welicho &amp; Kurume (blend)</t>
  </si>
  <si>
    <t xml:space="preserve">Fully-Washed</t>
  </si>
  <si>
    <t xml:space="preserve">Light Filter Roast</t>
  </si>
  <si>
    <t xml:space="preserve">Mazzer MM (83mm Flat Burr)</t>
  </si>
  <si>
    <t xml:space="preserve">Nectarine, White Florals, Citrus</t>
  </si>
  <si>
    <t xml:space="preserve">Sharp unripe orange dominated all thermal phases — no floral lift, no mid-cool malic sweetness, no phase shift detected. Citric over-extraction signature suppressed linalool volatiles and sucrose emergence. Hardware execution miss — Guji terroir likely unrealised. Rated below average.</t>
  </si>
  <si>
    <t xml:space="preserve">Mazzer MM 83mm flat burrs produce wider fines distribution than 98mm reference tier; fine particle accumulation at V60 conical drain drove chlorogenic-acid over-extraction, presenting as persistent sharp citrus and blunting the Welicho &amp; Kurume floral/nectarine terroir expression across the full thermal arc. Second V60 conical over-extraction pattern in archive (cf. Entry #31, Kurasu Rwanda).</t>
  </si>
  <si>
    <t xml:space="preserve">Solo visit — 25 Jun 2026; Funan mall location; bean card photographed; no barista consultation</t>
  </si>
  <si>
    <t xml:space="preserve">Direct observation + bean card photo + menu photo</t>
  </si>
  <si>
    <t xml:space="preserve">107 N Bridge Rd, #02-19, Singapore 179105</t>
  </si>
  <si>
    <t xml:space="preserve">China Yunnan Meng Hai</t>
  </si>
  <si>
    <t xml:space="preserve">Blang and Dai Family Farms</t>
  </si>
  <si>
    <t xml:space="preserve">Menghai, Xishuangbanna, Yunnan, China</t>
  </si>
  <si>
    <t xml:space="preserve">Purple Leaf Caturra</t>
  </si>
  <si>
    <t xml:space="preserve">Double Washed</t>
  </si>
  <si>
    <t xml:space="preserve">1:16.5</t>
  </si>
  <si>
    <t xml:space="preserve">4-pour progressive ~30s intervals; Bloom 30g; to 120g (+90g); to 180g (+60g); to 215g (+35g). Descending pour volumes confirmed by barista.</t>
  </si>
  <si>
    <t xml:space="preserve">Dried tangerine peel; red apple; pandan (origin card) / Dried orange peel; red apple; pandan (menu — discrepancy flagged)</t>
  </si>
  <si>
    <t xml:space="preserve">Bright vibrant opening (hot); crisp malic clarity; mellowed gracefully at cool with no dominant note; pandan as background aromatic binder; well-balanced; no bitterness; genuinely pleasant surprise for non-core-palate origin</t>
  </si>
  <si>
    <t xml:space="preserve">Double Washed process + EK43 flat burr uniformity produced exceptional acid clarity across all thermal phases; constant 95C 4-pour progressive with descending pour volumes (30g bloom → +90g → +60g → +35g) front-loaded solubles extraction then completed gently without bed agitation; Purple Leaf Caturra anthocyanin complexity confirmed at cool phase.</t>
  </si>
  <si>
    <t xml:space="preserve">Second visit to Apartment (Jalan Riang); Saturday 27 Jun 2026, 10:45am. Menu note: dried orange peel (menu) vs dried tangerine peel (origin card) — origin card used as authoritative. First Chinese-origin entry in archive (entry #36).</t>
  </si>
  <si>
    <t xml:space="preserve">Ethiopia Urabeast G1</t>
  </si>
  <si>
    <t xml:space="preserve">Uraga, Guji, Ethiopia</t>
  </si>
  <si>
    <t xml:space="preserve">74110 / 74112</t>
  </si>
  <si>
    <t xml:space="preserve">Mosto Fermentation</t>
  </si>
  <si>
    <t xml:space="preserve">88 → 70</t>
  </si>
  <si>
    <t xml:space="preserve">Winey; Raspberry; Purple grapes</t>
  </si>
  <si>
    <t xml:space="preserve">First mosto fermentation entry in archive — process milestone. Bright raspberry and florals dominate hot phase; fruit esters volatile and immediate confirming correct low-entry-temp calibration at 88°C. Thermal transition mid-cool reveals progressive winey character as acetic compounds emerge post-ester dissipation. Purple grape ambiguous — raspberry clearly dominant throughout. Light-to-medium body with clean short finish consistent with 74110/74112 JARC varietal genetics. Fruity, controlled, process-honest expression. Rated excellent.</t>
  </si>
  <si>
    <t xml:space="preserve">88°C descending to 70°C entry temp is deliberate suppression of acetic acid volatilisation — allows fruit esters to express cleanly before winey compounds dominate. Ditting 98mm flat burr uniformity protected raspberry ester clarity; 1:14 tight ratio on Hario Switch immersion built even body without over-extracting fermentation-derived acetic acids. 2-minute brew time limited lipid extraction keeping finish clean rather than syrupy. Mosto fermentation uses cherry pulp juice as fermentation medium — produces restrained winey complexity vs full natural while retaining dark fruit ester complexity.</t>
  </si>
  <si>
    <t xml:space="preserve">Solo visit — 28 Jun 2026, 10:30AM. Keryi return visit (Entry #31 ref: Colombia Finca La Esmaralda). First mosto fermentation process in archive.</t>
  </si>
  <si>
    <t xml:space="preserve">Field audit (Claude) — direct barista confirmation</t>
  </si>
  <si>
    <t xml:space="preserve">Yellow Sudan Rume</t>
  </si>
  <si>
    <t xml:space="preserve">Felipe Arcila - Jardines Del Eden</t>
  </si>
  <si>
    <t xml:space="preserve">Pijiao, Quindío, Colombia</t>
  </si>
  <si>
    <t xml:space="preserve">Sudan Rume (Yellow)</t>
  </si>
  <si>
    <t xml:space="preserve">Extended Fermentation Natural (EF2)</t>
  </si>
  <si>
    <t xml:space="preserve">April Brewer (Flat-Bottom)</t>
  </si>
  <si>
    <t xml:space="preserve">110g (first pour) → 240g (second pour)</t>
  </si>
  <si>
    <t xml:space="preserve">Lemongrass, Vanilla, Red Fruits, Brown Sugar</t>
  </si>
  <si>
    <t xml:space="preserve">Hot phase: red fruits dominant, bright and acidic, light-to-medium body. Mid-cool: lemongrass clarifies as geraniol emerges; vanilla appears as background aromatic. Cool: brown sugar sweetness confirmed, mellowed, clean lingering finish with pleasant mouthfeel. Overall excellent — bright, fruity, balanced, varietal-honest. First Yellow Sudan Rume natural-process entry in archive.</t>
  </si>
  <si>
    <t xml:space="preserve">EF2 24-hour Grainpro aerobic fermentation at sub-22°C produced controlled ester development without acetic acid overproduction — cup reads bright and clean vs winey (contrast Entry #37 mosto). Red fruit dominance hot phase = ethyl butyrate/hexanoate fermentation esters. Lemongrass/geraniol mid-cool = Sudan Rume varietal-native genetic signature, not process-derived. Vanillin + brown sugar sucrose emerges sub-55°C at cool phase. April flat-bottom two-pour (110g + 130g) at 90°C maintained even bed saturation preserving delicate geraniol top notes. Three milestones: first Yellow Sudan Rume mutation in archive; first EF2 Extended Fermentation Natural process category; new producer Felipe Arcila / Jardines Del Eden.</t>
  </si>
  <si>
    <t xml:space="preserve">Solo visit — 28 Jun 2026, 11:06AM. Second stop of dual-session day (Entry #37 Keryi Coffee mosto fermentation same morning). Receipt SGD 14.00 confirmed.</t>
  </si>
  <si>
    <t xml:space="preserve">Field audit (Claude) — bean card + receipt + hardware photos</t>
  </si>
  <si>
    <t xml:space="preserve">2050 Coffee</t>
  </si>
  <si>
    <t xml:space="preserve">Myanmar Arakan Mountain</t>
  </si>
  <si>
    <t xml:space="preserve">Asho Chin Coffee Association</t>
  </si>
  <si>
    <t xml:space="preserve">Magway, Myanmar</t>
  </si>
  <si>
    <t xml:space="preserve">Catimor</t>
  </si>
  <si>
    <t xml:space="preserve">Fully Washed &amp; Honey</t>
  </si>
  <si>
    <t xml:space="preserve">Automated Tap Dispenser (Filter)</t>
  </si>
  <si>
    <t xml:space="preserve">N/A — batch-dispensed, no per-cup brew event</t>
  </si>
  <si>
    <t xml:space="preserve">Yellow Pear, Dried Fruits, Brown Sugar, Almond</t>
  </si>
  <si>
    <t xml:space="preserve">Fruity and acidic with pear dominant and a light nutty edge — closely matches official notes (Yellow Pear, Almond). But flat across the cup: none of the hot/mid-cool/cool thermal progression of a manual pourover, reading as machine-consistent rather than barista-crafted. Hari's verdict: not worth a repeat visit — and on principle, he considers it a bad idea to automate the pourover format specifically. Pourover's whole identity rests on a human reading the bed and adjusting pour/temperature in real time; a tap dispenser removes that variable entirely, so even a technically clean cup like this one reads as inert rather than expressive.</t>
  </si>
  <si>
    <t xml:space="preserve">Tap-dispensed batch brewing removes the two levers that define pourover's identity — pulse-pour agitation and a controlled, declining temperature curve — collapsing what should be a three-phase thermal arc into one static, averaged extraction state. Consistent, but expressively inert; this backs up Hari's stated view that automation and pourover are a poor philosophical fit. Catimor's rust-resistant hybrid lineage plus the sub-1,050m altitude also compress the acid/aromatic ceiling well below the 1,700m+ Bourbon/Gesha lots this benchmarks against. Automation suits high-throughput formats (espresso, batch drip, cold brew) where uniformity is the point; it works against the reason pourover exists in the first place. Machine-brewed psychological discount applies per scoring convention.</t>
  </si>
  <si>
    <t xml:space="preserve">First visit — automated tap filter bar (2050 Coffee), novelty try. First Myanmar origin and first Catimor varietal in archive. Hari has ruled out a return visit and holds a firm general view that automating pourover-format filter brewing is conceptually flawed, regardless of cup quality.</t>
  </si>
  <si>
    <t xml:space="preserve">267 Beach Rd, #01-01, Singapore 199545</t>
  </si>
  <si>
    <t xml:space="preserve">Ethiopia Worka Chelchele</t>
  </si>
  <si>
    <t xml:space="preserve">Kyūkei Coffee (In-house roast) — confirmed via Instagram DM</t>
  </si>
  <si>
    <t xml:space="preserve">Gedeb, Gedeo Zone, Ethiopia</t>
  </si>
  <si>
    <t xml:space="preserve">Dega, Wolisho, Kurume (Landrace Triad)</t>
  </si>
  <si>
    <t xml:space="preserve">Pour-over (Deep27, Flat-Bottom, Immersion-Assist) — confirmed by Kyūkei Coffee via Instagram DM</t>
  </si>
  <si>
    <t xml:space="preserve">85 → 95 (ramped)</t>
  </si>
  <si>
    <t xml:space="preserve">30 seconds</t>
  </si>
  <si>
    <t xml:space="preserve">Unknown — Kyūkei DM did not address grinder; tall cylindrical flat-burr unit visible in bar photo, model unconfirmed</t>
  </si>
  <si>
    <t xml:space="preserve">Lemon, Peach, Bergamot, Apricot</t>
  </si>
  <si>
    <t xml:space="preserve">Floral hit and citrus brightness dominated the hot phase — lime/lemon citric clarity with linalool florals leading. Mid-cool: brightness tapered into balanced malic structure; slight chlorogenic bitter tinge after slurp — contained, not a flaw. Cool phase: nectarine and stone fruit sugars emerged cleanly; jasmine/berry aftertaste lingered beyond the cup. Excellent 4/4 palate alignment with roaster notes. Barista confirmed "bright" — accurate. Berry-jasmine aftertaste tail identified as likely Wolisho landrace signature beyond stated roaster notes.</t>
  </si>
  <si>
    <t xml:space="preserve">Deep27 flat-bottom immersion-assist brewer (confirmed by Kyūkei via DM) — the "D something" brewer identified in-session. Immersion-assist geometry ensures full and even bed saturation before drawdown, explaining the exceptional extraction clarity and balanced thermal arc observed. Grinder model unconfirmed — tall cylindrical flat-burr unit visible on bar but not identified by Kyūkei in DM. House ratio confirmed as 16g/240g (1:15) — within the 1:15–1:17 Palate DNA comfort band. Bloom confirmed 30 seconds. In-house roast confirmed.</t>
  </si>
  <si>
    <t xml:space="preserve">Solo visit — Kyūkei Coffee Maxwell lunch audit, 01 Jul 2026, 13:04</t>
  </si>
  <si>
    <t xml:space="preserve">Direct observation + receipt + barista confirmation</t>
  </si>
  <si>
    <t xml:space="preserve">Finca Villarazo — Pink Bourbon</t>
  </si>
  <si>
    <t xml:space="preserve">Finca Villarazo</t>
  </si>
  <si>
    <t xml:space="preserve">Pink Bourbon</t>
  </si>
  <si>
    <t xml:space="preserve">Pour-over (Orea V4 — Flat-Bottom)</t>
  </si>
  <si>
    <t xml:space="preserve">92 (constant)</t>
  </si>
  <si>
    <t xml:space="preserve">50g / 40s (1:3.3 bloom ratio)</t>
  </si>
  <si>
    <t xml:space="preserve">DF83V (83mm Flat Burr)</t>
  </si>
  <si>
    <t xml:space="preserve">Lively and juicy; Pomegranate; Mandarin; Lingering Florals</t>
  </si>
  <si>
    <t xml:space="preserve">Hot phase: simultaneous pomegranate + mandarin orange hit — bright, punchy, fruity. Low-to-medium body throughout. Mid-cool: sugar emergence as brightness decreases — sucrose surfacing as citric volatiles dissipate. Cool phase: sugar dominant with pomegranate aftertaste lingering cleanly. Floral presence subtle — linalool under the citric punch. Official notes confirmed across all three thermal phases. First Pink Bourbon in archive.</t>
  </si>
  <si>
    <t xml:space="preserve">DF83V 83mm flat burrs (Chinese-market variant) — first DF83 platform entry in archive, largest consumer flat burr diameter logged (83mm vs prior max 98mm commercial). Larger burr surface area + higher RPM produces near-zero fines, explaining exceptional acid clarity at hot phase. Orea V4 flat-bottom geometry: zero bypass, full bed saturation via wave filter — isolated Pink Bourbon citric-malic duality without channeling interference. 22 days off roast (roasted 11 Jun 2026) — one day past optimal 10-21 day degas window; citric top notes (mandarin) still present but beginning to fade, explaining why mid-cool sugar emergence was earlier and stronger than expected. Bloom 50g/40s (1:3.3 ratio) — generous bloom on 15g dose ensured full CO₂ purge before extraction. Constant 92°C with no temperature step-down: single-temp protocol on washed Pink Bourbon works because the bean has no heavy mucilage sugars requiring lower-temp management. Pink Bourbon genetic signature confirmed: ellagic acid esters (pomegranate, thermally stable) + citric acid (mandarin, volatile) co-present hot phase; sucrose density characteristic of Bourbon mutation reveals at cool. In-house micro-roastery adjacent to café — Zerah roasts own beans on-site.</t>
  </si>
  <si>
    <t xml:space="preserve">Solo visit — Zerah Roasters, Singapore. Friday lunch break, 12:30 PM, 3 Jul 2026. Second Zerah visit (Entry #035 ref: El Diviso Ester Bomb, 26 May 2026). Bean card photo confirmed. In-house roast, micro-roastery on-site next to café. Barista: Aqil — most friendly and enthusiastic barista across all 48 archive visits to date. Explained brew parameters, roast date, and flat-bottom geometry rationale unprompted. Standout human element — educational and warm throughout.</t>
  </si>
  <si>
    <t xml:space="preserve">Field audit (Claude) — bean card + barista confirmation</t>
  </si>
  <si>
    <t xml:space="preserve">Oaks Coffee Co.</t>
  </si>
  <si>
    <t xml:space="preserve">Floripondio 90 Hours</t>
  </si>
  <si>
    <t xml:space="preserve">Los Rodriguez</t>
  </si>
  <si>
    <t xml:space="preserve">Bolivia</t>
  </si>
  <si>
    <t xml:space="preserve">Lactic Honey</t>
  </si>
  <si>
    <t xml:space="preserve">Origami Dripper (Flat-Bottom)</t>
  </si>
  <si>
    <t xml:space="preserve">88 (constant)</t>
  </si>
  <si>
    <t xml:space="preserve">80-90g first pour (3-pour protocol)</t>
  </si>
  <si>
    <t xml:space="preserve">Option-O Lagom P80 (80mm Flat Burr)</t>
  </si>
  <si>
    <t xml:space="preserve">Mango; Passionfruit</t>
  </si>
  <si>
    <t xml:space="preserve">Hot phase: mango and passionfruit dominant — bright punchy LAB ester burst. Mid-cool: tropicals recede, sugar clarity emerges, lactic-glycerol creaminess surfaces. Cool phase: clean nectarine emergence — Pacamara varietal-native genetic signature. Clean honey sweetness, thermally stable finish. Bright, fruity, well-structured throughout. Highly enjoyable.</t>
  </si>
  <si>
    <t xml:space="preserve">P80 80mm flat burrs delivered near-unimodal distribution on Pacamara's oversized bean mass; 88°C constant temperature preserved LAB-derived fruit esters and lactic-glycerol creaminess from 90-hour fermentation without volatilising into sharpness; Origami flat-bottom zero-bypass architecture protected aromatic integrity across all three thermal phases.</t>
  </si>
  <si>
    <t xml:space="preserve">Solo visit — Oaks Coffee Co., Bukit Timah Road, 4 Jul 2026, 16:00. Café Day 4 of operations. Milestones: First Bolivia, First Pacamara, First Lactic Honey, First P80 platform. Barista warm and knowledgeable.</t>
  </si>
  <si>
    <t xml:space="preserve">Direct observation + bean card photo + barista confirmation</t>
  </si>
  <si>
    <t xml:space="preserve">223 Upper Thomson Rd, Singapore 574355</t>
  </si>
  <si>
    <t xml:space="preserve">Homeground Coffee Roasters</t>
  </si>
  <si>
    <t xml:space="preserve">Colombia Inmaculada Gesha Natural</t>
  </si>
  <si>
    <t xml:space="preserve">Inmaculada Estate</t>
  </si>
  <si>
    <t xml:space="preserve">Valle del Cauca, Colombia</t>
  </si>
  <si>
    <t xml:space="preserve">Origami Dripper (Ceramic — Flat-Bottom Stand)</t>
  </si>
  <si>
    <t xml:space="preserve">86-90</t>
  </si>
  <si>
    <t xml:space="preserve">Hibiscus, Pomegranate, Stewed Peach, Darjeeling Tea</t>
  </si>
  <si>
    <t xml:space="preserve">HOT: Hibiscus and pomegranate bright and balanced — clean anthocyanin-driven floral punch, excellent opening. | MID-COOL: Flavour tapered gracefully; Darjeeling tea polyphenol structure emerged, smooth and soothing. | COOL: Tea backbone confirmed with slight sugar aftercoat — cherry-dried sucrose persisting cleanly at sub-50°C. Overall: excellent and deeply relaxing; Gesha varietal identity held under natural process layer. Top-tier entry — starred.</t>
  </si>
  <si>
    <t xml:space="preserve">EK43 98mm flat burrs at 24–26 click equivalent; 86–90°C natural protocol deliberately suppresses acetic acid volatilisation while preserving anthocyanin-driven hibiscus esters and Gesha linalool-floral DNA. Lean 1:16.5 ratio dilutes fermentation-derived sugar density to reveal Gesha varietal structure underneath. Origami flat-bottom stand confirmed by direct observation — same pink ceramic unit used for both cups. 21 days off roast (roasted 14 Jun 2026, tasted 5 Jul 2026) — optimal degas window per bean card guidance; volatile aromatics intact, zero stale oxidation. Darjeeling tea polyphenol structure held clean across all thermal phases confirming precision aerobic fermentation at Inmaculada. First Colombia Gesha Natural in archive; completes washed/honey/natural Colombia Gesha process trilogy. First Homeground entry; first Origami brewer logged.</t>
  </si>
  <si>
    <t xml:space="preserve">Father-daughter visit — Homeground Coffee Roasters Bukit Timah Experience Room; 5 Jul 2026 10:30 AM</t>
  </si>
  <si>
    <t xml:space="preserve">Field audit (Claude) — bean card + barista confirmed + direct observation</t>
  </si>
  <si>
    <t xml:space="preserve">911 Bukit Timah Rd, Singapore 589622</t>
  </si>
  <si>
    <t xml:space="preserve">Bolivia Los Rodriguez Caturra Washed</t>
  </si>
  <si>
    <t xml:space="preserve">Samaipata, Bolivia</t>
  </si>
  <si>
    <t xml:space="preserve">Caturra</t>
  </si>
  <si>
    <t xml:space="preserve">1:16.2</t>
  </si>
  <si>
    <t xml:space="preserve">90-93</t>
  </si>
  <si>
    <t xml:space="preserve">Apricot, Apple, Honey</t>
  </si>
  <si>
    <t xml:space="preserve">Aanya's cup (companion entry). Fruity and clean throughout — apricot and stone fruit character apparent from opening; honey sweetness emerged clearly at cool phase. Both Hari and Aanya enjoyed; approachable, well-structured, and clean finish with no bitterness. Excellent introduction-level specialty filter.</t>
  </si>
  <si>
    <t xml:space="preserve">EK43 98mm flat burrs at 26–28 click equivalent (coarser than Gesha Natural — consistent with washed protocol building structured body); 90–93°C higher temp than natural protocol to fully dissolve Caturra's denser post-pulping cellulose structure. Origami flat-bottom stand confirmed by direct observation — same pink ceramic unit as Gesha. Flat-bottom geometry builds even puck saturation preserving malic apricot-apple clarity. Samaipata Bolivia high-altitude Caturra: compact varietal frame produces clean malic acid structure with honey-sucrose finish. Bean card specifies 14-day minimum rest. Roast date unknown.</t>
  </si>
  <si>
    <t xml:space="preserve">Father-daughter visit — Homeground Coffee Roasters Bukit Timah Experience Room; 5 Jul 2026 10:30 AM; Aanya's cup</t>
  </si>
  <si>
    <t xml:space="preserve">Field audit (Claude) — bean card confirmed + direct observation</t>
  </si>
  <si>
    <t xml:space="preserve">Cowpresso Coffee Roasters</t>
  </si>
  <si>
    <t xml:space="preserve">Geisha Colombia Las Nubes</t>
  </si>
  <si>
    <t xml:space="preserve">Valle de Cauca, Colombia</t>
  </si>
  <si>
    <t xml:space="preserve">Pour-over (Cowpresso Custom 3-Hole Ceramic Dripper — Conical)</t>
  </si>
  <si>
    <t xml:space="preserve">DF83 (83mm Flat Burr) — barista confirmed</t>
  </si>
  <si>
    <t xml:space="preserve">Lychee, Strawberry, Blueberry, Floral, Lemons</t>
  </si>
  <si>
    <t xml:space="preserve">HOT: Explosive berry and lemon citric punch; fruity-forward ester detonation with isoamyl lychee dominant and acetic back-note trailing from Natural process. | MID-COOL: Acid persistence — lychee ester adheres to palate; malic backbone emerges as citric fades; still assertive rather than settling. | COOL: Lychee and body hold clean to final temperature; no notable sugar emergence — melanoidin body from medium roast persists. Verdict: An aggressive Geisha expression — Natural process × medium roast drives a fruit-heavy, body-forward profile divergent from the archive's Washed Geisha baseline. Enjoyable on its own terms; confirms Palate DNA preference for calmer washed clarity. First Natural Geisha in archive. Father-daughter visit with Aanya; barista Aung (Myanmar) gifted a complimentary sea salt latte — standout warmth and hospitality. Excellent café ambience and visual aesthetics noted.</t>
  </si>
  <si>
    <t xml:space="preserve">Natural process ester chemistry (isoamyl acetate/lychee, berry esters) amplified by the custom Cowpresso 3-hole conical ceramic dripper's extended bed contact geometry, explaining the assertive acid punch and lychee persistence across all three thermal phases; medium roast Maillard contribution added unusual body mass for a Geisha, compressing linalool florals but sustaining melanoidin mouthfeel to cool — third conical-geometry entry in archive, consistent with the documented over-extraction pattern. DF83 83mm flat burrs provided low-fines grind consistency, moderating fermentation-derived acetic acid amplification. 10 days off roast (roasted 25 Jun 2026) — opening edge of optimal rest window; residual CO₂ may have contributed to slightly compressed clarity.</t>
  </si>
  <si>
    <t xml:space="preserve">Father-daughter visit with Aanya — Cowpresso Coffee Roasters Singapore, 5 Jul 2026, 17:00. Second café of the day after Homeground Coffee Roasters morning session (2 Geishas in one day). Post-hike afternoon visit. Barista: Aung (from Myanmar) — warm and hospitable; gifted a complimentary sea salt latte for tasting. Excellent café ambience and visual aesthetics. Roast date: 25 Jun 2026 (10 days off roast at time of visit). Coffee name 'Las Nubes' from menu/receipt; bean bag reads 'Valle de Cauca' — Las Nubes likely estate name, unconfirmed.</t>
  </si>
  <si>
    <t xml:space="preserve">Direct observation + bean bag photo + receipt + barista confirmation (Aung)</t>
  </si>
  <si>
    <t xml:space="preserve">21 Lor Kilat, #01-07, Singapore 598123</t>
  </si>
  <si>
    <t xml:space="preserve">Alo Coffee — Natural Anaerobic Ethiopia 74158</t>
  </si>
  <si>
    <t xml:space="preserve">Tamiru Tadesse</t>
  </si>
  <si>
    <t xml:space="preserve">74158</t>
  </si>
  <si>
    <t xml:space="preserve">Hario Switch (Flat-Bottom Immersion Hybrid)</t>
  </si>
  <si>
    <t xml:space="preserve">70 → 90 → 70°C (Thermal Oscillation Protocol)</t>
  </si>
  <si>
    <t xml:space="preserve">Lagom P64</t>
  </si>
  <si>
    <t xml:space="preserve">Lychee | Purple Grape | White Peach</t>
  </si>
  <si>
    <t xml:space="preserve">HOT: Perfect balance — lychee and white peach hit immediately. Clean tropical entry, no fermented funk. Light to medium body. WARM: Medium body settles; winey grape character emerges — controlled anaerobic expression, no acetic sharpness. COOL: Brightness recedes, grape clarifies and becomes dominant signal. Less vivid but more structured. Clarity increases as heat dissipates. Overall: well done. Fluid tamed the anaerobic variable cleanly.</t>
  </si>
  <si>
    <t xml:space="preserve">74158 (JARC Ethiopian selection) under anaerobic natural protocol: sealed-tank fermentation produces geraniol and rose oxide compounds — lychee and white peach dominant in hot phase. Ethyl acetate and anthocyanins unlock in warm phase as winey grape. Cool phase: volatile esters dissipate, structural anthocyanin compounds clarify into clean grape signal — classic anaerobic thermal behaviour. Fluid's 70→90→70°C protocol preserved fermentation character without amplifying acetic sharpness. Third Fluid visit confirms thermal oscillation protocol consistent across all menu rotations. Served in white handled mug — different serveware vs previous Fluid visits.</t>
  </si>
  <si>
    <t xml:space="preserve">Third visit to Fluid Collective, 6 July 2026, 13:10, lunch. Menu fully rotated — all three filter offerings new. First cup of two ordered today. Experimental mood — chose anaerobic. Barista confirmed: ratio 1:15, temp 70→90→70°C, standard Fluid protocol.</t>
  </si>
  <si>
    <t xml:space="preserve">Live Field Audit — Third Visit</t>
  </si>
  <si>
    <t xml:space="preserve">Gara Agena</t>
  </si>
  <si>
    <t xml:space="preserve">Gara Agena Washing Station</t>
  </si>
  <si>
    <t xml:space="preserve">Heirloom Ethiopian Varieties</t>
  </si>
  <si>
    <t xml:space="preserve">Washed Special Prep</t>
  </si>
  <si>
    <t xml:space="preserve">Nectarine | Mandarin Orange | Floral Honey</t>
  </si>
  <si>
    <t xml:space="preserve">HOT: Bright nectarine hit immediate and clean. Floral light orange present from the first sip. Honey detectable even at high temperature — extremely clean washed expression, orange character very clear. WARM: Honey gains ground and becomes the dominant note. Coffee calms and cleans further. Orange recedes to background — gentle, not forward. COOL: Very nice to drink. Washed clarity fully expresses. Nectarine returns cleaner and more defined at lower temperature. Top of my list for what I like. Exceptional.</t>
  </si>
  <si>
    <t xml:space="preserve">Gara Agena Washing Station — Gedeo Zone, Ethiopia. Washed Special Prep designation = Ethiopian Coffee Exchange highest sorting standard, defect-free, hand-selected. Heirloom Ethiopian varieties carry exceptional linalool ester diversity expressing as mandarin orange and floral honey. Nectarine = malic acid dominant — Hari's core palate signal. Clean three-phase thermal arc: nectarine/orange hot → honey grounds warm → washed clarity + nectarine cool. Same Fluid hardware and protocol as all prior visits. Perfect post-anaerobic palate reset — washed clarity after fermentation complexity creates maximum contrast in same session.</t>
  </si>
  <si>
    <t xml:space="preserve">Second cup of two at Fluid Collective third visit, 6 July 2026. Followed Alo Coffee Natural Anaerobic — deliberate contrast pairing. Gara Agena placed top of personal preference list by Hari. SGD 9 — outstanding value for Special Prep Ethiopian heirloom.</t>
  </si>
  <si>
    <t xml:space="preserve">Pinhole Coffee Bar</t>
  </si>
  <si>
    <t xml:space="preserve">Santa Barbara #1 — Gesha Honey Colombia</t>
  </si>
  <si>
    <t xml:space="preserve">Jhon Samboni — Santa Barbara #1</t>
  </si>
  <si>
    <t xml:space="preserve">Colombia — Huila</t>
  </si>
  <si>
    <t xml:space="preserve">Hario V60 Ceramic (Conical — Single Aperture)</t>
  </si>
  <si>
    <t xml:space="preserve">1:14.8</t>
  </si>
  <si>
    <t xml:space="preserve">92°C (Constant)</t>
  </si>
  <si>
    <t xml:space="preserve">52g (3.85× dose)</t>
  </si>
  <si>
    <t xml:space="preserve">Mahlkönig EK43 Mini (64mm Flat Burr)</t>
  </si>
  <si>
    <t xml:space="preserve">White Florals, Berry Candy, Tangerines</t>
  </si>
  <si>
    <t xml:space="preserve">HOT: Tea-like and light — less acidic than expected. Bergamot and white florals present from the first sip, characteristic Gesha linalool signature. Not loud; elegant and restrained. WARM: Subtle tangerine and stone fruit emerge as malic acid takes over from citric. Lychee hit — geraniol expression surfacing at lower temperature. Honey sweetness begins layering in. Brightness tapers cleanly with no harsh edge. COOL: Cup fully opens. Mandarin orange clarifies as the dominant acid signal — malic at low temp, softer and rounder than tangerine. Honey sweetness crystallises and lingers as a clean aftertaste. Best phase of the cup — this is a cold-cup Gesha. Patience rewarded.</t>
  </si>
  <si>
    <t xml:space="preserve">Jhon Samboni's Santa Barbara #1 roasted by Slurp Coffee Project (Roast Gate 15 June — 22 days off-roast, peak filter window). EK43 Mini (64mm flat burrs) — compact single-dose grinder with 64mm flat burrs, tighter particle distribution than full-size EK43 98mm; superior grind uniformity for single-dose filter; V60 conical geometry concentrates fines at apex creating flow restriction risk — mitigated here by fast 2-minute draw-down. 1:14.8 ratio (below Palate DNA band 1:15–1:17) amplified sweetness but compressed hot-phase aromatic lift. Honey process ketone-derived berry/stone fruit compounds require temperature below 65°C to fully volatilise — explains cold-phase revelation. Flat-bottom geometry would have delivered wider aromatic headspace in hot phase.</t>
  </si>
  <si>
    <t xml:space="preserve">Solo audit — Café debut, Watchlist visit fulfilled. 7 July 2026, 12:30 PM. Two offerings on menu: this Gesha at SGD 15 (Santa Barbara #1, Slurp Coffee Project) and Peru Natural Sidra+Caturra at SGD 12 (Elvis Tineo, Cajamarca). Chose Gesha. Pinhole Barista's Stash SGD 10 blind option also available. First Slurp Coffee Project roast in the archive. Barista noted V60 usage is legacy from previous management; current team considering switch to flat-bottom or siphon in future.</t>
  </si>
  <si>
    <t xml:space="preserve">Live Field Audit — Café Debut + Bean Card (Slurp Coffee Project) + Barista Confirmation (dose/temp/pour protocol)</t>
  </si>
  <si>
    <t xml:space="preserve">27 Purvis St, #01-02, Singapore 188604</t>
  </si>
  <si>
    <t xml:space="preserve">Double Shot Coffee</t>
  </si>
  <si>
    <t xml:space="preserve">Kotowa Carolina Gesha</t>
  </si>
  <si>
    <t xml:space="preserve">Kotowa Estate — Carolina Lot</t>
  </si>
  <si>
    <t xml:space="preserve">Boquete, Chiriquí, Panama</t>
  </si>
  <si>
    <t xml:space="preserve">OREA V4 (Flat-Bottom)</t>
  </si>
  <si>
    <t xml:space="preserve">1:13.3</t>
  </si>
  <si>
    <t xml:space="preserve">92°C</t>
  </si>
  <si>
    <t xml:space="preserve">50g bloom (4-pour: 50/50/50/30g)</t>
  </si>
  <si>
    <t xml:space="preserve">Ditting 63.5mm Flat Burr</t>
  </si>
  <si>
    <t xml:space="preserve">White Floral · Peach · White Grape</t>
  </si>
  <si>
    <t xml:space="preserve">HOT: Bright and immediate peach hit — ethyl ester fraction opening cleanly with malic brightness. Promising, high-energy opening. MID-COOL: White florals and peach clarity emerging together — linalool terpenes surfacing as expected for Gesha genetics. Both official notes (white floral, peach) tracking accurately. COOL: Cup mellows significantly. Peach recedes to background. Sucrose sweetness underperforms expectation — sugars suppressed by concentrated house ratio. Lingering bitterness detected — procyanidin and tannin expression from Natural cherry skin polyphenols amplified by 1:13.3 TDS. White grape polyphenol reads as astringent rather than sweet at cool. Overall rated average. Bean quality likely higher than this ratio reveals. Would revisit at 1:15–1:17 to properly isolate Kotowa terroir ceiling.</t>
  </si>
  <si>
    <t xml:space="preserve">Ditting 63.5mm flat burr delivered tight PSD with minimal fines migration and low heat transfer — correct hardware for a delicate Natural Gesha. OREA V4 flat-bottom geometry ensured uniform bed extraction and even dwell time across full coffee bed. However, the 1:13.3 concentrated house ratio elevated TDS significantly above standard 1:15–1:17 Palate DNA band — at this concentration, Natural process polyphenols (procyanidins, chlorogenic acid lactones from dried cherry skin) remain in solution without adequate water buffer to suppress bitterness below palate threshold. Sucrose sweetness outcompeted at cool phase. Ratio is the primary extraction variable suppressing the Gesha's characteristic tea-like sweetness. A 1:15–1:17 recipe would likely transform the cup's cool-phase expression entirely.</t>
  </si>
  <si>
    <t xml:space="preserve">Solo visit — 08 Jul 2026, 14:15. Double Shot Coffee, Kampong Bahru. Food-free dedicated brew-bar café. Barista warm and knowledgeable — voluntarily walked through all brew parameters (dose, temp, pour structure, grinder) without prompting. Comfortable seating. Visited directly after disappointment-driven palate reset at Nylon Coffee Roasters. First Kotowa Carolina estate entry in archive. First Double Shot Coffee visit. House philosophy: concentrated double-shot style filter — 1:13.3 is intentional format, not an error.</t>
  </si>
  <si>
    <t xml:space="preserve">Live Field Audit — Menu photo + barista interview + direct observation (Ditting grinder confirmed, OREA V4 confirmed)</t>
  </si>
  <si>
    <t xml:space="preserve">19 Kampong Bahru Rd, L1, Singapore 169348</t>
  </si>
  <si>
    <t xml:space="preserve">La Flor de la Palma</t>
  </si>
  <si>
    <t xml:space="preserve">William Manchay Espinoza</t>
  </si>
  <si>
    <t xml:space="preserve">Peru</t>
  </si>
  <si>
    <t xml:space="preserve">Bourbon</t>
  </si>
  <si>
    <t xml:space="preserve">Dried Berry; Cherry; Rum &amp; Raisin; Rose</t>
  </si>
  <si>
    <t xml:space="preserve">HOT: Berry arrival — bright and light to medium body; minimal aftertaste. MID-COOL: Mellowed; dried berry lingers with an unresolved slightly bitter shadow. COOL: Same persistent bitterness across finish — source identified post-session as chlorogenic acid lactone (CGA lactone) unmasked by lean ratio on this Natural Bourbon. Honest cup, fair for price, not a return target on this bean.</t>
  </si>
  <si>
    <t xml:space="preserve">EK Omnia 98mm flat burrs + xBloom flat-bottom at 1:17 created a structural ratio-process mismatch on this Natural Bourbon: lean 1:17 dilution suppressed late-extracting sucrose-ester mass (Rum &amp; Raisin depth), leaving CGA lactone bitterness unmasked at mid-cool and cool phases. 93°C slightly conservative for Bourbon's dense cell wall. Roast date 26 Jun 2026 confirmed by barista (bag showed retail pack date 06 Jul 2026 — not roast date); 12 days rest at consumption, within optimal Natural degassing window. Under-rest was NOT the variable; ratio-process mismatch was.</t>
  </si>
  <si>
    <t xml:space="preserve">Return visit to Nylon Coffee Roasters after a disappointing Gesha (Kotowa Carolina) at Double Shot Coffee (Kampong Bahru) earlier same day — Nylon as reliability palate reset. Solo, 15:15 SGT. Peru La Flor de la Palma — Natural Bourbon — first time audited at Nylon under filter conditions. Roast date correction from barista: 26 Jun 2026, not 06 Jul 2026 (bag was retail pack date). Price S$8.50.</t>
  </si>
  <si>
    <t xml:space="preserve">Direct observation + bag photo (name/notes reference only) + barista confirmation (roast date 26 Jun 2026)</t>
  </si>
  <si>
    <t xml:space="preserve">Abseil</t>
  </si>
  <si>
    <t xml:space="preserve">El Sauce Gesha</t>
  </si>
  <si>
    <t xml:space="preserve">El Sauce Farm</t>
  </si>
  <si>
    <t xml:space="preserve">CT62 Coffee Dripper (Taster's Coffee / DragonFly Design, Taiwan — Engineered Conical, 62° Cone, 24-Groove Active Flow Compensation)</t>
  </si>
  <si>
    <t xml:space="preserve">1:15.5</t>
  </si>
  <si>
    <t xml:space="preserve">91°C (Constant throughout)</t>
  </si>
  <si>
    <t xml:space="preserve">80g (~5.3× dose) — Aggressive CO₂ purge bloom</t>
  </si>
  <si>
    <t xml:space="preserve">Gardenia · Mandarin · Dried Apricot · Green Tea · Honeysuckle</t>
  </si>
  <si>
    <t xml:space="preserve">HOT: Honeysuckle and honey immediate — linalool terpenes fully volatilised from aggressive 80g bloom; bright floral clean opening. MID-COOL: Very sugary mid-palate; mandarin orange in background; honey clearly detectable; sucrose dominant as volatile top notes subside — very sweet and clean. COOL: Tea-like and beautifully balanced; mandarin mellowed to background; clean lingering sweetness with zero bitterness — CT62 anti-over-extraction engineering confirmed across all three phases. Overall: elegant, restrained washed Gesha. Upper-tier entry. SGD $21 is steep but the bean quality justifies it. Would return.</t>
  </si>
  <si>
    <t xml:space="preserve">Option-O Lagom P64 64mm flat burrs (narrow particle size distribution, minimal fines) combined with CT62's 24-groove active flow compensation system (12 long + 12 short grooves) eliminated standard conical over-extraction risk entirely — the CT62 is a conical in geometry only; its engineered groove architecture regulates flow rate at both high and low water levels, producing extraction consistency comparable to flat-bottom geometry. Aggressive 80g bloom at constant 91°C front-loaded complete linalool terpene dissolution, delivering honeysuckle immediately in the hot phase. Conservative 91°C throughout suppressed chlorogenic acid extraction — confirmed by zero phenolic shadow at cool phase. CT62 won 2023 German Design Award and 2023 China and Korea Brewers Cup. First CT62 entry in archive — classified as Engineered Conical (flow-compensated), distinct from standard V60 conical entries.</t>
  </si>
  <si>
    <t xml:space="preserve">Solo visit — Abseil café debut, 09 Jul 2026. Barista Glenda — exceptional engagement, long technical conversation, outstanding hospitality. Rated Joint #1 for barista friendliness alongside Aqil at Zerah Roasters — the two finest barista interactions in the archive. CT62 dripper identity confirmed by Glenda + product screenshot (tasterscoffee.com). Glenda explained bloom logic, confirmed 1:15.5 ratio, and noted El Sauce Gesha has won awards in recent years. Extensive filter menu (4+ Gesha options) and competition-grade hardware setup noted — one of the finest specialty filter setups encountered across all 33 archive cafés. Would return without hesitation. Finca Jurutungo Panama Gesha (SGD $28, Anaerobic Natural) flagged as next priority on return visit.</t>
  </si>
  <si>
    <t xml:space="preserve">Live Field Audit — menu photo + equipment photos + barista confirmation (Glenda) + CT62 product research (tasterscoffee.com)</t>
  </si>
  <si>
    <t xml:space="preserve">70 Shenton Way, #01-14 Eon Shenton, Singapore 079118</t>
  </si>
  <si>
    <t xml:space="preserve">Finca El Diviso</t>
  </si>
  <si>
    <t xml:space="preserve">Nestor Lasso</t>
  </si>
  <si>
    <t xml:space="preserve">Aji Bourbon</t>
  </si>
  <si>
    <t xml:space="preserve">Thermal Shock Anaerobic Natural</t>
  </si>
  <si>
    <t xml:space="preserve">Option-O Lagom P80 (80mm Flat Burr — assumed)</t>
  </si>
  <si>
    <t xml:space="preserve">Lychee; Blueberry Jam; Cranberry</t>
  </si>
  <si>
    <t xml:space="preserve">Hot phase: punchy lychee and berry dominant — high-intensity bright acidity, strong entry. Mid-cool to cool: fruit character sustained across all phases without evolution — Thermal Shock ester concentration too embedded to dissipate thermally. Strong persistent aftertaste from cranberry anthocyanin compounds. Interesting but not a repeat — process-forward intensity beyond personal palate threshold.</t>
  </si>
  <si>
    <t xml:space="preserve">Thermal Shock Anaerobic Natural at 1960 MASL produced extreme ester and anthocyanin concentration (geraniol/nerol lychee monoterpenes; berry anthocyanins) — fermentation signature dominated all three thermal phases without evolution. Process-preference misalignment confirmed: clarity &gt; complexity hierarchy not served by this process. P80 flat-burr precision and Origami flat-bottom geometry could not temper inherent process intensity.</t>
  </si>
  <si>
    <t xml:space="preserve">With friend Alex — Oaks Coffee Co., Bukit Timah Road, 10 Jul 2026, 16:30, before Homeground mock-judge session. Second Oaks visit. Milestones: First Thermal Shock Anaerobic Natural, First Aji Bourbon, First Finca El Diviso (Nestor Lasso).</t>
  </si>
  <si>
    <t xml:space="preserve">Pour.traits Roasters</t>
  </si>
  <si>
    <t xml:space="preserve">Thailand Sirinya Geisha Amarone</t>
  </si>
  <si>
    <t xml:space="preserve">Sirinya Farm</t>
  </si>
  <si>
    <t xml:space="preserve">Chiang Rai, Thailand</t>
  </si>
  <si>
    <t xml:space="preserve">Solo Dripper by Mazelab (Flat-Bottom, 40° angle, Wave 155 filter)</t>
  </si>
  <si>
    <t xml:space="preserve">92→75→92→75°C (alternating 4-pour)</t>
  </si>
  <si>
    <t xml:space="preserve">Rose, Plum, Mandarin Orange, Honey</t>
  </si>
  <si>
    <t xml:space="preserve">HOT: Bright citric front with vivid rose geraniol — aromatic and immediate; rose florals dominant and unmistakable. MID-COOL: Mandarin orange emerges cleanly as citric volatiles dissipate — Harry's signature malic acid marker arriving on schedule. Body noticeably full and structured — medium-strong tea weight, not the light tea elegance of washed Geisha expressions; fuller than any prior washed Geisha entry. COOL: Plum (not peach — darker malic stone fruit consistent with Anaerobic Natural fermentation profile shifting acid toward wine-adjacent fruit rather than bright nectarine); honey-type sweetness rounds the finish — sucrose ester retention from Natural process mucilage rather than fructose-type bright fruit sugar; slight bitterness present at cool phase but fades cleanly — likely residual CGA lactone from Natural process fermentation rather than hardware-derived; clean finish confirms it did not persist. Verdict: Moderately aggressive Geisha — varietal genetics clearly present but Anaerobic Natural process adds lipid body and fermentation weight absent from washed expressions. SGD $10 exceptional value for a Thailand Geisha. Archive firsts: first Thailand origin, first Thailand Geisha, first Nippy Coffee Roaster (Chiang Rai) entry. First Geisha roasted on Stronghold S7X smart electric roaster.</t>
  </si>
  <si>
    <t xml:space="preserve">Nippy Coffee Roaster (Chiang Rai, Thailand) — roasted on Stronghold S7X (electric smart roaster with programmable roast curves — high precision). 4-pour alternating temperature protocol (92→75→92→75°C) is a sophisticated extraction engineering choice: 92°C bloom releases CO₂ and extracts volatile geraniol/rose and linalool Geisha aromatics; 75°C cool pour suppresses CGA acid extraction preventing Anaerobic Natural acetic fermentation load from tipping into sourness; 92°C third pour extracts mid-range sucrose esters — honey and plum sweetness from Natural process mucilage; 75°C final pour completes volume while suppressing late-stage CGA lactone bitterness. Residual cool-phase bitterness (fades) consistent with V60 conical bypass fraction rather than process fault — flat-bottom geometry would likely eliminate entirely. EK43S 98mm flat burrs (S-variant: smaller footprint, same burr geometry as EK43) delivered clean floral terpene separation. 1:15 ratio at 15g/225g preserved full lipid body mass — correct choice for Anaerobic Natural's elevated polysaccharide and lipid content. Anaerobic Natural fermentation at Chiang Rai specifically produces elevated geraniol (rose), plum malic esters, and honey sucrose retention vs washed process which strips mucilage entirely.</t>
  </si>
  <si>
    <t xml:space="preserve">Solo post-gym visit — Pour.traits Roasters, Outram Park, Singapore. Saturday 11 July 2026, 13:30 SGT. Café relaxed and quiet at this hour — comfortable extended sit. Barista Elaine: exceptional engagement, warm, knowledgeable, and friendly. 2022 barista competition winner — now focused on training other baristas and travelling. Pre-session menu analysis conducted live with Claude (pre-gym morning). Guest bean board featured 20+ offerings from international roasters including Livid Coffee Roasters, flowerchild coffee, nippy coffee roaster, Shake Coffee, Glyph Supply Co and others — extremely rich rotating guest bean program. TUESDAY INTEL: Guest barista from Thailand visiting Pour.traits next Tuesday 15 July 2026, 10AM–2PM — bringing special Thai coffee lot, limited quantity with high sell-out risk. Arrive at 10AM to secure a cup. Serving vessel: bulbous pink ceramic cup (no handle) — concentrates aromatics. First café visit to Pour.traits Roasters.</t>
  </si>
  <si>
    <t xml:space="preserve">Live Field Audit — menu photos + bean card photo (Nippy Coffee Roaster bag) + barista confirmation (Elaine) + hardware observation</t>
  </si>
  <si>
    <t xml:space="preserve">2 Havelock Rd, #01-14, Singapore 059763</t>
  </si>
  <si>
    <t xml:space="preserve">2026-07-12</t>
  </si>
  <si>
    <t xml:space="preserve">Alo Peaberry — Washed Ethiopia</t>
  </si>
  <si>
    <t xml:space="preserve">74158 (Peaberry)</t>
  </si>
  <si>
    <t xml:space="preserve">15</t>
  </si>
  <si>
    <t xml:space="preserve">225</t>
  </si>
  <si>
    <t xml:space="preserve">70 → 90 → 70°C (Thermal Oscillation Protocol — Fluid Standard)</t>
  </si>
  <si>
    <t xml:space="preserve">Option-O Lagom P64 (64mm Flat Steel Burrs)</t>
  </si>
  <si>
    <t xml:space="preserve">10</t>
  </si>
  <si>
    <t xml:space="preserve">Bergamot | Honeysuckle | Mandarin Orange | White Peach</t>
  </si>
  <si>
    <t xml:space="preserve">HOT: Excellent clarity and brightness from the very first sip. Bergamot and honeysuckle arrive clean and immediate — floral, refined, quiet. Smooth washed character from the start; zero fermentation noise. Mandarin orange not yet present — patience required. WARM: "Goddamn mandarin orange clearly coming on mid phase." Heavier citrus compounds unlock as the volatile florals recede — a delayed reveal, not an absence. COOL: Honeysuckle, white peach and mandarin orange pop together in balance. The full flavour picture assembles at cool temperature simultaneously. Very nice to drink at this stage. Verdict: Clear, clean and elegant coffee — in simple words.</t>
  </si>
  <si>
    <t xml:space="preserve">CONTROLLED 74158 EXPERIMENT — NOW COMPLETE. Same producer (Tamiru Tadesse), same varietal (74158), compared against Entry #056 (Alo Natural Anaerobic, 6 Jul 2026): Washed process strips all fermentation character entirely — no lychee, no winey grape, no tropical ferment signature. Instead: pure floral-citrus varietal expression via bergamot (linalyl acetate, C₁₂H₂₀O₂) and honeysuckle (geraniol, C₁₀H₁₈O). Mandarin orange delayed expression = limonene/hesperidin unlocking as volatile florals recede in the warm phase — masked at high temperature, not absent. WHITE PEACH CONFIRMED IN BOTH 74158 CUPS: appeared in Natural Anaerobic and confirmed again today in Washed Peaberry — this is 74158's intrinsic genetic fingerprint, process-independent. Peaberry format: single round bean (vs standard two flat halves), higher nutrient concentration per cherry → elevated floral intensity. Fluid's 70→90→70°C thermal oscillation protocol confirmed consistent across all four visits — Ong Shen Choy present on bar.</t>
  </si>
  <si>
    <t xml:space="preserve">Fourth visit to Fluid Collective, Saturday 12 July 2026, lunch. Ong Shen Choy — 2025 Singapore National Brewers Cup Champion — confirmed on bar. His presence is a consistent highlight across all Fluid visits. Menu: Kainamui PB Washed Kenya (SGD 9), Alo Peaberry Washed Ethiopia 74158 (SGD 10), Alo Anaerobic Natural Ethiopia 74158 (SGD 11). Notably: two versions of the same 74158 varietal on the menu simultaneously — washed and anaerobic natural. Fluid Collective benchmark status confirmed across four consecutive visits.</t>
  </si>
  <si>
    <t xml:space="preserve">Live Field Audit — Fourth Visit | Bean card + menu photo</t>
  </si>
  <si>
    <t xml:space="preserve">Finca Sophia Torcaza Grand Reserve Washed Geisha</t>
  </si>
  <si>
    <t xml:space="preserve">Finca Sophia, Torcaza</t>
  </si>
  <si>
    <t xml:space="preserve">Panama</t>
  </si>
  <si>
    <t xml:space="preserve">Hario x Tri-Up FLOW Dripper by Erik Liao (Flat-Bottom, Ceramic, Taiwan)</t>
  </si>
  <si>
    <t xml:space="preserve">1:15.2</t>
  </si>
  <si>
    <t xml:space="preserve">91→91→82°C (3-pour descending — WBRC competition protocol)</t>
  </si>
  <si>
    <t xml:space="preserve">Lemon Honey, Bergamot, Orange</t>
  </si>
  <si>
    <t xml:space="preserve">HOT: Bright orange and lemon arriving simultaneously in perfect co-expression — citric and malic acid neither dominating the other. Honey present in background as sweetness foundation, not feature. Supreme clarity — all flavours hitting at once; every volatile aromatic compound in simultaneous perfect expression without any single note overwhelming. MID-COOL: Clarity builds rather than fades — lemon becomes more visible as citric top notes thermally stabilise; malic acid backbone structured and persistent. COOL: Orange and bergamot settle as lime tinge emerges — tartaric acid expressing as clean lime whisper once volatile citric and malic compounds dissipate. Slight lime aftertaste lingers on tongue — fine, sophisticated, pure. No bitterness, no CGA lactone, no fermentation noise. Verdict: THE finest cup in the archive. New #1 — displaces El Obraje Washed Colombia Gesha (Fluid Collective, Entry #016, 6-month champion). 'Fine and sophisticated — not because of the $60, because of what was in the cup.' SGD $60 most expensive cup in archive history (previous record SGD $18). Worth every cent without qualification. Archive firsts: First Panama Washed Geisha from Finca Sophia/Torcaza, first Hario x Tri-Up FLOW Dripper entry, first WBRC competitor guest brew, first Livid Coffee Roasters entry.</t>
  </si>
  <si>
    <t xml:space="preserve">Hario x Tri-Up FLOW Dripper designed by Erik Liao (2023 Taiwan Brewers Cup Champion, founder Tri-Up Coffee) — ceramic flat-bottom with thinner bed depth; single central column with embedded magnets serves three functions: (1) secures filter paper in place without adhesive, (2) prevents fine coffee grounds from compacting and settling at the base which would clog and stall flow, (3) encourages water to saturate the coffee bed evenly rather than channelling down the sides — ensuring a constant vertical flow path throughout the entire brew. Body ribbed design reduces bypass water; base rib design stabilises overall flow rate. Developed over 4 years in partnership with Hario — the FLOW name reflects the design goal: steady, unobstructed, limitation-free flow at any grind size. TaoTao (Inthat Ueasakaree) chose this dripper for his WBRC Brussels 2026 competition routine — the central column's even saturation guarantee is precisely why the cup expressed every flavour simultaneously with supreme clarity and zero channelling noise. 3-pour descending temperature protocol (91→91→82°C): dual 91°C pours extract full volatile aromatic spectrum — linalool florals, citric/malic acid esters, sucrose foundations; 82°C final pour suppresses CGA lactone bitterness completely, preserving clean tartaric acid lime finish. 12.5g/190g at 1:15.2 — within Harry's preferred 1:15–1:17 band. EK43 98mm flat burrs delivered competition-level particle uniformity.</t>
  </si>
  <si>
    <t xml:space="preserve">Livid Coffee Roasters x Pour.traits Guest Pop-Up — Tuesday 14 July 2026, 10:00–14:00 SGT. Guest brewer: Inthat Ueasakaree (TaoTao) — Thailand Brewers Cup Champion, WBRC 7th Place Brussels 2026, architectural designer by trade (credits structural precision thinking to brewing approach). Pop-up announced via @grindandshinepodcast Monthly Singapore Coffee Agenda. TaoTao brewing his actual WBRC Brussels 2026 competition coffee and routine concept — beans and recipe fresh off the world stage, days after Brussels. Four competition coffees offered: (1) Mt. Totumas Dela Rosa Natural Geisha — Red Berries, Floral, Stone Fruits; (2) Finca Sophia Torcaza Grand Reserve Washed Geisha — Lemon Honey, Bergamot, Orange [ORDERED]; (3) Los Lajones 8B Geisha Natural — Red Berries, Tropical Fruits, Floral; (4) Los Cenizos Geisha Lot 172 Natural — Red Grape, Black Currant, Floral. SGD $60 — archive price record (previous ceiling SGD $18). Second Pour.traits visit (first: 11 July 2026, Entry #063). Return driven by Elaine's Tuesday intel from first visit — intel confirmed and far exceeded all expectations.</t>
  </si>
  <si>
    <t xml:space="preserve">Live Field Audit — competition menu photo + direct competitor confirmation (Inthat Ueasakaree / TaoTao) + WBRC Brussels 2026 official graphic confirmation</t>
  </si>
  <si>
    <t xml:space="preserve">Equate Coffee</t>
  </si>
  <si>
    <t xml:space="preserve">Peru Cajamarca Lorenzo Arbildo — Washed Gesha</t>
  </si>
  <si>
    <t xml:space="preserve">Lorenzo Arbildo</t>
  </si>
  <si>
    <t xml:space="preserve">OREA V4 — OPEN Bottom (Flat-Bottom)</t>
  </si>
  <si>
    <t xml:space="preserve">92°C → 65°C (descending — pours 1–3 at 92°C, pour 4 at 65°C)</t>
  </si>
  <si>
    <t xml:space="preserve">60g bloom (4-pour: 60g / 120g / 170g / 210g — 0:30 / 0:55 / 1:20 / 2:00)</t>
  </si>
  <si>
    <t xml:space="preserve">Raspberry; Peach; Floral</t>
  </si>
  <si>
    <t xml:space="preserve">HOT: Bright immediate malic brightness — simultaneous raspberry ester + peach lactone hit; both official notes tracking accurately from first sip. High-energy, clean opening. MID-COOL: Flavours mellowed; linalool florals emerging as ester volatiles dissipate — textbook Gesha terpene thermal behaviour. Cajamarca citric tinge appearing as a background dimension (terroir marker, not recipe flaw). Excellent clarity, nothing coating the tongue. Peach and berry settling to background with good separation. COOL (Best Phase): Clean short berry aftertaste persisting post-ester dissipation; sucrose-ester tail lingering cleanly. Nice body for washed process. No bitter phenolics — 65°C final pour executed correctly. Overall: First Peru Gesha in archive. Significant upgrade on Entry #040 (Colombia Huila La Pradera, Equate, same ratio 1:14, 19 Jun 2026) — Peru Arbildo lot intrinsically more expressive at this concentration. Washed Peru × Gesha axis confirmed as archive-calibre. Second Equate visit redeems the café Gesha record.</t>
  </si>
  <si>
    <t xml:space="preserve">EK43 98mm flat burr delivered uniform PSD with zero fines migration — protected malic acid ester clarity (raspberry, peach) and linalool terpene architecture (floral) across all three thermal phases. OREA V4 OPEN Bottom flat geometry: single central drainage hole ensures full bed saturation and even dwell time; zero bypass; uniform extraction front across flat coffee bed. Aggressive 92°C → 65°C descending temperature protocol: first three pours at 92°C front-loaded volatile ester and sugar extraction from Gesha lipid and sucrose fraction; 65°C final pour (pour 4) suppressed chlorogenic acid lactone extraction in back half, preventing bitter finish at cool phase — explaining clean aftertaste. TROGAMID brewer construction insulates heat in coffee bed during low-temp final pour, maintaining extraction efficiency despite cool input. Ratio 1:14 below Palate DNA band (1:15–1:17) but Peru Arbildo Cajamarca terroir has sufficient malic acid density to express clearly at this concentration — explains upgrade over prior 1:14 Colombia Gesha entry at same café.</t>
  </si>
  <si>
    <t xml:space="preserve">Solo visit — Equate Coffee, Tanjong Pagar (1 Tanjong Pagar Plaza, #02-25, Singapore 082001). Wednesday 15 July 2026. Second Equate visit (Entry #040 ref: Colombia Huila La Pradera Gesha Washed, 19 Jun 2026). Barista: new joiner, few days on the job — following written recipe card (photographed). Recipe card confirmed: LORENZO / (FAST)(SLOW) designations; GS:15g / T:92°&amp;65°C / W:210g; pour structure 60-120-170-210g; timings 0:30/0:55/1:20/2:00; OPEN DAMPER noted. First Peru × Washed × Gesha axis in archive. Archive entry #065.</t>
  </si>
  <si>
    <t xml:space="preserve">Live Field Audit — barista recipe card photo (authoritative) + bean card photo + direct barista confirmation</t>
  </si>
  <si>
    <t xml:space="preserve">☕  THE HARI COFFEE ARCHIVE  —  2026</t>
  </si>
  <si>
    <t xml:space="preserve">Master Extraction Archivist  ·  Singapore · Bali · Mumbai · Johor Bahru  ·  Field-audited, three-phase palate record</t>
  </si>
  <si>
    <t xml:space="preserve">  ARCHIVE VITALS  —  live formulas, auto-update with every new entry</t>
  </si>
  <si>
    <t xml:space="preserve">TOTAL ENTRIES</t>
  </si>
  <si>
    <t xml:space="preserve">UNIQUE CAFÉS</t>
  </si>
  <si>
    <t xml:space="preserve">CITIES</t>
  </si>
  <si>
    <t xml:space="preserve">ORIGINS</t>
  </si>
  <si>
    <t xml:space="preserve">⭐ GESHA CUPS</t>
  </si>
  <si>
    <t xml:space="preserve">VARIETALS</t>
  </si>
  <si>
    <t xml:space="preserve">AVG PRICE</t>
  </si>
  <si>
    <t xml:space="preserve">FIRST ENTRY</t>
  </si>
  <si>
    <t xml:space="preserve">LATEST ENTRY</t>
  </si>
  <si>
    <t xml:space="preserve">field-audited cups</t>
  </si>
  <si>
    <t xml:space="preserve">across 4 cities</t>
  </si>
  <si>
    <t xml:space="preserve">SG · Bali · Mumbai · JB</t>
  </si>
  <si>
    <t xml:space="preserve">origin countries</t>
  </si>
  <si>
    <t xml:space="preserve">12% of archive</t>
  </si>
  <si>
    <t xml:space="preserve">unique varieties logged</t>
  </si>
  <si>
    <t xml:space="preserve">SGD per cup</t>
  </si>
  <si>
    <t xml:space="preserve">archive opened</t>
  </si>
  <si>
    <t xml:space="preserve">most recent audit</t>
  </si>
  <si>
    <t xml:space="preserve">  ⭐  GESHA / GEISHA HALL OF FAME  —  The Apex Varietal  ·  All 14 archive cups</t>
  </si>
  <si>
    <t xml:space="preserve">  🏆  TOP CAFÉS BY VISITS  —  61 entries · 34 venues · 4 cities</t>
  </si>
  <si>
    <t xml:space="preserve">#</t>
  </si>
  <si>
    <t xml:space="preserve">Café</t>
  </si>
  <si>
    <t xml:space="preserve">Price</t>
  </si>
  <si>
    <t xml:space="preserve">Visits</t>
  </si>
  <si>
    <t xml:space="preserve">Avg SGD</t>
  </si>
  <si>
    <t xml:space="preserve">Note</t>
  </si>
  <si>
    <t xml:space="preserve">Peru · Cajamarca</t>
  </si>
  <si>
    <t xml:space="preserve">S$11.00</t>
  </si>
  <si>
    <t xml:space="preserve">S$7.83</t>
  </si>
  <si>
    <t xml:space="preserve">⭐ Reliability anchor</t>
  </si>
  <si>
    <t xml:space="preserve">Panama · Boquerón</t>
  </si>
  <si>
    <t xml:space="preserve">S$12.00</t>
  </si>
  <si>
    <t xml:space="preserve">S$12.50</t>
  </si>
  <si>
    <t xml:space="preserve">2 Gesha entries</t>
  </si>
  <si>
    <t xml:space="preserve">Peru · Jaén</t>
  </si>
  <si>
    <t xml:space="preserve">S$11.33</t>
  </si>
  <si>
    <t xml:space="preserve">🏆 Cup of the Year</t>
  </si>
  <si>
    <t xml:space="preserve">Colombia · Huila</t>
  </si>
  <si>
    <t xml:space="preserve">S$14.00</t>
  </si>
  <si>
    <t xml:space="preserve">—</t>
  </si>
  <si>
    <t xml:space="preserve">Archive origin chapter</t>
  </si>
  <si>
    <t xml:space="preserve">Ecuador · Loja</t>
  </si>
  <si>
    <t xml:space="preserve">S$18.00</t>
  </si>
  <si>
    <t xml:space="preserve">S$8.67</t>
  </si>
  <si>
    <t xml:space="preserve">Keryi Coffee</t>
  </si>
  <si>
    <t xml:space="preserve">S$15.00</t>
  </si>
  <si>
    <t xml:space="preserve">S$13.00</t>
  </si>
  <si>
    <t xml:space="preserve">S$10.50</t>
  </si>
  <si>
    <t xml:space="preserve">Top barista: Aqil #1</t>
  </si>
  <si>
    <t xml:space="preserve">Colombia · Valle</t>
  </si>
  <si>
    <t xml:space="preserve">S$19.00</t>
  </si>
  <si>
    <t xml:space="preserve">S$14.50</t>
  </si>
  <si>
    <t xml:space="preserve">1 Gesha entry</t>
  </si>
  <si>
    <t xml:space="preserve">S$9.90</t>
  </si>
  <si>
    <t xml:space="preserve">S$9.00</t>
  </si>
  <si>
    <t xml:space="preserve">Panama · Boquete</t>
  </si>
  <si>
    <t xml:space="preserve">S$16.00</t>
  </si>
  <si>
    <t xml:space="preserve">S$21.00</t>
  </si>
  <si>
    <t xml:space="preserve">21% of 61 cups are Gesha/Geisha — the archive's apex varietal. Avg Gesha price S$14.38 vs non-Gesha S$9.59 (+53% premium). Colombia Gesha Process Trilogy ✅ complete: Washed (Fluid), Honey (Keryi+Pinhole), Natural (Homeground+Cowpresso).</t>
  </si>
  <si>
    <t xml:space="preserve">  🍯  PALATE PROCESS FINGERPRINT  —  41% washed dominance signals Clarity &gt; Complexity</t>
  </si>
  <si>
    <t xml:space="preserve">  🌍  ORIGIN INTELLIGENCE  —  18 origins · Colombia leads at 30%</t>
  </si>
  <si>
    <t xml:space="preserve">Cups</t>
  </si>
  <si>
    <t xml:space="preserve">% Archive</t>
  </si>
  <si>
    <t xml:space="preserve">Palate Signal</t>
  </si>
  <si>
    <t xml:space="preserve">Affinity</t>
  </si>
  <si>
    <t xml:space="preserve">Entries</t>
  </si>
  <si>
    <t xml:space="preserve">Gesha?</t>
  </si>
  <si>
    <t xml:space="preserve">Palate fit</t>
  </si>
  <si>
    <t xml:space="preserve">41%</t>
  </si>
  <si>
    <t xml:space="preserve">Malic acid clarity · jasmine lift · clean finish</t>
  </si>
  <si>
    <t xml:space="preserve">★★★★★</t>
  </si>
  <si>
    <t xml:space="preserve">30%</t>
  </si>
  <si>
    <t xml:space="preserve">⭐ ×6</t>
  </si>
  <si>
    <t xml:space="preserve">HIGHEST — malic clarity + Gesha depth</t>
  </si>
  <si>
    <t xml:space="preserve">24%</t>
  </si>
  <si>
    <t xml:space="preserve">Stone fruit · berry complexity · terroir expression</t>
  </si>
  <si>
    <t xml:space="preserve">★★★★</t>
  </si>
  <si>
    <t xml:space="preserve">13%</t>
  </si>
  <si>
    <t xml:space="preserve">HIGH — linalool florals · heirloom terroir</t>
  </si>
  <si>
    <t xml:space="preserve">9%</t>
  </si>
  <si>
    <t xml:space="preserve">Mucilage sweetness bridge · ketone fruit layer</t>
  </si>
  <si>
    <t xml:space="preserve">MED — body + sweetness baseline</t>
  </si>
  <si>
    <t xml:space="preserve">Controlled funk · ester complexity · tropical edge</t>
  </si>
  <si>
    <t xml:space="preserve">★★★</t>
  </si>
  <si>
    <t xml:space="preserve">Indonesia</t>
  </si>
  <si>
    <t xml:space="preserve">7%</t>
  </si>
  <si>
    <t xml:space="preserve">MED — wet-hulled texture study</t>
  </si>
  <si>
    <t xml:space="preserve">Experimental Ferment</t>
  </si>
  <si>
    <t xml:space="preserve">6%</t>
  </si>
  <si>
    <t xml:space="preserve">Edge cases: yeast, mosto, co-ferment</t>
  </si>
  <si>
    <t xml:space="preserve">★★ Exploratory</t>
  </si>
  <si>
    <t xml:space="preserve">⭐ ×1</t>
  </si>
  <si>
    <t xml:space="preserve">MED-HIGH — malic stone fruit</t>
  </si>
  <si>
    <t xml:space="preserve">Wet-Hulled (Giling)</t>
  </si>
  <si>
    <t xml:space="preserve">2%</t>
  </si>
  <si>
    <t xml:space="preserve">Earthy · Indonesian terroir · syrupy body</t>
  </si>
  <si>
    <t xml:space="preserve">★</t>
  </si>
  <si>
    <t xml:space="preserve">⭐ ×2</t>
  </si>
  <si>
    <t xml:space="preserve">HIGH — washed Gesha clarity</t>
  </si>
  <si>
    <t xml:space="preserve">Thermal Shock Anaerobic</t>
  </si>
  <si>
    <t xml:space="preserve">Extreme ester intensity — palate ceiling confirmed</t>
  </si>
  <si>
    <t xml:space="preserve">★ (boundary)</t>
  </si>
  <si>
    <t xml:space="preserve">4%</t>
  </si>
  <si>
    <t xml:space="preserve">HIGH — phosphoric acid · blackcurrant</t>
  </si>
  <si>
    <t xml:space="preserve">Soft lactic creaminess · glycerol body · tropical arc</t>
  </si>
  <si>
    <t xml:space="preserve">HIGHEST — Gesha heartland</t>
  </si>
  <si>
    <t xml:space="preserve">Ecuador</t>
  </si>
  <si>
    <t xml:space="preserve">HIGHEST — #1 palate DNA fit (Loja Gesha)</t>
  </si>
  <si>
    <t xml:space="preserve">3%</t>
  </si>
  <si>
    <t xml:space="preserve">HIGH — lactic honey + Pacamara clarity</t>
  </si>
  <si>
    <t xml:space="preserve">  ⚖️  BREW RATIO INTELLIGENCE  —  1:15–1:17 Palate DNA Band  ·  Avg ratio 1:15.7</t>
  </si>
  <si>
    <t xml:space="preserve">  🏅  ARCHIVE HONOURS BOARD  —  Season 2026</t>
  </si>
  <si>
    <t xml:space="preserve">Ratio Band</t>
  </si>
  <si>
    <t xml:space="preserve">In Band?</t>
  </si>
  <si>
    <t xml:space="preserve">Chemistry Note</t>
  </si>
  <si>
    <t xml:space="preserve">Honour</t>
  </si>
  <si>
    <t xml:space="preserve">Holder</t>
  </si>
  <si>
    <t xml:space="preserve">Detail</t>
  </si>
  <si>
    <t xml:space="preserve">&lt;1:13</t>
  </si>
  <si>
    <t xml:space="preserve">1</t>
  </si>
  <si>
    <t xml:space="preserve">⚠️ Edge</t>
  </si>
  <si>
    <t xml:space="preserve">Espresso-style concentrations — not filter</t>
  </si>
  <si>
    <t xml:space="preserve">Pour.traits — Finca Sophia Torcaza Washed Geisha (TaoTao WBRC #7)</t>
  </si>
  <si>
    <t xml:space="preserve">S$60 · Panama · supreme clarity · WBRC Brussels 2026 competition recipe</t>
  </si>
  <si>
    <t xml:space="preserve">1:13–1:14</t>
  </si>
  <si>
    <t xml:space="preserve">⚠️ Dense</t>
  </si>
  <si>
    <t xml:space="preserve">Polyphenolic bitterness at cool phase (Entry #055 Double Shot)</t>
  </si>
  <si>
    <t xml:space="preserve">👤 Barista #1 (joint)</t>
  </si>
  <si>
    <t xml:space="preserve">Aqil — Zerah Roasters</t>
  </si>
  <si>
    <t xml:space="preserve">Most knowledgeable &amp; warmest barista engagement</t>
  </si>
  <si>
    <t xml:space="preserve">1:14–1:15</t>
  </si>
  <si>
    <t xml:space="preserve">7</t>
  </si>
  <si>
    <t xml:space="preserve">Compressed aromatic headspace — sucrose underdeveloped vs acid</t>
  </si>
  <si>
    <t xml:space="preserve">Glenda — Abseil</t>
  </si>
  <si>
    <t xml:space="preserve">Technical depth + exceptional hospitality</t>
  </si>
  <si>
    <t xml:space="preserve">1:15–1:17 ✅</t>
  </si>
  <si>
    <t xml:space="preserve">34</t>
  </si>
  <si>
    <t xml:space="preserve">✅ OPTIMAL</t>
  </si>
  <si>
    <t xml:space="preserve">Core extraction philosophy — 58% of logged entries</t>
  </si>
  <si>
    <t xml:space="preserve">📍 Best Discovery</t>
  </si>
  <si>
    <t xml:space="preserve">Oaks Coffee Co. (Day 4 of opening)</t>
  </si>
  <si>
    <t xml:space="preserve">Bolivia Pacamara Lactic Honey · S$9 · 5 archive firsts</t>
  </si>
  <si>
    <t xml:space="preserve">&gt;1:17</t>
  </si>
  <si>
    <t xml:space="preserve">0</t>
  </si>
  <si>
    <t xml:space="preserve">Dilutes acid structure — CGA lactone risk on Naturals</t>
  </si>
  <si>
    <t xml:space="preserve">🧫 Best Process Arc</t>
  </si>
  <si>
    <t xml:space="preserve">Floripondio 90 Hours — Oaks Coffee Co.</t>
  </si>
  <si>
    <t xml:space="preserve">Mango → sugar clarity → nectarine · 3-act thermal arc</t>
  </si>
  <si>
    <t xml:space="preserve">16</t>
  </si>
  <si>
    <t xml:space="preserve">Early entries pre-hardware protocol</t>
  </si>
  <si>
    <t xml:space="preserve">⚗️ Process Trilogy ✅</t>
  </si>
  <si>
    <t xml:space="preserve">Colombia Gesha — Washed/Honey/Natural</t>
  </si>
  <si>
    <t xml:space="preserve">Fluid · Keryi+Pinhole · Homeground+Cowpresso</t>
  </si>
  <si>
    <t xml:space="preserve">🔬 Best Hardware Setup</t>
  </si>
  <si>
    <t xml:space="preserve">Abseil — P64 + CT62</t>
  </si>
  <si>
    <t xml:space="preserve">CT62 engineered conical — 2023 German Design Award</t>
  </si>
  <si>
    <t xml:space="preserve">💰 Best Value</t>
  </si>
  <si>
    <t xml:space="preserve">Gara Agena — Fluid Collective</t>
  </si>
  <si>
    <t xml:space="preserve">S$9 · Special Prep Ethiopian Washed · Hari's #1 list</t>
  </si>
  <si>
    <t xml:space="preserve">⚠️ Palate Boundary</t>
  </si>
  <si>
    <t xml:space="preserve">Finca El Diviso — Oaks Coffee Co.</t>
  </si>
  <si>
    <t xml:space="preserve">Thermal Shock Anaerobic — intensity ceiling confirmed</t>
  </si>
  <si>
    <t xml:space="preserve">  📖  THE ARCHIVE THESIS</t>
  </si>
  <si>
    <t xml:space="preserve">CLARITY OVER COMPLEXITY. Fifty-nine cups. Thirty-three cafés. Four cities. One palate decoded across three thermal phases per cup. 41% of all entries are Washed process — the highest-clarity, lowest-interference processing method available. The palate responds strongest to malic acid (stone fruit, nectarine, mandarin orange) and linalool esters (jasmine, bergamot, honeysuckle). Gesha/Geisha accounts for 20% of all cups and commands a 53% price premium over non-Gesha — both paid willingly and without regret. Flat-bottom geometry is the preferred brewer architecture; the P64 and P80 flat burr platforms are the extraction engines of choice. The archive is not a random tasting record. It is a calibrated instrument — a longitudinal study of a single palate in pursuit of clarity.</t>
  </si>
  <si>
    <t xml:space="preserve">🧬  PALATE DNA FINGERPRINT</t>
  </si>
  <si>
    <t xml:space="preserve">What 59 cups reveal about one palate — malic acid · linalool · flat-bottom geometry · washed clarity</t>
  </si>
  <si>
    <t xml:space="preserve">  📖  THE PALATE THESIS</t>
  </si>
  <si>
    <t xml:space="preserve">CLARITY OVER COMPLEXITY. Across 59 cups and 7 months, one pattern dominates: 41% of all entries are Washed process. The palate responds strongest to malic acid (stone fruit, nectarine) and linalool esters (jasmine, bergamot). Gesha/Geisha accounts for 20% of all cups — the apex varietal ordered with deliberate frequency. Flat-bottom geometry outperforms conical in 100% of documented side-by-side comparisons. The 1:15–1:17 ratio band covers 58% of all logged extractions. The archive is not a random tasting record. It is a calibrated instrument.</t>
  </si>
  <si>
    <t xml:space="preserve">  🍯  PROCESS PREFERENCE SPECTRUM  —  Clarity dominates across 59 entries</t>
  </si>
  <si>
    <t xml:space="preserve">  🌡️  TEMPERATURE PROTOCOLS  —  88–93°C sweet spot</t>
  </si>
  <si>
    <t xml:space="preserve">%</t>
  </si>
  <si>
    <t xml:space="preserve">Protocol</t>
  </si>
  <si>
    <t xml:space="preserve">Context</t>
  </si>
  <si>
    <t xml:space="preserve">22</t>
  </si>
  <si>
    <t xml:space="preserve">Malic acid clarity · jasmine lift · clean thermal arcs</t>
  </si>
  <si>
    <t xml:space="preserve">★★★★★ Primary</t>
  </si>
  <si>
    <t xml:space="preserve">85–89°C</t>
  </si>
  <si>
    <t xml:space="preserve">Delicate / Nordic style — Abseil 88°C constant for LAB ester preservation</t>
  </si>
  <si>
    <t xml:space="preserve">12</t>
  </si>
  <si>
    <t xml:space="preserve">Stone fruit · berry complexity · terroir depth</t>
  </si>
  <si>
    <t xml:space="preserve">★★★★ Secondary</t>
  </si>
  <si>
    <t xml:space="preserve">90–91°C</t>
  </si>
  <si>
    <t xml:space="preserve">9</t>
  </si>
  <si>
    <t xml:space="preserve">Clean balanced extraction — Keryi descending protocol</t>
  </si>
  <si>
    <t xml:space="preserve">4</t>
  </si>
  <si>
    <t xml:space="preserve">★★★★ Bridge</t>
  </si>
  <si>
    <t xml:space="preserve">92–94°C ⭐</t>
  </si>
  <si>
    <t xml:space="preserve">Sweet spot — dominant single-temp protocol in Singapore cafés</t>
  </si>
  <si>
    <t xml:space="preserve">Controlled funk · ester complexity · tropical esters</t>
  </si>
  <si>
    <t xml:space="preserve">★★★ Experimental</t>
  </si>
  <si>
    <t xml:space="preserve">95°C</t>
  </si>
  <si>
    <t xml:space="preserve">3</t>
  </si>
  <si>
    <t xml:space="preserve">Full extraction — bold washed profiles · Apartment Jalan Riang</t>
  </si>
  <si>
    <t xml:space="preserve">Yeast / mosto / co-ferment — frontier zone</t>
  </si>
  <si>
    <t xml:space="preserve">70→90→70°C 🏆</t>
  </si>
  <si>
    <t xml:space="preserve">Fluid Collective signature oscillation — highest-rated cups in archive</t>
  </si>
  <si>
    <t xml:space="preserve">Soft lactic body · glycerol · creamy mouthfeel</t>
  </si>
  <si>
    <t xml:space="preserve">★★★ Discovery</t>
  </si>
  <si>
    <t xml:space="preserve">90→70°C (descending)</t>
  </si>
  <si>
    <t xml:space="preserve">Keryi / Pinhole / Double Shot — terpene preservation on honey/gesha</t>
  </si>
  <si>
    <t xml:space="preserve">Intensity ceiling confirmed at Entry #059</t>
  </si>
  <si>
    <t xml:space="preserve">★ Boundary</t>
  </si>
  <si>
    <t xml:space="preserve">80→95→80°C</t>
  </si>
  <si>
    <t xml:space="preserve">Kurasu Frinsa — honey process mucilage management</t>
  </si>
  <si>
    <t xml:space="preserve">Indonesian terroir · syrupy body · one-off</t>
  </si>
  <si>
    <t xml:space="preserve">★ Reference</t>
  </si>
  <si>
    <t xml:space="preserve">88°C constant</t>
  </si>
  <si>
    <t xml:space="preserve">Oaks — LAB lactic ester preservation (Bolivia Pacamara)</t>
  </si>
  <si>
    <t xml:space="preserve">  ⭐  COLOMBIA GESHA PROCESS TRILOGY  —  Completed 2026 · Three processes · One verdict</t>
  </si>
  <si>
    <t xml:space="preserve">  ⚖️  RATIO BAND ANALYSIS  —  1:15–1:17 Optimal Window</t>
  </si>
  <si>
    <t xml:space="preserve">Sensory Arc</t>
  </si>
  <si>
    <t xml:space="preserve">Verdict</t>
  </si>
  <si>
    <t xml:space="preserve">Band</t>
  </si>
  <si>
    <t xml:space="preserve">Count</t>
  </si>
  <si>
    <t xml:space="preserve">Status</t>
  </si>
  <si>
    <t xml:space="preserve">Washed ⭐</t>
  </si>
  <si>
    <t xml:space="preserve">Fluid Collective (El Obraje)</t>
  </si>
  <si>
    <t xml:space="preserve">Mango · Orange Blossom · Nectarine · Honey — linalool apex</t>
  </si>
  <si>
    <t xml:space="preserve">CUP OF THE YEAR</t>
  </si>
  <si>
    <t xml:space="preserve">⚠️ Espresso</t>
  </si>
  <si>
    <t xml:space="preserve">Concentration removes filter brewing purpose</t>
  </si>
  <si>
    <t xml:space="preserve">Keryi Coffee (Finca La Esmaralda)</t>
  </si>
  <si>
    <t xml:space="preserve">Jasmine · Caramel · Stone Fruit · Tangerine — smooth arc</t>
  </si>
  <si>
    <t xml:space="preserve">EXCELLENT</t>
  </si>
  <si>
    <t xml:space="preserve">Polyphenolic bitterness amplified · sucrose suppressed (Entry #055)</t>
  </si>
  <si>
    <t xml:space="preserve">Pinhole Coffee Bar (Santa Barbara #1)</t>
  </si>
  <si>
    <t xml:space="preserve">Bergamot · Lychee · Mandarin · Honey — cold-cup revelation</t>
  </si>
  <si>
    <t xml:space="preserve">VERY GOOD</t>
  </si>
  <si>
    <t xml:space="preserve">Aromatic headspace compressed vs optimal</t>
  </si>
  <si>
    <t xml:space="preserve">Homeground (Inmaculada Estate)</t>
  </si>
  <si>
    <t xml:space="preserve">Hibiscus · Pomegranate · Darjeeling Tea — relaxing depth</t>
  </si>
  <si>
    <t xml:space="preserve">Core extraction philosophy — 58% of all logged entries</t>
  </si>
  <si>
    <t xml:space="preserve">Cowpresso (Las Nubes)</t>
  </si>
  <si>
    <t xml:space="preserve">Lychee · Berry · Tropical — aggressive Natural expression</t>
  </si>
  <si>
    <t xml:space="preserve">GOOD</t>
  </si>
  <si>
    <t xml:space="preserve">CGA lactone risk on Naturals — confirmed Entry #056 Nylon</t>
  </si>
  <si>
    <t xml:space="preserve">Archive verdict on the Colombia Gesha Trilogy: Washed = genetic purity (apex). Honey = sweetness amplified. Natural = fermentation over clarity. Washed remains unmatched.</t>
  </si>
  <si>
    <t xml:space="preserve">Early entries pre-hardware protocol · improving each visit</t>
  </si>
  <si>
    <t xml:space="preserve">🌍  ORIGIN &amp; TERROIR ATLAS</t>
  </si>
  <si>
    <t xml:space="preserve">Where the archive has travelled — 18 origins · Colombia leads at 30% · 12 Gesha entries across 6 countries</t>
  </si>
  <si>
    <t xml:space="preserve">  🗺️  ORIGIN LEAGUE TABLE  —  live formula, auto-updates with new entries</t>
  </si>
  <si>
    <t xml:space="preserve">  ⭐  GESHA REGISTER  —  The Apex Varietal · 12 archive entries</t>
  </si>
  <si>
    <t xml:space="preserve">Share</t>
  </si>
  <si>
    <t xml:space="preserve">Palate DNA Fit</t>
  </si>
  <si>
    <t xml:space="preserve">Metric</t>
  </si>
  <si>
    <t xml:space="preserve">Value</t>
  </si>
  <si>
    <t xml:space="preserve">HIGHEST — malic + Gesha depth</t>
  </si>
  <si>
    <t xml:space="preserve">Total Gesha/Geisha entries</t>
  </si>
  <si>
    <t xml:space="preserve">Washed Gesha</t>
  </si>
  <si>
    <t xml:space="preserve">MED — body · Maillard sweetness baseline</t>
  </si>
  <si>
    <t xml:space="preserve">Honey Gesha</t>
  </si>
  <si>
    <t xml:space="preserve">HIGH — malic stone fruit · clean finish</t>
  </si>
  <si>
    <t xml:space="preserve">Natural Gesha</t>
  </si>
  <si>
    <t xml:space="preserve">Avg Gesha price (SGD)</t>
  </si>
  <si>
    <t xml:space="preserve">S$14.70</t>
  </si>
  <si>
    <t xml:space="preserve">HIGH — washed Gesha clarity (Wilder Garcia)</t>
  </si>
  <si>
    <t xml:space="preserve">Avg non-Gesha price (SGD)</t>
  </si>
  <si>
    <t xml:space="preserve">S$9.59</t>
  </si>
  <si>
    <t xml:space="preserve">HIGH — phosphoric acid · blackcurrant benchmark</t>
  </si>
  <si>
    <t xml:space="preserve">Gesha price premium</t>
  </si>
  <si>
    <t xml:space="preserve">+53%</t>
  </si>
  <si>
    <t xml:space="preserve">HIGHEST — Gesha heartland (Kotowa · Corpachi)</t>
  </si>
  <si>
    <t xml:space="preserve">Origins with Gesha entry</t>
  </si>
  <si>
    <t xml:space="preserve">Colombia · Peru · Panama · Ecuador · Honduras</t>
  </si>
  <si>
    <t xml:space="preserve">MED — clean washed + anaerobic contrast</t>
  </si>
  <si>
    <t xml:space="preserve">Highest-priced Gesha</t>
  </si>
  <si>
    <t xml:space="preserve">S$21 — El Sauce (Abseil)</t>
  </si>
  <si>
    <t xml:space="preserve">HIGH — Lactic Honey Pacamara · new frontier</t>
  </si>
  <si>
    <t xml:space="preserve">Best-value Gesha</t>
  </si>
  <si>
    <t xml:space="preserve">S$9.90 — Las Nubes (Cowpresso)</t>
  </si>
  <si>
    <t xml:space="preserve">HIGHEST — #1 palate fit (Loja Gesha)</t>
  </si>
  <si>
    <t xml:space="preserve">Archive verdict — apex process</t>
  </si>
  <si>
    <t xml:space="preserve">Washed (genetic purity over fermentation)</t>
  </si>
  <si>
    <t xml:space="preserve">MED — anaerobic exploration · Subko/Grey Soul</t>
  </si>
  <si>
    <t xml:space="preserve">Malaysia</t>
  </si>
  <si>
    <t xml:space="preserve">REF — Liberica · archive first non-Arabica</t>
  </si>
  <si>
    <t xml:space="preserve">China</t>
  </si>
  <si>
    <t xml:space="preserve">REF — Yunnan Purple Leaf Caturra · surprise entry</t>
  </si>
  <si>
    <t xml:space="preserve">MED — baked apple · citric-malic duality</t>
  </si>
  <si>
    <t xml:space="preserve">Myanmar</t>
  </si>
  <si>
    <t xml:space="preserve">REF — batch-brew study · Catimor lineage</t>
  </si>
  <si>
    <t xml:space="preserve">MED — Pacamara Natural · Aanya's first filter</t>
  </si>
  <si>
    <t xml:space="preserve">  🎯  VARIETAL TARGET REGISTER  —  what's been captured &amp; what remains</t>
  </si>
  <si>
    <t xml:space="preserve">Archive Entry</t>
  </si>
  <si>
    <t xml:space="preserve">Process Encountered</t>
  </si>
  <si>
    <t xml:space="preserve">Gesha/Geisha</t>
  </si>
  <si>
    <t xml:space="preserve">✅ CAPTURED</t>
  </si>
  <si>
    <t xml:space="preserve">Multiple — Entry #017 onward</t>
  </si>
  <si>
    <t xml:space="preserve">Washed · Honey · Natural · Anaerobic Washed</t>
  </si>
  <si>
    <t xml:space="preserve">Apex varietal · 12 entries</t>
  </si>
  <si>
    <t xml:space="preserve">Entry #049 — Oaks Coffee Co.</t>
  </si>
  <si>
    <t xml:space="preserve">Lactic Honey (90hr)</t>
  </si>
  <si>
    <t xml:space="preserve">First Bolivia · first Pacamara</t>
  </si>
  <si>
    <t xml:space="preserve">Entry #059 — Oaks Coffee Co.</t>
  </si>
  <si>
    <t xml:space="preserve">Finca El Diviso · Nestor Lasso</t>
  </si>
  <si>
    <t xml:space="preserve">Entry #018 — Maxi Coffee Bar</t>
  </si>
  <si>
    <t xml:space="preserve">Yellow variant also at Asylum #038</t>
  </si>
  <si>
    <t xml:space="preserve">Entry #048 — Zerah Roasters</t>
  </si>
  <si>
    <t xml:space="preserve">Finca Villarazo · DF83V debut</t>
  </si>
  <si>
    <t xml:space="preserve">Entry #011 — Apartment Selegie</t>
  </si>
  <si>
    <t xml:space="preserve">Tea-like clarity standout</t>
  </si>
  <si>
    <t xml:space="preserve">Entry #035 — Alchemist OFC</t>
  </si>
  <si>
    <t xml:space="preserve">Low-caffeine mutation</t>
  </si>
  <si>
    <t xml:space="preserve">Entry #025 — Zerah Roasters</t>
  </si>
  <si>
    <t xml:space="preserve">Elongated Gesha-adjacent cell</t>
  </si>
  <si>
    <t xml:space="preserve">Liberica</t>
  </si>
  <si>
    <t xml:space="preserve">Entry #039 — Corner Corner</t>
  </si>
  <si>
    <t xml:space="preserve">JH Natural</t>
  </si>
  <si>
    <t xml:space="preserve">Archive's only non-Arabica</t>
  </si>
  <si>
    <t xml:space="preserve">Entry #036 — Apartment</t>
  </si>
  <si>
    <t xml:space="preserve">China Yunnan · anthocyanin clarity</t>
  </si>
  <si>
    <t xml:space="preserve">Entry #023 — Clod Coffee Bar</t>
  </si>
  <si>
    <t xml:space="preserve">JB cross-border audit</t>
  </si>
  <si>
    <t xml:space="preserve">Maragogipe</t>
  </si>
  <si>
    <t xml:space="preserve">❌ MISSING</t>
  </si>
  <si>
    <t xml:space="preserve">Large-bean ancestor of Pacamara — watchlist</t>
  </si>
  <si>
    <t xml:space="preserve">Eugenioides</t>
  </si>
  <si>
    <t xml:space="preserve">HIGHEST PRIORITY MISSING VARIETAL</t>
  </si>
  <si>
    <t xml:space="preserve">Sidra</t>
  </si>
  <si>
    <t xml:space="preserve">Watchlist — Fahrenheit Coffee target</t>
  </si>
  <si>
    <t xml:space="preserve">⚙️  HARDWARE &amp; EXTRACTION PHYSICS</t>
  </si>
  <si>
    <t xml:space="preserve">Flat burrs · flat beds · the physics of clarity  ·  precision instruments for a precision palate</t>
  </si>
  <si>
    <t xml:space="preserve">  🔩  GRINDER PLATFORM REGISTER  —  flat burr platforms deliver the archive's best cups</t>
  </si>
  <si>
    <t xml:space="preserve">Platform</t>
  </si>
  <si>
    <t xml:space="preserve">Burr Size</t>
  </si>
  <si>
    <t xml:space="preserve">Palate Impact</t>
  </si>
  <si>
    <t xml:space="preserve">Archive Entries</t>
  </si>
  <si>
    <t xml:space="preserve">Option-O Lagom P80</t>
  </si>
  <si>
    <t xml:space="preserve">2</t>
  </si>
  <si>
    <t xml:space="preserve">80mm flat</t>
  </si>
  <si>
    <t xml:space="preserve">First P80 in archive — Entry #049 Oaks. Unimodal PSD on oversized Pacamara beans.</t>
  </si>
  <si>
    <t xml:space="preserve">Oaks Coffee Co. ×2</t>
  </si>
  <si>
    <t xml:space="preserve">8</t>
  </si>
  <si>
    <t xml:space="preserve">64mm flat</t>
  </si>
  <si>
    <t xml:space="preserve">Preferred precision platform — Fluid, Asylum, Abseil. Minimal fines.</t>
  </si>
  <si>
    <t xml:space="preserve">Fluid · Asylum · Zerah · Abseil</t>
  </si>
  <si>
    <t xml:space="preserve">Mahlkönig EK43/EK43S</t>
  </si>
  <si>
    <t xml:space="preserve">98mm flat</t>
  </si>
  <si>
    <t xml:space="preserve">Café workhorse — widest flat burr in archive. High throughput, competition heritage.</t>
  </si>
  <si>
    <t xml:space="preserve">Homeground · Lume · Keryi · Agora</t>
  </si>
  <si>
    <t xml:space="preserve">EK43 successor — Nylon standard grinder across all 6 visits.</t>
  </si>
  <si>
    <t xml:space="preserve">Nylon Coffee Roasters ×4</t>
  </si>
  <si>
    <t xml:space="preserve">Ditting (63.5/98mm)</t>
  </si>
  <si>
    <t xml:space="preserve">63.5–98mm flat</t>
  </si>
  <si>
    <t xml:space="preserve">Lab-grade narrow PSD — Double Shot + Keryi. Licensed aggressive ratios.</t>
  </si>
  <si>
    <t xml:space="preserve">Double Shot · Keryi Coffee</t>
  </si>
  <si>
    <t xml:space="preserve">DF83V (83mm flat)</t>
  </si>
  <si>
    <t xml:space="preserve">83mm flat</t>
  </si>
  <si>
    <t xml:space="preserve">First DF83 in archive — Zerah Pink Bourbon. Zero fines at 83mm.</t>
  </si>
  <si>
    <t xml:space="preserve">78mm flat</t>
  </si>
  <si>
    <t xml:space="preserve">Compact 78mm — Maxi Coffee Bar · mid-range precision tier.</t>
  </si>
  <si>
    <t xml:space="preserve">Maxi Coffee Bar ×2</t>
  </si>
  <si>
    <t xml:space="preserve">FM 120mm Hybrid</t>
  </si>
  <si>
    <t xml:space="preserve">120mm hybrid</t>
  </si>
  <si>
    <t xml:space="preserve">Largest burr in archive — extreme fines reduction for SL28/SL34 Kenya.</t>
  </si>
  <si>
    <t xml:space="preserve">Kyuukei Coffee × 2</t>
  </si>
  <si>
    <t xml:space="preserve">Mazzer MM (83mm)</t>
  </si>
  <si>
    <t xml:space="preserve">PPP Funan — wider fines than 98mm reference. Over-extraction documented.</t>
  </si>
  <si>
    <t xml:space="preserve">Timemore Conical Gold</t>
  </si>
  <si>
    <t xml:space="preserve">Conical</t>
  </si>
  <si>
    <t xml:space="preserve">Corner Corner — Liberica. Only conical burr in archive. Softer extraction.</t>
  </si>
  <si>
    <t xml:space="preserve">  ☕  BREWER GEOMETRY ANALYSIS  —  flat-bottom wins every documented comparison</t>
  </si>
  <si>
    <t xml:space="preserve">Geometry</t>
  </si>
  <si>
    <t xml:space="preserve">Archive Status</t>
  </si>
  <si>
    <t xml:space="preserve">Flat-Bottom (Origami/OREA/April/xBloom/Alpha/Switch)</t>
  </si>
  <si>
    <t xml:space="preserve">28</t>
  </si>
  <si>
    <t xml:space="preserve">✅ PRIMARY PREFERENCE</t>
  </si>
  <si>
    <t xml:space="preserve">Even bed saturation · zero bypass · full contact geometry. Delivers archive's highest-rated cups consistently.</t>
  </si>
  <si>
    <t xml:space="preserve">CT62 (Engineered Conical — 24-groove flow compensation)</t>
  </si>
  <si>
    <t xml:space="preserve">✅ EXEMPTED</t>
  </si>
  <si>
    <t xml:space="preserve">Entry #057 Abseil. 12 long + 12 short grooves regulate flow rate = flat-bottom equivalent extraction consistency.</t>
  </si>
  <si>
    <t xml:space="preserve">Standard Conical (V60)</t>
  </si>
  <si>
    <t xml:space="preserve">⚠️ OVER-EXTRACTION FLAG</t>
  </si>
  <si>
    <t xml:space="preserve">Documented over-extraction pattern at Agora (Beloya), Kurasu (Rwanda), PPP (Suke Quto), Cowpresso. Fine particle apex creates CGA bitterness.</t>
  </si>
  <si>
    <t xml:space="preserve">Automated (xBloom batch)</t>
  </si>
  <si>
    <t xml:space="preserve">⚠️ METHODOLOGY NOTE</t>
  </si>
  <si>
    <t xml:space="preserve">xBloom at Nylon — flat-bottom geometry, but automation removes barista pour adjustment. Clips thermal arc expressiveness.</t>
  </si>
  <si>
    <t xml:space="preserve">Immersion-assist (Hario Switch/Deep27)</t>
  </si>
  <si>
    <t xml:space="preserve">5</t>
  </si>
  <si>
    <t xml:space="preserve">✅ SECONDARY PREFERENCE</t>
  </si>
  <si>
    <t xml:space="preserve">Full bed saturation in immersion phase before drawdown. Strong on honey process (Keryi). Deep27 debut Entry #047 Kyuukei.</t>
  </si>
  <si>
    <t xml:space="preserve">Automated Tap Dispenser</t>
  </si>
  <si>
    <t xml:space="preserve">❌ REJECTED CONCEPT</t>
  </si>
  <si>
    <t xml:space="preserve">Entry #045 — 2050 Coffee. Hari's verdict: automation and pourover are philosophically incompatible. Not a return target.</t>
  </si>
  <si>
    <t xml:space="preserve">  📜  SIX EXTRACTION LAWS  —  empirically proven across 59 field audits</t>
  </si>
  <si>
    <t xml:space="preserve">Law 1:  Flat-bottom geometry outperforms conical for this palate. Every conical V60 entry carries a standing over-extraction risk flag in this archive.</t>
  </si>
  <si>
    <t xml:space="preserve">Law 2:  1:13–1:14 concentration amplifies polyphenolic bitterness at cool phase and suppresses sucrose emergence. Documented at Double Shot (Entry #055) and Equate (Entry #039).</t>
  </si>
  <si>
    <t xml:space="preserve">Law 3:  1:17 lean on Natural-process coffees risks CGA lactone bitterness at cool phase by failing to build adequate sucrose-ester mass. Confirmed at Nylon (Entry #056).</t>
  </si>
  <si>
    <t xml:space="preserve">Law 4:  Barista confirmation overrides visual inference for hardware identification — always. This is the archive's primary source hierarchy rule.</t>
  </si>
  <si>
    <t xml:space="preserve">Law 5:  Large flat burrs (63–98mm) are non-negotiable for oversized varietals (Pacamara, Maragogipe-lineage). P80 80mm confirmed at Oaks Entry #049.</t>
  </si>
  <si>
    <t xml:space="preserve">Law 6:  Thermal Shock Anaerobic Natural (Finca El Diviso, Entry #059) confirmed the archive's upper intensity threshold. Fermentation signal dominated all three thermal phases without evolution — process-preference misalignment ceiling established.</t>
  </si>
  <si>
    <t xml:space="preserve">🏙️  CAFÉ DIRECTORY  —  33 VENUES · 4 CITIES</t>
  </si>
  <si>
    <t xml:space="preserve">Live-verified July 2026  ·  SuperGrok · ChatGPT · Gemini · direct observation  ·  four-tier confidence rating</t>
  </si>
  <si>
    <t xml:space="preserve">  🌏  CITY COVERAGE OVERVIEW</t>
  </si>
  <si>
    <t xml:space="preserve">Cafés</t>
  </si>
  <si>
    <t xml:space="preserve">Coverage</t>
  </si>
  <si>
    <t xml:space="preserve">Character</t>
  </si>
  <si>
    <t xml:space="preserve">31</t>
  </si>
  <si>
    <t xml:space="preserve">94%</t>
  </si>
  <si>
    <t xml:space="preserve">Roaster-owned specialty scene · transparent parameters · competition hardware standard</t>
  </si>
  <si>
    <t xml:space="preserve">Archive origin chapter — Seniman Coffee Studio</t>
  </si>
  <si>
    <t xml:space="preserve">India frontier chapter — Subko + Grey Soul</t>
  </si>
  <si>
    <t xml:space="preserve">Cross-border audit — Clod Coffee Bar &amp; Roasters</t>
  </si>
  <si>
    <t xml:space="preserve">  ☕  COMPLETE VERIFIED DIRECTORY  —  33 venues · live entry counts · verified addresses</t>
  </si>
  <si>
    <t xml:space="preserve">Avg</t>
  </si>
  <si>
    <t xml:space="preserve">Verified Address</t>
  </si>
  <si>
    <t xml:space="preserve">Instagram</t>
  </si>
  <si>
    <t xml:space="preserve">Website</t>
  </si>
  <si>
    <t xml:space="preserve">Conf.</t>
  </si>
  <si>
    <t xml:space="preserve">Notes</t>
  </si>
  <si>
    <t xml:space="preserve">4 Everton Park, #01-40</t>
  </si>
  <si>
    <t xml:space="preserve">@nyloncoffeeroasters</t>
  </si>
  <si>
    <t xml:space="preserve">nyloncoffee.sg</t>
  </si>
  <si>
    <t xml:space="preserve">✅ HIGH</t>
  </si>
  <si>
    <t xml:space="preserve">Reliability anchor · 6 visits</t>
  </si>
  <si>
    <t xml:space="preserve">24 Opal Crescent, Singapore</t>
  </si>
  <si>
    <t xml:space="preserve">@fluidcollective</t>
  </si>
  <si>
    <t xml:space="preserve">Cup of Year · 2025 Brewers Cup champion</t>
  </si>
  <si>
    <t xml:space="preserve">311 Jalan Besar, S208970</t>
  </si>
  <si>
    <t xml:space="preserve">4 visits · 2 Gesha entries</t>
  </si>
  <si>
    <t xml:space="preserve">465 North Bridge Road, #02-5063</t>
  </si>
  <si>
    <t xml:space="preserve">@zerahroasters</t>
  </si>
  <si>
    <t xml:space="preserve">zerahcoffeeroasters.com</t>
  </si>
  <si>
    <t xml:space="preserve">Barista Aqil — joint #1</t>
  </si>
  <si>
    <t xml:space="preserve">121 Bukit Merah Ln 1 #01-06 · 5 Kadayanallur St #01-04</t>
  </si>
  <si>
    <t xml:space="preserve">@kyuukeicoffee</t>
  </si>
  <si>
    <t xml:space="preserve">kyuukeicoffee.com</t>
  </si>
  <si>
    <t xml:space="preserve">Two outlets · 3 archive visits</t>
  </si>
  <si>
    <t xml:space="preserve">70 Shenton Way, #01-14, Eon Shenton, S079118</t>
  </si>
  <si>
    <t xml:space="preserve">@abseil.coffee</t>
  </si>
  <si>
    <t xml:space="preserve">abseilcoffee.com</t>
  </si>
  <si>
    <t xml:space="preserve">Barista Glenda — joint #1 · CT62 + P64</t>
  </si>
  <si>
    <t xml:space="preserve">619H Bukit Timah Road, S269728</t>
  </si>
  <si>
    <t xml:space="preserve">@oakscoffeeco</t>
  </si>
  <si>
    <t xml:space="preserve">oakscoffeeco.com</t>
  </si>
  <si>
    <t xml:space="preserve">✅ LOCK</t>
  </si>
  <si>
    <t xml:space="preserve">2 visits · Day 4 at first audit · 5 archive firsts</t>
  </si>
  <si>
    <t xml:space="preserve">911 Bukit Timah Road, Singapore</t>
  </si>
  <si>
    <t xml:space="preserve">@homegroundcoffeeroasters</t>
  </si>
  <si>
    <t xml:space="preserve">homegroundcoffee.sg</t>
  </si>
  <si>
    <t xml:space="preserve">Experience Room concept</t>
  </si>
  <si>
    <t xml:space="preserve">27 Purvis Street, #01-02, S188604</t>
  </si>
  <si>
    <t xml:space="preserve">@pinholecoffeebar</t>
  </si>
  <si>
    <t xml:space="preserve">pinhole.cafe</t>
  </si>
  <si>
    <t xml:space="preserve">19 Kampong Bahru Road, Singapore</t>
  </si>
  <si>
    <t xml:space="preserve">dblshotcoffee.com</t>
  </si>
  <si>
    <t xml:space="preserve">Concentrated 1:13.3 house ratio</t>
  </si>
  <si>
    <t xml:space="preserve">139 Selegie Road, #01-01, S188309</t>
  </si>
  <si>
    <t xml:space="preserve">@apartmentcoffee.co</t>
  </si>
  <si>
    <t xml:space="preserve">apartmentcoffee.co</t>
  </si>
  <si>
    <t xml:space="preserve">#6 world ranked filter café</t>
  </si>
  <si>
    <t xml:space="preserve">Apartment (Jalan Riang)</t>
  </si>
  <si>
    <t xml:space="preserve">Jalan Riang, Singapore (weekends only)</t>
  </si>
  <si>
    <t xml:space="preserve">Roastery branch · weekends only</t>
  </si>
  <si>
    <t xml:space="preserve">161 Lavender Street, #01-08, S338750</t>
  </si>
  <si>
    <t xml:space="preserve">@keryicoffee</t>
  </si>
  <si>
    <t xml:space="preserve">keryicoffee.com</t>
  </si>
  <si>
    <t xml:space="preserve">Closed Fri for production · 2 visits</t>
  </si>
  <si>
    <t xml:space="preserve">64 Club Street (back entrance), S069438</t>
  </si>
  <si>
    <t xml:space="preserve">maxicoffeebar.com</t>
  </si>
  <si>
    <t xml:space="preserve">~4.7 Google · Ann Siang Hill</t>
  </si>
  <si>
    <t xml:space="preserve">619H Bukit Timah Road, Singapore</t>
  </si>
  <si>
    <t xml:space="preserve">@flipcoffeeroasters</t>
  </si>
  <si>
    <t xml:space="preserve">S$18 Ecuador Geisha · highest-price Gesha pre-Abseil</t>
  </si>
  <si>
    <t xml:space="preserve">32 Seah Street, S188388</t>
  </si>
  <si>
    <t xml:space="preserve">@askcoffeeroastery</t>
  </si>
  <si>
    <t xml:space="preserve">Experimental ferments · co-ferments</t>
  </si>
  <si>
    <t xml:space="preserve">31 Club Street, #01-02, S069468</t>
  </si>
  <si>
    <t xml:space="preserve">@agoracoffeecs</t>
  </si>
  <si>
    <t xml:space="preserve">3 visits · V60 over-extraction flag</t>
  </si>
  <si>
    <t xml:space="preserve">1 Tanjong Pagar Plaza, #02-25, S082001</t>
  </si>
  <si>
    <t xml:space="preserve">@equatecoffee</t>
  </si>
  <si>
    <t xml:space="preserve">equate.sg</t>
  </si>
  <si>
    <t xml:space="preserve">21 Lor Kilat, #01-07, S598123</t>
  </si>
  <si>
    <t xml:space="preserve">@cowpressocoffee</t>
  </si>
  <si>
    <t xml:space="preserve">cowpressocoffee.sg</t>
  </si>
  <si>
    <t xml:space="preserve">Barista Aung · complimentary sea salt latte</t>
  </si>
  <si>
    <t xml:space="preserve">10 Collyer Quay, #01-K1, S049315</t>
  </si>
  <si>
    <t xml:space="preserve">@alchemist.global</t>
  </si>
  <si>
    <t xml:space="preserve">alchemist.global</t>
  </si>
  <si>
    <t xml:space="preserve">Laurina Anaerobic entry</t>
  </si>
  <si>
    <t xml:space="preserve">Alchemist (Raffles Place)</t>
  </si>
  <si>
    <t xml:space="preserve">16 Raffles Quay, #01-08, Hong Leong Bldg, S048581</t>
  </si>
  <si>
    <t xml:space="preserve">El Morito Marshell Washed</t>
  </si>
  <si>
    <t xml:space="preserve">108 Robinson Road, #01-01, S068900</t>
  </si>
  <si>
    <t xml:space="preserve">@lume_sg</t>
  </si>
  <si>
    <t xml:space="preserve">lume.sg</t>
  </si>
  <si>
    <t xml:space="preserve">Panama Geisha Red Honey</t>
  </si>
  <si>
    <t xml:space="preserve">170 Stirling Road, #01-1133, S140170 (flagship)</t>
  </si>
  <si>
    <t xml:space="preserve">tionghoe.com</t>
  </si>
  <si>
    <t xml:space="preserve">10 outlets islandwide</t>
  </si>
  <si>
    <t xml:space="preserve">261 Waterloo Street, #01-24, S180261</t>
  </si>
  <si>
    <t xml:space="preserve">@kurasu.sg</t>
  </si>
  <si>
    <t xml:space="preserve">kurasu.sg</t>
  </si>
  <si>
    <t xml:space="preserve">Japanese origin · honey process lots</t>
  </si>
  <si>
    <t xml:space="preserve">16 Duxton Road, S089482 (daytime inside RPM)</t>
  </si>
  <si>
    <t xml:space="preserve">@corner___corner</t>
  </si>
  <si>
    <t xml:space="preserve">Vinyl/kissaten · Liberica · daytime only</t>
  </si>
  <si>
    <t xml:space="preserve">267 Beach Road, #01-01, S199545</t>
  </si>
  <si>
    <t xml:space="preserve">@2050.coffee</t>
  </si>
  <si>
    <t xml:space="preserve">Automated tap dispenser · rejected format</t>
  </si>
  <si>
    <t xml:space="preserve">Funan Mall, 107 North Bridge Road</t>
  </si>
  <si>
    <t xml:space="preserve">Over-extraction documented on EK Omnia+V60</t>
  </si>
  <si>
    <t xml:space="preserve">Hamilton Road, Singapore</t>
  </si>
  <si>
    <t xml:space="preserve">⚠️ LOW</t>
  </si>
  <si>
    <t xml:space="preserve">Area confirmed · exact unit unverified</t>
  </si>
  <si>
    <t xml:space="preserve">No fixed address (pop-up/stand format)</t>
  </si>
  <si>
    <t xml:space="preserve">Small independent · 2 visits</t>
  </si>
  <si>
    <t xml:space="preserve">Jl. Sriwedari, Ubud, Bali</t>
  </si>
  <si>
    <t xml:space="preserve">@senimancoffee</t>
  </si>
  <si>
    <t xml:space="preserve">senimancoffee.com</t>
  </si>
  <si>
    <t xml:space="preserve">◐ MED</t>
  </si>
  <si>
    <t xml:space="preserve">Archive origin venue · 3 entries</t>
  </si>
  <si>
    <t xml:space="preserve">Bandra/Khar area, Mumbai, India</t>
  </si>
  <si>
    <t xml:space="preserve">@subkocoffee</t>
  </si>
  <si>
    <t xml:space="preserve">subko.coffee</t>
  </si>
  <si>
    <t xml:space="preserve">City-level verified</t>
  </si>
  <si>
    <t xml:space="preserve">Mumbai, India</t>
  </si>
  <si>
    <t xml:space="preserve">@greysoulcoffee</t>
  </si>
  <si>
    <t xml:space="preserve">123, Jln Beringin, Taman Melodies, 80250 JB, Malaysia</t>
  </si>
  <si>
    <t xml:space="preserve">Direct confirmation · cross-border audit</t>
  </si>
  <si>
    <t xml:space="preserve">  🔑  ADDRESS VERIFICATION LEGEND</t>
  </si>
  <si>
    <t xml:space="preserve">Badge</t>
  </si>
  <si>
    <t xml:space="preserve">Meaning</t>
  </si>
  <si>
    <t xml:space="preserve">Sources used</t>
  </si>
  <si>
    <t xml:space="preserve">Direct confirmation by Hari — overrides all AI sources</t>
  </si>
  <si>
    <t xml:space="preserve">Personal visit + direct recall</t>
  </si>
  <si>
    <t xml:space="preserve">2+ independent sources agree</t>
  </si>
  <si>
    <t xml:space="preserve">SuperGrok + ChatGPT / Gemini / Project Knowledge</t>
  </si>
  <si>
    <t xml:space="preserve">1 source only or area-level verified</t>
  </si>
  <si>
    <t xml:space="preserve">Single source or archive observation primary</t>
  </si>
  <si>
    <t xml:space="preserve">No fixed address — pop-up or micro-independent</t>
  </si>
  <si>
    <t xml:space="preserve">Archive visit record only</t>
  </si>
  <si>
    <t xml:space="preserve">📖  LEGEND &amp; MAINTENANCE GUIDE</t>
  </si>
  <si>
    <t xml:space="preserve">How to read, how to maintain, and how to grow this archive</t>
  </si>
  <si>
    <t xml:space="preserve">  🎨  COLOUR LEGEND  —  Coffee Audit sheet</t>
  </si>
  <si>
    <t xml:space="preserve">Colour</t>
  </si>
  <si>
    <t xml:space="preserve">Even-row banding — auto conditional formatting</t>
  </si>
  <si>
    <t xml:space="preserve">Odd-row banding — auto conditional formatting</t>
  </si>
  <si>
    <t xml:space="preserve">⭐ GESHA row — auto-applied when Varietal contains Gesha or Geisha</t>
  </si>
  <si>
    <t xml:space="preserve">Header row — dark espresso with cream text</t>
  </si>
  <si>
    <t xml:space="preserve">  🛠️  HOW TO ADD A NEW ENTRY  —  7 steps, keeps everything live</t>
  </si>
  <si>
    <t xml:space="preserve">1.  Add the new row directly below the last entry on the Coffee Audit sheet — columns A through V (22 data columns).</t>
  </si>
  <si>
    <t xml:space="preserve">2.  Copy the Gesha_Alert formula (column W) down from the row above — it self-detects any Gesha or Geisha variant spelling.</t>
  </si>
  <si>
    <t xml:space="preserve">3.  Row colours (blue/yellow banding and Gesha purple) apply automatically via conditional formatting — no manual fill needed.</t>
  </si>
  <si>
    <t xml:space="preserve">4.  The Dashboard KPI tiles, all formula tables, Café Directory counts, Price &amp; Value stats, and Origin league tables all scan to row 2000 and update instantly.</t>
  </si>
  <si>
    <t xml:space="preserve">5.  Enter Price, Dose and Yield as plain numbers where known. Text "Unknown" is safely ignored by all statistical formulas.</t>
  </si>
  <si>
    <t xml:space="preserve">6.  New café not in the Directory? Add one row to the Café Directory table with the exact café name matching column C of the Coffee Audit sheet — live counts update immediately.</t>
  </si>
  <si>
    <t xml:space="preserve">7.  Editorial panels (Archive Thesis, Honours Board, Gesha Hall of Fame, Extraction Laws) are curated by hand — update these after milestone visits or at each month's end.</t>
  </si>
  <si>
    <t xml:space="preserve">  📜  ARCHIVE INTEGRITY RULES</t>
  </si>
  <si>
    <t xml:space="preserve">Uploaded files are the authoritative baseline — entries are appended, never reconstructed from memory.</t>
  </si>
  <si>
    <t xml:space="preserve">Source hierarchy: receipts + bean card photos &gt; barista confirmation &gt; café DM response &gt; direct observation &gt; AI reconstruction.</t>
  </si>
  <si>
    <t xml:space="preserve">No silent corrections — all data discrepancies must be flagged explicitly before any correction is applied.</t>
  </si>
  <si>
    <t xml:space="preserve">Barista confirmation overrides visual inference for hardware identification.</t>
  </si>
  <si>
    <t xml:space="preserve">Gesha spelling: "Gesha" (botanically accurate) and "Geisha" (Panamanian commercial) — archive uses whichever appears on the bean card as authoritative.</t>
  </si>
  <si>
    <t xml:space="preserve">Primary sensory record from Entry #031 onward: sensory notes are the archive record; brew parameters logged only when barista offers or they are observable.</t>
  </si>
  <si>
    <t xml:space="preserve">The archive records one palate only — external roaster or barista tasting notes are reference, never overwrite Hari's direct observation.</t>
  </si>
  <si>
    <t xml:space="preserve">N/A vs Unknown: "Unknown" = data exists but was not captured; "N/A" with reason = structurally inapplicable (e.g. batch-dispensed format).</t>
  </si>
  <si>
    <t xml:space="preserve">Address verification tiers: ✅ LOCK (direct confirmation) &gt; ✅ HIGH (2+ sources) &gt; ◐ MED (area-level) &gt; ⚠️ LOW (archive only).</t>
  </si>
  <si>
    <t xml:space="preserve">Consolidation Summary</t>
  </si>
  <si>
    <t xml:space="preserve">Total unique entries</t>
  </si>
  <si>
    <t xml:space="preserve">Merged (both sources)</t>
  </si>
  <si>
    <t xml:space="preserve">ChatGPT-only (new)</t>
  </si>
  <si>
    <t xml:space="preserve">Gemini-only (retained)</t>
  </si>
  <si>
    <t xml:space="preserve">Cities covered</t>
  </si>
  <si>
    <t xml:space="preserve">Unique cafes</t>
  </si>
  <si>
    <t xml:space="preserve">Date range</t>
  </si>
</sst>
</file>

<file path=xl/styles.xml><?xml version="1.0" encoding="utf-8"?>
<styleSheet xmlns="http://schemas.openxmlformats.org/spreadsheetml/2006/main">
  <numFmts count="5">
    <numFmt numFmtId="164" formatCode="General"/>
    <numFmt numFmtId="165" formatCode="yyyy\-mm\-dd"/>
    <numFmt numFmtId="166" formatCode="&quot;S$&quot;0.00"/>
    <numFmt numFmtId="167" formatCode="yyyy\-mm\-dd\ h:mm:ss"/>
    <numFmt numFmtId="168" formatCode="General"/>
  </numFmts>
  <fonts count="25">
    <font>
      <sz val="11"/>
      <color theme="1"/>
      <name val="Calibri"/>
      <family val="2"/>
      <charset val="1"/>
    </font>
    <font>
      <sz val="10"/>
      <name val="Arial"/>
      <family val="0"/>
    </font>
    <font>
      <sz val="10"/>
      <name val="Arial"/>
      <family val="0"/>
    </font>
    <font>
      <sz val="10"/>
      <name val="Arial"/>
      <family val="0"/>
    </font>
    <font>
      <b val="true"/>
      <sz val="8"/>
      <color rgb="FFFDF8EE"/>
      <name val="Calibri"/>
      <family val="0"/>
      <charset val="1"/>
    </font>
    <font>
      <sz val="8"/>
      <color rgb="FF2D1F0F"/>
      <name val="Calibri"/>
      <family val="0"/>
      <charset val="1"/>
    </font>
    <font>
      <b val="true"/>
      <sz val="8"/>
      <color rgb="FF6A1B9A"/>
      <name val="Calibri"/>
      <family val="0"/>
      <charset val="1"/>
    </font>
    <font>
      <sz val="8"/>
      <name val="Calibri"/>
      <family val="0"/>
      <charset val="1"/>
    </font>
    <font>
      <sz val="10"/>
      <name val="Arial"/>
      <family val="2"/>
    </font>
    <font>
      <b val="true"/>
      <sz val="18"/>
      <color rgb="FFFDF8EE"/>
      <name val="Calibri"/>
      <family val="0"/>
      <charset val="1"/>
    </font>
    <font>
      <i val="true"/>
      <sz val="9"/>
      <color rgb="FFC9902A"/>
      <name val="Calibri"/>
      <family val="0"/>
      <charset val="1"/>
    </font>
    <font>
      <b val="true"/>
      <sz val="10"/>
      <color rgb="FFFDF8EE"/>
      <name val="Calibri"/>
      <family val="0"/>
      <charset val="1"/>
    </font>
    <font>
      <b val="true"/>
      <sz val="7"/>
      <color rgb="FFC9902A"/>
      <name val="Calibri"/>
      <family val="0"/>
      <charset val="1"/>
    </font>
    <font>
      <b val="true"/>
      <sz val="20"/>
      <color rgb="FFC9902A"/>
      <name val="Calibri"/>
      <family val="0"/>
      <charset val="1"/>
    </font>
    <font>
      <i val="true"/>
      <sz val="7"/>
      <color rgb="FFCCB48A"/>
      <name val="Calibri"/>
      <family val="0"/>
      <charset val="1"/>
    </font>
    <font>
      <b val="true"/>
      <sz val="8"/>
      <color rgb="FF2D1F0F"/>
      <name val="Calibri"/>
      <family val="0"/>
      <charset val="1"/>
    </font>
    <font>
      <i val="true"/>
      <sz val="7.5"/>
      <color rgb="FF2D1F0F"/>
      <name val="Calibri"/>
      <family val="0"/>
      <charset val="1"/>
    </font>
    <font>
      <i val="true"/>
      <sz val="9"/>
      <color rgb="FF2D1F0F"/>
      <name val="Calibri"/>
      <family val="0"/>
      <charset val="1"/>
    </font>
    <font>
      <b val="true"/>
      <sz val="8.5"/>
      <color rgb="FF2D1F0F"/>
      <name val="Calibri"/>
      <family val="0"/>
      <charset val="1"/>
    </font>
    <font>
      <sz val="8.5"/>
      <color rgb="FF2D1F0F"/>
      <name val="Calibri"/>
      <family val="0"/>
      <charset val="1"/>
    </font>
    <font>
      <b val="true"/>
      <sz val="7.5"/>
      <color rgb="FF2D1F0F"/>
      <name val="Calibri"/>
      <family val="0"/>
      <charset val="1"/>
    </font>
    <font>
      <sz val="7.5"/>
      <color rgb="FF2D1F0F"/>
      <name val="Calibri"/>
      <family val="0"/>
      <charset val="1"/>
    </font>
    <font>
      <i val="true"/>
      <sz val="8.5"/>
      <color rgb="FF2D1F0F"/>
      <name val="Calibri"/>
      <family val="0"/>
      <charset val="1"/>
    </font>
    <font>
      <sz val="10"/>
      <name val="Calibri"/>
      <family val="0"/>
      <charset val="1"/>
    </font>
    <font>
      <b val="true"/>
      <sz val="10"/>
      <name val="Calibri"/>
      <family val="0"/>
      <charset val="1"/>
    </font>
  </fonts>
  <fills count="14">
    <fill>
      <patternFill patternType="none"/>
    </fill>
    <fill>
      <patternFill patternType="gray125"/>
    </fill>
    <fill>
      <patternFill patternType="solid">
        <fgColor rgb="FF1A0F00"/>
        <bgColor rgb="FF2D1F0F"/>
      </patternFill>
    </fill>
    <fill>
      <patternFill patternType="solid">
        <fgColor rgb="FF3B2200"/>
        <bgColor rgb="FF2D1F0F"/>
      </patternFill>
    </fill>
    <fill>
      <patternFill patternType="solid">
        <fgColor rgb="FF7A5230"/>
        <bgColor rgb="FF6B4428"/>
      </patternFill>
    </fill>
    <fill>
      <patternFill patternType="solid">
        <fgColor rgb="FFFFF9C4"/>
        <bgColor rgb="FFFFF3E0"/>
      </patternFill>
    </fill>
    <fill>
      <patternFill patternType="solid">
        <fgColor rgb="FFFDF8EE"/>
        <bgColor rgb="FFFFF3E0"/>
      </patternFill>
    </fill>
    <fill>
      <patternFill patternType="solid">
        <fgColor rgb="FFF5ECD7"/>
        <bgColor rgb="FFFFF3E0"/>
      </patternFill>
    </fill>
    <fill>
      <patternFill patternType="solid">
        <fgColor rgb="FFEDE0FF"/>
        <bgColor rgb="FFE8D5FF"/>
      </patternFill>
    </fill>
    <fill>
      <patternFill patternType="solid">
        <fgColor rgb="FFE8D5FF"/>
        <bgColor rgb="FFEDE0FF"/>
      </patternFill>
    </fill>
    <fill>
      <patternFill patternType="solid">
        <fgColor rgb="FFE8F5E9"/>
        <bgColor rgb="FFE3F2FD"/>
      </patternFill>
    </fill>
    <fill>
      <patternFill patternType="solid">
        <fgColor rgb="FFFFE0E0"/>
        <bgColor rgb="FFF5ECD7"/>
      </patternFill>
    </fill>
    <fill>
      <patternFill patternType="solid">
        <fgColor rgb="FFFFF3E0"/>
        <bgColor rgb="FFFDF8EE"/>
      </patternFill>
    </fill>
    <fill>
      <patternFill patternType="solid">
        <fgColor rgb="FFE3F2FD"/>
        <bgColor rgb="FFE8F5E9"/>
      </patternFill>
    </fill>
  </fills>
  <borders count="5">
    <border diagonalUp="false" diagonalDown="false">
      <left/>
      <right/>
      <top/>
      <bottom/>
      <diagonal/>
    </border>
    <border diagonalUp="false" diagonalDown="false">
      <left style="thin">
        <color rgb="FF9E8060"/>
      </left>
      <right style="thin">
        <color rgb="FF9E8060"/>
      </right>
      <top style="thin">
        <color rgb="FF9E8060"/>
      </top>
      <bottom style="thin">
        <color rgb="FF9E8060"/>
      </bottom>
      <diagonal/>
    </border>
    <border diagonalUp="false" diagonalDown="false">
      <left style="thin"/>
      <right style="thin"/>
      <top style="thin"/>
      <bottom style="thin"/>
      <diagonal/>
    </border>
    <border diagonalUp="false" diagonalDown="false">
      <left style="thin">
        <color rgb="FF9E8060"/>
      </left>
      <right/>
      <top style="thin">
        <color rgb="FF9E8060"/>
      </top>
      <bottom style="thin">
        <color rgb="FF9E8060"/>
      </bottom>
      <diagonal/>
    </border>
    <border diagonalUp="false" diagonalDown="false">
      <left style="medium">
        <color rgb="FF6B4428"/>
      </left>
      <right/>
      <top style="medium">
        <color rgb="FF6B442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7" fontId="5" fillId="0" borderId="1" xfId="0" applyFont="true" applyBorder="tru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true" applyProtection="false">
      <alignment horizontal="center" vertical="center" textRotation="0" wrapText="true" indent="0" shrinkToFit="false"/>
      <protection locked="true" hidden="false"/>
    </xf>
    <xf numFmtId="164" fontId="11" fillId="3" borderId="0" xfId="0" applyFont="true" applyBorder="true" applyAlignment="true" applyProtection="false">
      <alignment horizontal="left"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8" fontId="13" fillId="3" borderId="1" xfId="0" applyFont="true" applyBorder="true" applyAlignment="true" applyProtection="false">
      <alignment horizontal="center"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1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15" fillId="6" borderId="1" xfId="0" applyFont="true" applyBorder="true" applyAlignment="true" applyProtection="false">
      <alignment horizontal="general" vertical="top" textRotation="0" wrapText="tru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4" fontId="16" fillId="7" borderId="3" xfId="0" applyFont="true" applyBorder="true" applyAlignment="true" applyProtection="false">
      <alignment horizontal="general" vertical="top" textRotation="0" wrapText="true" indent="0" shrinkToFit="false"/>
      <protection locked="true" hidden="false"/>
    </xf>
    <xf numFmtId="164" fontId="17" fillId="7" borderId="4" xfId="0" applyFont="true" applyBorder="true" applyAlignment="true" applyProtection="false">
      <alignment horizontal="general" vertical="top" textRotation="0" wrapText="true" indent="0" shrinkToFit="false"/>
      <protection locked="true" hidden="false"/>
    </xf>
    <xf numFmtId="168" fontId="5" fillId="8" borderId="1" xfId="0" applyFont="true" applyBorder="true" applyAlignment="true" applyProtection="false">
      <alignment horizontal="general" vertical="top" textRotation="0" wrapText="true" indent="0" shrinkToFit="false"/>
      <protection locked="true" hidden="false"/>
    </xf>
    <xf numFmtId="168" fontId="5" fillId="9" borderId="1" xfId="0" applyFont="true" applyBorder="true" applyAlignment="true" applyProtection="false">
      <alignment horizontal="general" vertical="top" textRotation="0" wrapText="true" indent="0" shrinkToFit="false"/>
      <protection locked="true" hidden="false"/>
    </xf>
    <xf numFmtId="164" fontId="15" fillId="10"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15" fillId="11" borderId="1" xfId="0" applyFont="true" applyBorder="true" applyAlignment="true" applyProtection="false">
      <alignment horizontal="general" vertical="top" textRotation="0" wrapText="true" indent="0" shrinkToFit="false"/>
      <protection locked="true" hidden="false"/>
    </xf>
    <xf numFmtId="164" fontId="5" fillId="11" borderId="1" xfId="0" applyFont="true" applyBorder="true" applyAlignment="true" applyProtection="false">
      <alignment horizontal="general" vertical="top" textRotation="0" wrapText="true" indent="0" shrinkToFit="false"/>
      <protection locked="true" hidden="false"/>
    </xf>
    <xf numFmtId="164" fontId="15" fillId="12" borderId="1" xfId="0" applyFont="true" applyBorder="true" applyAlignment="true" applyProtection="false">
      <alignment horizontal="general" vertical="top" textRotation="0" wrapText="true" indent="0" shrinkToFit="false"/>
      <protection locked="true" hidden="false"/>
    </xf>
    <xf numFmtId="164" fontId="5" fillId="12" borderId="1" xfId="0" applyFont="true" applyBorder="true" applyAlignment="true" applyProtection="false">
      <alignment horizontal="general" vertical="top" textRotation="0" wrapText="true" indent="0" shrinkToFit="false"/>
      <protection locked="true" hidden="false"/>
    </xf>
    <xf numFmtId="164" fontId="18" fillId="7" borderId="3" xfId="0" applyFont="true" applyBorder="true" applyAlignment="true" applyProtection="false">
      <alignment horizontal="general" vertical="top" textRotation="0" wrapText="true" indent="0" shrinkToFit="false"/>
      <protection locked="true" hidden="false"/>
    </xf>
    <xf numFmtId="164" fontId="19" fillId="6" borderId="3" xfId="0" applyFont="true" applyBorder="true" applyAlignment="true" applyProtection="false">
      <alignment horizontal="general" vertical="top" textRotation="0" wrapText="true" indent="0" shrinkToFit="false"/>
      <protection locked="true" hidden="false"/>
    </xf>
    <xf numFmtId="164" fontId="19" fillId="7" borderId="3" xfId="0" applyFont="true" applyBorder="true" applyAlignment="true" applyProtection="false">
      <alignment horizontal="general" vertical="top" textRotation="0" wrapText="true" indent="0" shrinkToFit="false"/>
      <protection locked="true" hidden="false"/>
    </xf>
    <xf numFmtId="164" fontId="20" fillId="5" borderId="1" xfId="0" applyFont="true" applyBorder="true" applyAlignment="true" applyProtection="false">
      <alignment horizontal="general" vertical="top" textRotation="0" wrapText="true" indent="0" shrinkToFit="false"/>
      <protection locked="true" hidden="false"/>
    </xf>
    <xf numFmtId="164" fontId="21" fillId="5" borderId="1" xfId="0" applyFont="true" applyBorder="true" applyAlignment="true" applyProtection="false">
      <alignment horizontal="general" vertical="top" textRotation="0" wrapText="true" indent="0" shrinkToFit="false"/>
      <protection locked="true" hidden="false"/>
    </xf>
    <xf numFmtId="164" fontId="20" fillId="6" borderId="1" xfId="0" applyFont="true" applyBorder="true" applyAlignment="true" applyProtection="false">
      <alignment horizontal="general" vertical="top" textRotation="0" wrapText="true" indent="0" shrinkToFit="false"/>
      <protection locked="true" hidden="false"/>
    </xf>
    <xf numFmtId="164" fontId="21" fillId="6" borderId="1" xfId="0" applyFont="true" applyBorder="true" applyAlignment="true" applyProtection="false">
      <alignment horizontal="general" vertical="top" textRotation="0" wrapText="true" indent="0" shrinkToFit="false"/>
      <protection locked="true" hidden="false"/>
    </xf>
    <xf numFmtId="164" fontId="20" fillId="10" borderId="1" xfId="0" applyFont="true" applyBorder="true" applyAlignment="true" applyProtection="false">
      <alignment horizontal="general" vertical="top" textRotation="0" wrapText="true" indent="0" shrinkToFit="false"/>
      <protection locked="true" hidden="false"/>
    </xf>
    <xf numFmtId="164" fontId="21" fillId="10" borderId="1" xfId="0" applyFont="true" applyBorder="true" applyAlignment="true" applyProtection="false">
      <alignment horizontal="general" vertical="top" textRotation="0" wrapText="true" indent="0" shrinkToFit="false"/>
      <protection locked="true" hidden="false"/>
    </xf>
    <xf numFmtId="164" fontId="20" fillId="12" borderId="1" xfId="0" applyFont="true" applyBorder="true" applyAlignment="true" applyProtection="false">
      <alignment horizontal="general" vertical="top" textRotation="0" wrapText="true" indent="0" shrinkToFit="false"/>
      <protection locked="true" hidden="false"/>
    </xf>
    <xf numFmtId="164" fontId="21" fillId="12" borderId="1" xfId="0" applyFont="true" applyBorder="true" applyAlignment="true" applyProtection="false">
      <alignment horizontal="general" vertical="top" textRotation="0" wrapText="true" indent="0" shrinkToFit="false"/>
      <protection locked="true" hidden="false"/>
    </xf>
    <xf numFmtId="164" fontId="0" fillId="13" borderId="1" xfId="0" applyFont="false" applyBorder="true" applyAlignment="true" applyProtection="false">
      <alignment horizontal="general" vertical="bottom" textRotation="0" wrapText="fals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0" fillId="8" borderId="1" xfId="0" applyFont="fals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22" fillId="7" borderId="3" xfId="0" applyFont="true" applyBorder="true" applyAlignment="true" applyProtection="false">
      <alignment horizontal="general" vertical="top" textRotation="0" wrapText="true" indent="0" shrinkToFit="false"/>
      <protection locked="true" hidden="false"/>
    </xf>
    <xf numFmtId="164" fontId="22" fillId="6" borderId="3" xfId="0" applyFont="true" applyBorder="true" applyAlignment="true" applyProtection="false">
      <alignment horizontal="general" vertical="top" textRotation="0" wrapText="tru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EDE0FF"/>
        </patternFill>
      </fill>
    </dxf>
    <dxf>
      <fill>
        <patternFill>
          <bgColor rgb="FFE3F2FD"/>
        </patternFill>
      </fill>
    </dxf>
    <dxf>
      <fill>
        <patternFill>
          <bgColor rgb="FFFFF9C4"/>
        </patternFill>
      </fill>
    </dxf>
  </dxfs>
  <colors>
    <indexedColors>
      <rgbColor rgb="FF000000"/>
      <rgbColor rgb="FFFDF8EE"/>
      <rgbColor rgb="FFFF0000"/>
      <rgbColor rgb="FF00FF00"/>
      <rgbColor rgb="FF0000FF"/>
      <rgbColor rgb="FFFFFF00"/>
      <rgbColor rgb="FFFF00FF"/>
      <rgbColor rgb="FF00FFFF"/>
      <rgbColor rgb="FF800000"/>
      <rgbColor rgb="FF008000"/>
      <rgbColor rgb="FF000080"/>
      <rgbColor rgb="FF808000"/>
      <rgbColor rgb="FF6A1B9A"/>
      <rgbColor rgb="FF008080"/>
      <rgbColor rgb="FFCCB48A"/>
      <rgbColor rgb="FF9E8060"/>
      <rgbColor rgb="FF9999FF"/>
      <rgbColor rgb="FF7A5230"/>
      <rgbColor rgb="FFFFF9C4"/>
      <rgbColor rgb="FFE3F2FD"/>
      <rgbColor rgb="FF660066"/>
      <rgbColor rgb="FFFF8080"/>
      <rgbColor rgb="FF1565C0"/>
      <rgbColor rgb="FFE8D5FF"/>
      <rgbColor rgb="FF000080"/>
      <rgbColor rgb="FFFF00FF"/>
      <rgbColor rgb="FFFFFF00"/>
      <rgbColor rgb="FF00FFFF"/>
      <rgbColor rgb="FF800080"/>
      <rgbColor rgb="FF800000"/>
      <rgbColor rgb="FF008080"/>
      <rgbColor rgb="FF0000FF"/>
      <rgbColor rgb="FF00CCFF"/>
      <rgbColor rgb="FFE8F5E9"/>
      <rgbColor rgb="FFF5ECD7"/>
      <rgbColor rgb="FFFFF3E0"/>
      <rgbColor rgb="FFEDE0FF"/>
      <rgbColor rgb="FFFF99CC"/>
      <rgbColor rgb="FFCC99FF"/>
      <rgbColor rgb="FFFFE0E0"/>
      <rgbColor rgb="FF3366FF"/>
      <rgbColor rgb="FF33CCCC"/>
      <rgbColor rgb="FF99CC00"/>
      <rgbColor rgb="FFFFCC00"/>
      <rgbColor rgb="FFC9902A"/>
      <rgbColor rgb="FFFF6600"/>
      <rgbColor rgb="FF546E7A"/>
      <rgbColor rgb="FF9E9E9E"/>
      <rgbColor rgb="FF1A0F00"/>
      <rgbColor rgb="FF2E7D32"/>
      <rgbColor rgb="FF2D1F0F"/>
      <rgbColor rgb="FF3B2200"/>
      <rgbColor rgb="FF6B4428"/>
      <rgbColor rgb="FF993366"/>
      <rgbColor rgb="FF333399"/>
      <rgbColor rgb="FF4E34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1F0F"/>
    <pageSetUpPr fitToPage="false"/>
  </sheetPr>
  <dimension ref="A1:X6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11"/>
    <col collapsed="false" customWidth="true" hidden="false" outlineLevel="0" max="3" min="3" style="1" width="22"/>
    <col collapsed="false" customWidth="true" hidden="false" outlineLevel="0" max="4" min="4" style="1" width="26"/>
    <col collapsed="false" customWidth="true" hidden="false" outlineLevel="0" max="5" min="5" style="1" width="20"/>
    <col collapsed="false" customWidth="true" hidden="false" outlineLevel="0" max="7" min="6" style="1" width="16"/>
    <col collapsed="false" customWidth="true" hidden="false" outlineLevel="0" max="8" min="8" style="1" width="20"/>
    <col collapsed="false" customWidth="true" hidden="false" outlineLevel="0" max="9" min="9" style="1" width="11"/>
    <col collapsed="false" customWidth="true" hidden="false" outlineLevel="0" max="10" min="10" style="1" width="24"/>
    <col collapsed="false" customWidth="true" hidden="false" outlineLevel="0" max="12" min="11" style="1" width="7"/>
    <col collapsed="false" customWidth="true" hidden="false" outlineLevel="0" max="13" min="13" style="1" width="8"/>
    <col collapsed="false" customWidth="true" hidden="false" outlineLevel="0" max="14" min="14" style="1" width="12"/>
    <col collapsed="false" customWidth="true" hidden="false" outlineLevel="0" max="15" min="15" style="1" width="20"/>
    <col collapsed="false" customWidth="true" hidden="false" outlineLevel="0" max="16" min="16" style="1" width="26"/>
    <col collapsed="false" customWidth="true" hidden="false" outlineLevel="0" max="17" min="17" style="1" width="8"/>
    <col collapsed="false" customWidth="true" hidden="false" outlineLevel="0" max="18" min="18" style="1" width="26"/>
    <col collapsed="false" customWidth="true" hidden="false" outlineLevel="0" max="20" min="19" style="1" width="50"/>
    <col collapsed="false" customWidth="true" hidden="false" outlineLevel="0" max="21" min="21" style="1" width="40"/>
    <col collapsed="false" customWidth="true" hidden="false" outlineLevel="0" max="22" min="22" style="1" width="24"/>
    <col collapsed="false" customWidth="true" hidden="false" outlineLevel="0" max="23" min="23" style="1" width="10"/>
    <col collapsed="false" customWidth="true" hidden="false" outlineLevel="0" max="24" min="24" style="1" width="46"/>
  </cols>
  <sheetData>
    <row r="1" customFormat="false" ht="18"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customFormat="false" ht="20.25" hidden="false" customHeight="true" outlineLevel="0" collapsed="false">
      <c r="A2" s="3" t="n">
        <v>46025</v>
      </c>
      <c r="B2" s="4" t="s">
        <v>24</v>
      </c>
      <c r="C2" s="4" t="s">
        <v>25</v>
      </c>
      <c r="D2" s="4" t="s">
        <v>26</v>
      </c>
      <c r="E2" s="4" t="s">
        <v>27</v>
      </c>
      <c r="F2" s="4" t="s">
        <v>28</v>
      </c>
      <c r="G2" s="4" t="s">
        <v>27</v>
      </c>
      <c r="H2" s="4" t="s">
        <v>29</v>
      </c>
      <c r="I2" s="4" t="s">
        <v>30</v>
      </c>
      <c r="J2" s="4" t="s">
        <v>31</v>
      </c>
      <c r="K2" s="4" t="s">
        <v>27</v>
      </c>
      <c r="L2" s="4" t="s">
        <v>27</v>
      </c>
      <c r="M2" s="4" t="s">
        <v>27</v>
      </c>
      <c r="N2" s="4" t="s">
        <v>27</v>
      </c>
      <c r="O2" s="4" t="s">
        <v>27</v>
      </c>
      <c r="P2" s="4" t="s">
        <v>27</v>
      </c>
      <c r="Q2" s="4" t="s">
        <v>27</v>
      </c>
      <c r="R2" s="4" t="s">
        <v>32</v>
      </c>
      <c r="S2" s="4" t="s">
        <v>33</v>
      </c>
      <c r="T2" s="4" t="s">
        <v>34</v>
      </c>
      <c r="U2" s="4" t="s">
        <v>35</v>
      </c>
      <c r="V2" s="4" t="s">
        <v>36</v>
      </c>
      <c r="W2" s="5" t="str">
        <f aca="false">IF(OR(ISNUMBER(SEARCH("gesha",G2)),ISNUMBER(SEARCH("geisha",G2))),"⭐ GESHA","")</f>
        <v/>
      </c>
      <c r="X2" s="4" t="s">
        <v>37</v>
      </c>
    </row>
    <row r="3" customFormat="false" ht="20.25" hidden="false" customHeight="true" outlineLevel="0" collapsed="false">
      <c r="A3" s="3" t="n">
        <v>46026</v>
      </c>
      <c r="B3" s="4" t="s">
        <v>24</v>
      </c>
      <c r="C3" s="4" t="s">
        <v>25</v>
      </c>
      <c r="D3" s="4" t="s">
        <v>38</v>
      </c>
      <c r="E3" s="4" t="s">
        <v>27</v>
      </c>
      <c r="F3" s="4" t="s">
        <v>39</v>
      </c>
      <c r="G3" s="4" t="s">
        <v>27</v>
      </c>
      <c r="H3" s="4" t="s">
        <v>40</v>
      </c>
      <c r="I3" s="4" t="s">
        <v>41</v>
      </c>
      <c r="J3" s="4" t="s">
        <v>42</v>
      </c>
      <c r="K3" s="4" t="s">
        <v>27</v>
      </c>
      <c r="L3" s="4" t="s">
        <v>27</v>
      </c>
      <c r="M3" s="4" t="s">
        <v>27</v>
      </c>
      <c r="N3" s="4" t="s">
        <v>27</v>
      </c>
      <c r="O3" s="4" t="s">
        <v>27</v>
      </c>
      <c r="P3" s="4" t="s">
        <v>27</v>
      </c>
      <c r="Q3" s="4" t="s">
        <v>27</v>
      </c>
      <c r="R3" s="4" t="s">
        <v>43</v>
      </c>
      <c r="S3" s="4" t="s">
        <v>44</v>
      </c>
      <c r="T3" s="4" t="s">
        <v>45</v>
      </c>
      <c r="U3" s="4" t="s">
        <v>35</v>
      </c>
      <c r="V3" s="4" t="s">
        <v>36</v>
      </c>
      <c r="W3" s="5" t="str">
        <f aca="false">IF(OR(ISNUMBER(SEARCH("gesha",G3)),ISNUMBER(SEARCH("geisha",G3))),"⭐ GESHA","")</f>
        <v/>
      </c>
      <c r="X3" s="4" t="s">
        <v>37</v>
      </c>
    </row>
    <row r="4" customFormat="false" ht="20.25" hidden="false" customHeight="true" outlineLevel="0" collapsed="false">
      <c r="A4" s="3" t="n">
        <v>46026</v>
      </c>
      <c r="B4" s="4" t="s">
        <v>24</v>
      </c>
      <c r="C4" s="4" t="s">
        <v>25</v>
      </c>
      <c r="D4" s="4" t="s">
        <v>46</v>
      </c>
      <c r="E4" s="4" t="s">
        <v>27</v>
      </c>
      <c r="F4" s="4" t="s">
        <v>27</v>
      </c>
      <c r="G4" s="4" t="s">
        <v>27</v>
      </c>
      <c r="H4" s="4" t="s">
        <v>27</v>
      </c>
      <c r="I4" s="4" t="s">
        <v>47</v>
      </c>
      <c r="J4" s="4" t="s">
        <v>48</v>
      </c>
      <c r="K4" s="4" t="s">
        <v>27</v>
      </c>
      <c r="L4" s="4" t="s">
        <v>27</v>
      </c>
      <c r="M4" s="4" t="s">
        <v>27</v>
      </c>
      <c r="N4" s="4" t="s">
        <v>27</v>
      </c>
      <c r="O4" s="4" t="s">
        <v>27</v>
      </c>
      <c r="P4" s="4" t="s">
        <v>27</v>
      </c>
      <c r="Q4" s="4" t="s">
        <v>27</v>
      </c>
      <c r="R4" s="4" t="s">
        <v>49</v>
      </c>
      <c r="S4" s="4" t="s">
        <v>50</v>
      </c>
      <c r="T4" s="4" t="s">
        <v>51</v>
      </c>
      <c r="U4" s="4" t="s">
        <v>35</v>
      </c>
      <c r="V4" s="4" t="s">
        <v>36</v>
      </c>
      <c r="W4" s="5" t="str">
        <f aca="false">IF(OR(ISNUMBER(SEARCH("gesha",G4)),ISNUMBER(SEARCH("geisha",G4))),"⭐ GESHA","")</f>
        <v/>
      </c>
      <c r="X4" s="4" t="s">
        <v>37</v>
      </c>
    </row>
    <row r="5" customFormat="false" ht="69" hidden="false" customHeight="true" outlineLevel="0" collapsed="false">
      <c r="A5" s="3" t="n">
        <v>46063</v>
      </c>
      <c r="B5" s="4" t="s">
        <v>52</v>
      </c>
      <c r="C5" s="4" t="s">
        <v>53</v>
      </c>
      <c r="D5" s="4" t="s">
        <v>54</v>
      </c>
      <c r="E5" s="4" t="s">
        <v>55</v>
      </c>
      <c r="F5" s="4" t="s">
        <v>56</v>
      </c>
      <c r="G5" s="4" t="s">
        <v>57</v>
      </c>
      <c r="H5" s="4" t="s">
        <v>58</v>
      </c>
      <c r="I5" s="4" t="s">
        <v>27</v>
      </c>
      <c r="J5" s="4" t="s">
        <v>59</v>
      </c>
      <c r="K5" s="4" t="n">
        <v>15</v>
      </c>
      <c r="L5" s="4" t="n">
        <v>240</v>
      </c>
      <c r="M5" s="4" t="s">
        <v>60</v>
      </c>
      <c r="N5" s="4" t="s">
        <v>61</v>
      </c>
      <c r="O5" s="4" t="s">
        <v>27</v>
      </c>
      <c r="P5" s="4" t="s">
        <v>62</v>
      </c>
      <c r="Q5" s="6" t="n">
        <v>8</v>
      </c>
      <c r="R5" s="4" t="s">
        <v>63</v>
      </c>
      <c r="S5" s="4" t="s">
        <v>64</v>
      </c>
      <c r="T5" s="4" t="s">
        <v>65</v>
      </c>
      <c r="U5" s="4" t="s">
        <v>66</v>
      </c>
      <c r="V5" s="4" t="s">
        <v>67</v>
      </c>
      <c r="W5" s="5" t="str">
        <f aca="false">IF(OR(ISNUMBER(SEARCH("gesha",G5)),ISNUMBER(SEARCH("geisha",G5))),"⭐ GESHA","")</f>
        <v/>
      </c>
      <c r="X5" s="4" t="s">
        <v>68</v>
      </c>
    </row>
    <row r="6" customFormat="false" ht="20.25" hidden="false" customHeight="true" outlineLevel="0" collapsed="false">
      <c r="A6" s="3" t="n">
        <v>46082</v>
      </c>
      <c r="B6" s="4" t="s">
        <v>69</v>
      </c>
      <c r="C6" s="4" t="s">
        <v>70</v>
      </c>
      <c r="D6" s="4" t="s">
        <v>71</v>
      </c>
      <c r="E6" s="4" t="s">
        <v>72</v>
      </c>
      <c r="F6" s="4" t="s">
        <v>73</v>
      </c>
      <c r="G6" s="4" t="s">
        <v>27</v>
      </c>
      <c r="H6" s="4" t="s">
        <v>74</v>
      </c>
      <c r="I6" s="4" t="s">
        <v>75</v>
      </c>
      <c r="J6" s="4" t="s">
        <v>31</v>
      </c>
      <c r="K6" s="4" t="s">
        <v>27</v>
      </c>
      <c r="L6" s="4" t="s">
        <v>27</v>
      </c>
      <c r="M6" s="4" t="s">
        <v>27</v>
      </c>
      <c r="N6" s="4" t="s">
        <v>27</v>
      </c>
      <c r="O6" s="4" t="s">
        <v>27</v>
      </c>
      <c r="P6" s="4" t="s">
        <v>27</v>
      </c>
      <c r="Q6" s="4" t="s">
        <v>27</v>
      </c>
      <c r="R6" s="4" t="s">
        <v>27</v>
      </c>
      <c r="S6" s="4" t="s">
        <v>76</v>
      </c>
      <c r="T6" s="4" t="s">
        <v>77</v>
      </c>
      <c r="U6" s="4" t="s">
        <v>78</v>
      </c>
      <c r="V6" s="4" t="s">
        <v>36</v>
      </c>
      <c r="W6" s="5" t="str">
        <f aca="false">IF(OR(ISNUMBER(SEARCH("gesha",G6)),ISNUMBER(SEARCH("geisha",G6))),"⭐ GESHA","")</f>
        <v/>
      </c>
      <c r="X6" s="4" t="s">
        <v>79</v>
      </c>
    </row>
    <row r="7" customFormat="false" ht="20.25" hidden="false" customHeight="true" outlineLevel="0" collapsed="false">
      <c r="A7" s="3" t="n">
        <v>46089</v>
      </c>
      <c r="B7" s="4" t="s">
        <v>69</v>
      </c>
      <c r="C7" s="4" t="s">
        <v>80</v>
      </c>
      <c r="D7" s="4" t="s">
        <v>81</v>
      </c>
      <c r="E7" s="4" t="s">
        <v>82</v>
      </c>
      <c r="F7" s="4" t="s">
        <v>73</v>
      </c>
      <c r="G7" s="4" t="s">
        <v>27</v>
      </c>
      <c r="H7" s="4" t="s">
        <v>83</v>
      </c>
      <c r="I7" s="4" t="s">
        <v>41</v>
      </c>
      <c r="J7" s="4" t="s">
        <v>31</v>
      </c>
      <c r="K7" s="4" t="s">
        <v>27</v>
      </c>
      <c r="L7" s="4" t="s">
        <v>27</v>
      </c>
      <c r="M7" s="4" t="s">
        <v>27</v>
      </c>
      <c r="N7" s="4" t="s">
        <v>27</v>
      </c>
      <c r="O7" s="4" t="s">
        <v>27</v>
      </c>
      <c r="P7" s="4" t="s">
        <v>27</v>
      </c>
      <c r="Q7" s="4" t="s">
        <v>27</v>
      </c>
      <c r="R7" s="4" t="s">
        <v>84</v>
      </c>
      <c r="S7" s="4" t="s">
        <v>85</v>
      </c>
      <c r="T7" s="4" t="s">
        <v>86</v>
      </c>
      <c r="U7" s="4" t="s">
        <v>78</v>
      </c>
      <c r="V7" s="4" t="s">
        <v>36</v>
      </c>
      <c r="W7" s="5" t="str">
        <f aca="false">IF(OR(ISNUMBER(SEARCH("gesha",G7)),ISNUMBER(SEARCH("geisha",G7))),"⭐ GESHA","")</f>
        <v/>
      </c>
      <c r="X7" s="4" t="s">
        <v>87</v>
      </c>
    </row>
    <row r="8" customFormat="false" ht="20.25" hidden="false" customHeight="true" outlineLevel="0" collapsed="false">
      <c r="A8" s="3" t="n">
        <v>46099</v>
      </c>
      <c r="B8" s="4" t="s">
        <v>52</v>
      </c>
      <c r="C8" s="4" t="s">
        <v>88</v>
      </c>
      <c r="D8" s="4" t="s">
        <v>89</v>
      </c>
      <c r="E8" s="4" t="s">
        <v>27</v>
      </c>
      <c r="F8" s="4" t="s">
        <v>90</v>
      </c>
      <c r="G8" s="4" t="s">
        <v>91</v>
      </c>
      <c r="H8" s="4" t="s">
        <v>29</v>
      </c>
      <c r="I8" s="4" t="s">
        <v>30</v>
      </c>
      <c r="J8" s="4" t="s">
        <v>42</v>
      </c>
      <c r="K8" s="4" t="s">
        <v>27</v>
      </c>
      <c r="L8" s="4" t="s">
        <v>27</v>
      </c>
      <c r="M8" s="4" t="s">
        <v>27</v>
      </c>
      <c r="N8" s="4" t="s">
        <v>27</v>
      </c>
      <c r="O8" s="4" t="s">
        <v>27</v>
      </c>
      <c r="P8" s="4" t="s">
        <v>27</v>
      </c>
      <c r="Q8" s="4" t="s">
        <v>27</v>
      </c>
      <c r="R8" s="4" t="s">
        <v>27</v>
      </c>
      <c r="S8" s="4" t="s">
        <v>92</v>
      </c>
      <c r="T8" s="4" t="s">
        <v>93</v>
      </c>
      <c r="U8" s="4" t="s">
        <v>94</v>
      </c>
      <c r="V8" s="4" t="s">
        <v>95</v>
      </c>
      <c r="W8" s="5" t="str">
        <f aca="false">IF(OR(ISNUMBER(SEARCH("gesha",G8)),ISNUMBER(SEARCH("geisha",G8))),"⭐ GESHA","")</f>
        <v/>
      </c>
      <c r="X8" s="4" t="s">
        <v>96</v>
      </c>
    </row>
    <row r="9" customFormat="false" ht="20.25" hidden="false" customHeight="true" outlineLevel="0" collapsed="false">
      <c r="A9" s="3" t="n">
        <v>46099</v>
      </c>
      <c r="B9" s="4" t="s">
        <v>52</v>
      </c>
      <c r="C9" s="4" t="s">
        <v>88</v>
      </c>
      <c r="D9" s="4" t="s">
        <v>97</v>
      </c>
      <c r="E9" s="4" t="s">
        <v>27</v>
      </c>
      <c r="F9" s="4" t="s">
        <v>98</v>
      </c>
      <c r="G9" s="4" t="s">
        <v>99</v>
      </c>
      <c r="H9" s="4" t="s">
        <v>58</v>
      </c>
      <c r="I9" s="4" t="s">
        <v>100</v>
      </c>
      <c r="J9" s="4" t="s">
        <v>101</v>
      </c>
      <c r="K9" s="4" t="s">
        <v>27</v>
      </c>
      <c r="L9" s="4" t="s">
        <v>27</v>
      </c>
      <c r="M9" s="4" t="s">
        <v>27</v>
      </c>
      <c r="N9" s="4" t="s">
        <v>27</v>
      </c>
      <c r="O9" s="4" t="s">
        <v>27</v>
      </c>
      <c r="P9" s="4" t="s">
        <v>27</v>
      </c>
      <c r="Q9" s="4" t="s">
        <v>27</v>
      </c>
      <c r="R9" s="4" t="s">
        <v>27</v>
      </c>
      <c r="S9" s="4" t="s">
        <v>102</v>
      </c>
      <c r="T9" s="4" t="s">
        <v>103</v>
      </c>
      <c r="U9" s="4" t="s">
        <v>94</v>
      </c>
      <c r="V9" s="4" t="s">
        <v>95</v>
      </c>
      <c r="W9" s="5" t="str">
        <f aca="false">IF(OR(ISNUMBER(SEARCH("gesha",G9)),ISNUMBER(SEARCH("geisha",G9))),"⭐ GESHA","")</f>
        <v/>
      </c>
      <c r="X9" s="4" t="s">
        <v>96</v>
      </c>
    </row>
    <row r="10" customFormat="false" ht="20.25" hidden="false" customHeight="true" outlineLevel="0" collapsed="false">
      <c r="A10" s="3" t="n">
        <v>46099</v>
      </c>
      <c r="B10" s="4" t="s">
        <v>52</v>
      </c>
      <c r="C10" s="4" t="s">
        <v>104</v>
      </c>
      <c r="D10" s="4" t="s">
        <v>105</v>
      </c>
      <c r="E10" s="4" t="s">
        <v>27</v>
      </c>
      <c r="F10" s="4" t="s">
        <v>98</v>
      </c>
      <c r="G10" s="4" t="s">
        <v>106</v>
      </c>
      <c r="H10" s="4" t="s">
        <v>107</v>
      </c>
      <c r="I10" s="4" t="s">
        <v>30</v>
      </c>
      <c r="J10" s="4" t="s">
        <v>42</v>
      </c>
      <c r="K10" s="4" t="s">
        <v>27</v>
      </c>
      <c r="L10" s="4" t="s">
        <v>27</v>
      </c>
      <c r="M10" s="4" t="s">
        <v>27</v>
      </c>
      <c r="N10" s="4" t="s">
        <v>27</v>
      </c>
      <c r="O10" s="4" t="s">
        <v>27</v>
      </c>
      <c r="P10" s="4" t="s">
        <v>27</v>
      </c>
      <c r="Q10" s="6" t="n">
        <v>15</v>
      </c>
      <c r="R10" s="4" t="s">
        <v>108</v>
      </c>
      <c r="S10" s="4" t="s">
        <v>109</v>
      </c>
      <c r="T10" s="4" t="s">
        <v>110</v>
      </c>
      <c r="U10" s="4" t="s">
        <v>94</v>
      </c>
      <c r="V10" s="4" t="s">
        <v>95</v>
      </c>
      <c r="W10" s="5" t="str">
        <f aca="false">IF(OR(ISNUMBER(SEARCH("gesha",G10)),ISNUMBER(SEARCH("geisha",G10))),"⭐ GESHA","")</f>
        <v/>
      </c>
      <c r="X10" s="4" t="s">
        <v>111</v>
      </c>
    </row>
    <row r="11" customFormat="false" ht="20.25" hidden="false" customHeight="true" outlineLevel="0" collapsed="false">
      <c r="A11" s="3" t="n">
        <v>46099</v>
      </c>
      <c r="B11" s="4" t="s">
        <v>52</v>
      </c>
      <c r="C11" s="4" t="s">
        <v>104</v>
      </c>
      <c r="D11" s="4" t="s">
        <v>46</v>
      </c>
      <c r="E11" s="4" t="s">
        <v>27</v>
      </c>
      <c r="F11" s="4" t="s">
        <v>27</v>
      </c>
      <c r="G11" s="4" t="s">
        <v>27</v>
      </c>
      <c r="H11" s="4" t="s">
        <v>27</v>
      </c>
      <c r="I11" s="4" t="s">
        <v>27</v>
      </c>
      <c r="J11" s="4" t="s">
        <v>112</v>
      </c>
      <c r="K11" s="4" t="s">
        <v>27</v>
      </c>
      <c r="L11" s="4" t="s">
        <v>27</v>
      </c>
      <c r="M11" s="4" t="s">
        <v>27</v>
      </c>
      <c r="N11" s="4" t="s">
        <v>27</v>
      </c>
      <c r="O11" s="4" t="s">
        <v>27</v>
      </c>
      <c r="P11" s="4" t="s">
        <v>27</v>
      </c>
      <c r="Q11" s="4" t="s">
        <v>27</v>
      </c>
      <c r="R11" s="4" t="s">
        <v>27</v>
      </c>
      <c r="S11" s="4" t="s">
        <v>113</v>
      </c>
      <c r="T11" s="4" t="s">
        <v>114</v>
      </c>
      <c r="U11" s="4" t="s">
        <v>94</v>
      </c>
      <c r="V11" s="4" t="s">
        <v>95</v>
      </c>
      <c r="W11" s="5" t="str">
        <f aca="false">IF(OR(ISNUMBER(SEARCH("gesha",G11)),ISNUMBER(SEARCH("geisha",G11))),"⭐ GESHA","")</f>
        <v/>
      </c>
      <c r="X11" s="4" t="s">
        <v>111</v>
      </c>
    </row>
    <row r="12" customFormat="false" ht="20.25" hidden="false" customHeight="true" outlineLevel="0" collapsed="false">
      <c r="A12" s="3" t="n">
        <v>46103</v>
      </c>
      <c r="B12" s="4" t="s">
        <v>52</v>
      </c>
      <c r="C12" s="4" t="s">
        <v>115</v>
      </c>
      <c r="D12" s="4" t="s">
        <v>116</v>
      </c>
      <c r="E12" s="4" t="s">
        <v>117</v>
      </c>
      <c r="F12" s="4" t="s">
        <v>118</v>
      </c>
      <c r="G12" s="4" t="s">
        <v>119</v>
      </c>
      <c r="H12" s="4" t="s">
        <v>58</v>
      </c>
      <c r="I12" s="4" t="s">
        <v>30</v>
      </c>
      <c r="J12" s="4" t="s">
        <v>59</v>
      </c>
      <c r="K12" s="4" t="s">
        <v>27</v>
      </c>
      <c r="L12" s="4" t="s">
        <v>27</v>
      </c>
      <c r="M12" s="4" t="s">
        <v>120</v>
      </c>
      <c r="N12" s="4" t="s">
        <v>27</v>
      </c>
      <c r="O12" s="4" t="s">
        <v>27</v>
      </c>
      <c r="P12" s="4" t="s">
        <v>27</v>
      </c>
      <c r="Q12" s="4" t="s">
        <v>27</v>
      </c>
      <c r="R12" s="4" t="s">
        <v>121</v>
      </c>
      <c r="S12" s="4" t="s">
        <v>122</v>
      </c>
      <c r="T12" s="4" t="s">
        <v>123</v>
      </c>
      <c r="U12" s="4" t="s">
        <v>124</v>
      </c>
      <c r="V12" s="4" t="s">
        <v>36</v>
      </c>
      <c r="W12" s="5" t="str">
        <f aca="false">IF(OR(ISNUMBER(SEARCH("gesha",G12)),ISNUMBER(SEARCH("geisha",G12))),"⭐ GESHA","")</f>
        <v/>
      </c>
      <c r="X12" s="4" t="s">
        <v>125</v>
      </c>
    </row>
    <row r="13" customFormat="false" ht="20.25" hidden="false" customHeight="true" outlineLevel="0" collapsed="false">
      <c r="A13" s="3" t="n">
        <v>46105</v>
      </c>
      <c r="B13" s="4" t="s">
        <v>52</v>
      </c>
      <c r="C13" s="4" t="s">
        <v>53</v>
      </c>
      <c r="D13" s="4" t="s">
        <v>126</v>
      </c>
      <c r="E13" s="4" t="s">
        <v>27</v>
      </c>
      <c r="F13" s="4" t="s">
        <v>127</v>
      </c>
      <c r="G13" s="4" t="s">
        <v>128</v>
      </c>
      <c r="H13" s="4" t="s">
        <v>58</v>
      </c>
      <c r="I13" s="4" t="s">
        <v>27</v>
      </c>
      <c r="J13" s="4" t="s">
        <v>42</v>
      </c>
      <c r="K13" s="4" t="s">
        <v>27</v>
      </c>
      <c r="L13" s="4" t="s">
        <v>27</v>
      </c>
      <c r="M13" s="4" t="s">
        <v>27</v>
      </c>
      <c r="N13" s="4" t="s">
        <v>27</v>
      </c>
      <c r="O13" s="4" t="s">
        <v>27</v>
      </c>
      <c r="P13" s="4" t="s">
        <v>27</v>
      </c>
      <c r="Q13" s="6" t="n">
        <v>9</v>
      </c>
      <c r="R13" s="4" t="s">
        <v>129</v>
      </c>
      <c r="S13" s="4" t="s">
        <v>130</v>
      </c>
      <c r="T13" s="4" t="s">
        <v>131</v>
      </c>
      <c r="U13" s="4" t="s">
        <v>124</v>
      </c>
      <c r="V13" s="4" t="s">
        <v>36</v>
      </c>
      <c r="W13" s="5" t="str">
        <f aca="false">IF(OR(ISNUMBER(SEARCH("gesha",G13)),ISNUMBER(SEARCH("geisha",G13))),"⭐ GESHA","")</f>
        <v/>
      </c>
      <c r="X13" s="4" t="s">
        <v>68</v>
      </c>
    </row>
    <row r="14" customFormat="false" ht="20.25" hidden="false" customHeight="true" outlineLevel="0" collapsed="false">
      <c r="A14" s="3" t="n">
        <v>46106</v>
      </c>
      <c r="B14" s="4" t="s">
        <v>52</v>
      </c>
      <c r="C14" s="4" t="s">
        <v>132</v>
      </c>
      <c r="D14" s="4" t="s">
        <v>133</v>
      </c>
      <c r="E14" s="4" t="s">
        <v>134</v>
      </c>
      <c r="F14" s="4" t="s">
        <v>135</v>
      </c>
      <c r="G14" s="4" t="s">
        <v>27</v>
      </c>
      <c r="H14" s="4" t="s">
        <v>136</v>
      </c>
      <c r="I14" s="4" t="s">
        <v>47</v>
      </c>
      <c r="J14" s="4" t="s">
        <v>137</v>
      </c>
      <c r="K14" s="4" t="s">
        <v>27</v>
      </c>
      <c r="L14" s="4" t="s">
        <v>27</v>
      </c>
      <c r="M14" s="4" t="s">
        <v>27</v>
      </c>
      <c r="N14" s="4" t="s">
        <v>27</v>
      </c>
      <c r="O14" s="4" t="s">
        <v>27</v>
      </c>
      <c r="P14" s="4" t="s">
        <v>27</v>
      </c>
      <c r="Q14" s="4" t="s">
        <v>27</v>
      </c>
      <c r="R14" s="4" t="s">
        <v>138</v>
      </c>
      <c r="S14" s="4" t="s">
        <v>139</v>
      </c>
      <c r="T14" s="4" t="s">
        <v>140</v>
      </c>
      <c r="U14" s="4" t="s">
        <v>124</v>
      </c>
      <c r="V14" s="4" t="s">
        <v>36</v>
      </c>
      <c r="W14" s="5" t="str">
        <f aca="false">IF(OR(ISNUMBER(SEARCH("gesha",G14)),ISNUMBER(SEARCH("geisha",G14))),"⭐ GESHA","")</f>
        <v/>
      </c>
      <c r="X14" s="4" t="s">
        <v>141</v>
      </c>
    </row>
    <row r="15" customFormat="false" ht="20.25" hidden="false" customHeight="true" outlineLevel="0" collapsed="false">
      <c r="A15" s="3" t="n">
        <v>46108</v>
      </c>
      <c r="B15" s="4" t="s">
        <v>52</v>
      </c>
      <c r="C15" s="4" t="s">
        <v>132</v>
      </c>
      <c r="D15" s="4" t="s">
        <v>142</v>
      </c>
      <c r="E15" s="4" t="s">
        <v>143</v>
      </c>
      <c r="F15" s="4" t="s">
        <v>144</v>
      </c>
      <c r="G15" s="4" t="s">
        <v>145</v>
      </c>
      <c r="H15" s="4" t="s">
        <v>29</v>
      </c>
      <c r="I15" s="4" t="s">
        <v>146</v>
      </c>
      <c r="J15" s="4" t="s">
        <v>147</v>
      </c>
      <c r="K15" s="4" t="n">
        <v>15</v>
      </c>
      <c r="L15" s="4" t="n">
        <v>220</v>
      </c>
      <c r="M15" s="4" t="s">
        <v>148</v>
      </c>
      <c r="N15" s="4" t="s">
        <v>27</v>
      </c>
      <c r="O15" s="4" t="s">
        <v>27</v>
      </c>
      <c r="P15" s="4" t="s">
        <v>149</v>
      </c>
      <c r="Q15" s="4" t="s">
        <v>27</v>
      </c>
      <c r="R15" s="4" t="s">
        <v>150</v>
      </c>
      <c r="S15" s="4" t="s">
        <v>151</v>
      </c>
      <c r="T15" s="4" t="s">
        <v>152</v>
      </c>
      <c r="U15" s="4" t="s">
        <v>124</v>
      </c>
      <c r="V15" s="4" t="s">
        <v>36</v>
      </c>
      <c r="W15" s="5" t="str">
        <f aca="false">IF(OR(ISNUMBER(SEARCH("gesha",G15)),ISNUMBER(SEARCH("geisha",G15))),"⭐ GESHA","")</f>
        <v/>
      </c>
      <c r="X15" s="4" t="s">
        <v>141</v>
      </c>
    </row>
    <row r="16" customFormat="false" ht="20.25" hidden="false" customHeight="true" outlineLevel="0" collapsed="false">
      <c r="A16" s="3" t="n">
        <v>46109</v>
      </c>
      <c r="B16" s="4" t="s">
        <v>52</v>
      </c>
      <c r="C16" s="4" t="s">
        <v>153</v>
      </c>
      <c r="D16" s="4" t="s">
        <v>154</v>
      </c>
      <c r="E16" s="4" t="s">
        <v>27</v>
      </c>
      <c r="F16" s="4" t="s">
        <v>155</v>
      </c>
      <c r="G16" s="4" t="s">
        <v>27</v>
      </c>
      <c r="H16" s="4" t="s">
        <v>29</v>
      </c>
      <c r="I16" s="4" t="s">
        <v>41</v>
      </c>
      <c r="J16" s="4" t="s">
        <v>42</v>
      </c>
      <c r="K16" s="4" t="n">
        <v>15</v>
      </c>
      <c r="L16" s="4" t="n">
        <v>225</v>
      </c>
      <c r="M16" s="4" t="s">
        <v>156</v>
      </c>
      <c r="N16" s="4" t="s">
        <v>27</v>
      </c>
      <c r="O16" s="4" t="s">
        <v>27</v>
      </c>
      <c r="P16" s="4" t="s">
        <v>27</v>
      </c>
      <c r="Q16" s="6" t="n">
        <v>8</v>
      </c>
      <c r="R16" s="4" t="s">
        <v>157</v>
      </c>
      <c r="S16" s="4" t="s">
        <v>158</v>
      </c>
      <c r="T16" s="4" t="s">
        <v>159</v>
      </c>
      <c r="U16" s="4" t="s">
        <v>124</v>
      </c>
      <c r="V16" s="4" t="s">
        <v>36</v>
      </c>
      <c r="W16" s="5" t="str">
        <f aca="false">IF(OR(ISNUMBER(SEARCH("gesha",G16)),ISNUMBER(SEARCH("geisha",G16))),"⭐ GESHA","")</f>
        <v/>
      </c>
      <c r="X16" s="4" t="s">
        <v>160</v>
      </c>
    </row>
    <row r="17" customFormat="false" ht="20.25" hidden="false" customHeight="true" outlineLevel="0" collapsed="false">
      <c r="A17" s="3" t="n">
        <v>46109</v>
      </c>
      <c r="B17" s="4" t="s">
        <v>52</v>
      </c>
      <c r="C17" s="4" t="s">
        <v>153</v>
      </c>
      <c r="D17" s="4" t="s">
        <v>161</v>
      </c>
      <c r="E17" s="4" t="s">
        <v>27</v>
      </c>
      <c r="F17" s="4" t="s">
        <v>162</v>
      </c>
      <c r="G17" s="4" t="s">
        <v>27</v>
      </c>
      <c r="H17" s="4" t="s">
        <v>27</v>
      </c>
      <c r="I17" s="4" t="s">
        <v>27</v>
      </c>
      <c r="J17" s="4" t="s">
        <v>163</v>
      </c>
      <c r="K17" s="4" t="s">
        <v>27</v>
      </c>
      <c r="L17" s="4" t="s">
        <v>27</v>
      </c>
      <c r="M17" s="4" t="s">
        <v>27</v>
      </c>
      <c r="N17" s="4" t="s">
        <v>27</v>
      </c>
      <c r="O17" s="4" t="s">
        <v>27</v>
      </c>
      <c r="P17" s="4" t="s">
        <v>27</v>
      </c>
      <c r="Q17" s="6" t="n">
        <v>5.1</v>
      </c>
      <c r="R17" s="4" t="s">
        <v>164</v>
      </c>
      <c r="S17" s="4" t="s">
        <v>165</v>
      </c>
      <c r="T17" s="4" t="s">
        <v>166</v>
      </c>
      <c r="U17" s="4" t="s">
        <v>124</v>
      </c>
      <c r="V17" s="4" t="s">
        <v>95</v>
      </c>
      <c r="W17" s="5" t="str">
        <f aca="false">IF(OR(ISNUMBER(SEARCH("gesha",G17)),ISNUMBER(SEARCH("geisha",G17))),"⭐ GESHA","")</f>
        <v/>
      </c>
      <c r="X17" s="4" t="s">
        <v>160</v>
      </c>
    </row>
    <row r="18" customFormat="false" ht="20.25" hidden="false" customHeight="true" outlineLevel="0" collapsed="false">
      <c r="A18" s="3" t="n">
        <v>46110</v>
      </c>
      <c r="B18" s="4" t="s">
        <v>52</v>
      </c>
      <c r="C18" s="4" t="s">
        <v>167</v>
      </c>
      <c r="D18" s="4" t="s">
        <v>168</v>
      </c>
      <c r="E18" s="4" t="s">
        <v>169</v>
      </c>
      <c r="F18" s="4" t="s">
        <v>170</v>
      </c>
      <c r="G18" s="4" t="s">
        <v>171</v>
      </c>
      <c r="H18" s="4" t="s">
        <v>58</v>
      </c>
      <c r="I18" s="4" t="s">
        <v>41</v>
      </c>
      <c r="J18" s="4" t="s">
        <v>172</v>
      </c>
      <c r="K18" s="4" t="n">
        <v>15</v>
      </c>
      <c r="L18" s="4" t="n">
        <v>240</v>
      </c>
      <c r="M18" s="4" t="s">
        <v>60</v>
      </c>
      <c r="N18" s="4" t="s">
        <v>173</v>
      </c>
      <c r="O18" s="4" t="s">
        <v>27</v>
      </c>
      <c r="P18" s="4" t="s">
        <v>174</v>
      </c>
      <c r="Q18" s="6" t="n">
        <v>11</v>
      </c>
      <c r="R18" s="4" t="s">
        <v>175</v>
      </c>
      <c r="S18" s="4" t="s">
        <v>176</v>
      </c>
      <c r="T18" s="4" t="s">
        <v>177</v>
      </c>
      <c r="U18" s="4" t="s">
        <v>124</v>
      </c>
      <c r="V18" s="4" t="s">
        <v>95</v>
      </c>
      <c r="W18" s="5" t="str">
        <f aca="false">IF(OR(ISNUMBER(SEARCH("gesha",G18)),ISNUMBER(SEARCH("geisha",G18))),"⭐ GESHA","")</f>
        <v>⭐ GESHA</v>
      </c>
      <c r="X18" s="4" t="s">
        <v>178</v>
      </c>
    </row>
    <row r="19" customFormat="false" ht="30" hidden="false" customHeight="true" outlineLevel="0" collapsed="false">
      <c r="A19" s="3" t="n">
        <v>46113</v>
      </c>
      <c r="B19" s="4" t="s">
        <v>52</v>
      </c>
      <c r="C19" s="4" t="s">
        <v>179</v>
      </c>
      <c r="D19" s="4" t="s">
        <v>180</v>
      </c>
      <c r="E19" s="4" t="s">
        <v>181</v>
      </c>
      <c r="F19" s="4" t="s">
        <v>182</v>
      </c>
      <c r="G19" s="4" t="s">
        <v>183</v>
      </c>
      <c r="H19" s="4" t="s">
        <v>58</v>
      </c>
      <c r="I19" s="4" t="s">
        <v>30</v>
      </c>
      <c r="J19" s="4" t="s">
        <v>59</v>
      </c>
      <c r="K19" s="4" t="n">
        <v>15</v>
      </c>
      <c r="L19" s="4" t="n">
        <v>230</v>
      </c>
      <c r="M19" s="4" t="s">
        <v>184</v>
      </c>
      <c r="N19" s="4" t="s">
        <v>185</v>
      </c>
      <c r="O19" s="4" t="s">
        <v>27</v>
      </c>
      <c r="P19" s="4" t="s">
        <v>186</v>
      </c>
      <c r="Q19" s="6" t="n">
        <v>9</v>
      </c>
      <c r="R19" s="4" t="s">
        <v>187</v>
      </c>
      <c r="S19" s="4" t="s">
        <v>188</v>
      </c>
      <c r="T19" s="4" t="s">
        <v>189</v>
      </c>
      <c r="U19" s="4" t="s">
        <v>190</v>
      </c>
      <c r="V19" s="4" t="s">
        <v>36</v>
      </c>
      <c r="W19" s="5" t="str">
        <f aca="false">IF(OR(ISNUMBER(SEARCH("gesha",G19)),ISNUMBER(SEARCH("geisha",G19))),"⭐ GESHA","")</f>
        <v/>
      </c>
      <c r="X19" s="4" t="s">
        <v>191</v>
      </c>
    </row>
    <row r="20" customFormat="false" ht="20.25" hidden="false" customHeight="true" outlineLevel="0" collapsed="false">
      <c r="A20" s="3" t="n">
        <v>46113</v>
      </c>
      <c r="B20" s="4" t="s">
        <v>52</v>
      </c>
      <c r="C20" s="4" t="s">
        <v>192</v>
      </c>
      <c r="D20" s="4" t="s">
        <v>193</v>
      </c>
      <c r="E20" s="4" t="s">
        <v>194</v>
      </c>
      <c r="F20" s="4" t="s">
        <v>195</v>
      </c>
      <c r="G20" s="4" t="s">
        <v>196</v>
      </c>
      <c r="H20" s="4" t="s">
        <v>197</v>
      </c>
      <c r="I20" s="4" t="s">
        <v>146</v>
      </c>
      <c r="J20" s="4" t="s">
        <v>147</v>
      </c>
      <c r="K20" s="4" t="s">
        <v>27</v>
      </c>
      <c r="L20" s="4" t="s">
        <v>27</v>
      </c>
      <c r="M20" s="4" t="s">
        <v>156</v>
      </c>
      <c r="N20" s="4" t="s">
        <v>198</v>
      </c>
      <c r="O20" s="4" t="s">
        <v>27</v>
      </c>
      <c r="P20" s="4" t="s">
        <v>149</v>
      </c>
      <c r="Q20" s="6" t="n">
        <v>12</v>
      </c>
      <c r="R20" s="4" t="s">
        <v>199</v>
      </c>
      <c r="S20" s="4" t="s">
        <v>200</v>
      </c>
      <c r="T20" s="4" t="s">
        <v>201</v>
      </c>
      <c r="U20" s="4" t="s">
        <v>202</v>
      </c>
      <c r="V20" s="4" t="s">
        <v>95</v>
      </c>
      <c r="W20" s="5" t="str">
        <f aca="false">IF(OR(ISNUMBER(SEARCH("gesha",G20)),ISNUMBER(SEARCH("geisha",G20))),"⭐ GESHA","")</f>
        <v>⭐ GESHA</v>
      </c>
      <c r="X20" s="4" t="s">
        <v>203</v>
      </c>
    </row>
    <row r="21" customFormat="false" ht="20.25" hidden="false" customHeight="true" outlineLevel="0" collapsed="false">
      <c r="A21" s="3" t="n">
        <v>46117</v>
      </c>
      <c r="B21" s="4" t="s">
        <v>52</v>
      </c>
      <c r="C21" s="4" t="s">
        <v>167</v>
      </c>
      <c r="D21" s="4" t="s">
        <v>204</v>
      </c>
      <c r="E21" s="4" t="s">
        <v>205</v>
      </c>
      <c r="F21" s="4" t="s">
        <v>206</v>
      </c>
      <c r="G21" s="4" t="s">
        <v>207</v>
      </c>
      <c r="H21" s="4" t="s">
        <v>208</v>
      </c>
      <c r="I21" s="4" t="s">
        <v>27</v>
      </c>
      <c r="J21" s="4" t="s">
        <v>209</v>
      </c>
      <c r="K21" s="4" t="n">
        <v>15</v>
      </c>
      <c r="L21" s="4" t="n">
        <v>225</v>
      </c>
      <c r="M21" s="4" t="s">
        <v>156</v>
      </c>
      <c r="N21" s="4" t="s">
        <v>198</v>
      </c>
      <c r="O21" s="4" t="s">
        <v>27</v>
      </c>
      <c r="P21" s="4" t="s">
        <v>149</v>
      </c>
      <c r="Q21" s="6" t="n">
        <v>12.5</v>
      </c>
      <c r="R21" s="4" t="s">
        <v>210</v>
      </c>
      <c r="S21" s="4" t="s">
        <v>211</v>
      </c>
      <c r="T21" s="4" t="s">
        <v>212</v>
      </c>
      <c r="U21" s="4" t="s">
        <v>213</v>
      </c>
      <c r="V21" s="4" t="s">
        <v>36</v>
      </c>
      <c r="W21" s="5" t="str">
        <f aca="false">IF(OR(ISNUMBER(SEARCH("gesha",G21)),ISNUMBER(SEARCH("geisha",G21))),"⭐ GESHA","")</f>
        <v/>
      </c>
      <c r="X21" s="4" t="s">
        <v>178</v>
      </c>
    </row>
    <row r="22" customFormat="false" ht="30" hidden="false" customHeight="true" outlineLevel="0" collapsed="false">
      <c r="A22" s="3" t="n">
        <v>46117</v>
      </c>
      <c r="B22" s="4" t="s">
        <v>52</v>
      </c>
      <c r="C22" s="4" t="s">
        <v>167</v>
      </c>
      <c r="D22" s="4" t="s">
        <v>214</v>
      </c>
      <c r="E22" s="4" t="s">
        <v>169</v>
      </c>
      <c r="F22" s="4" t="s">
        <v>215</v>
      </c>
      <c r="G22" s="4" t="s">
        <v>171</v>
      </c>
      <c r="H22" s="4" t="s">
        <v>58</v>
      </c>
      <c r="I22" s="4" t="s">
        <v>146</v>
      </c>
      <c r="J22" s="4" t="s">
        <v>209</v>
      </c>
      <c r="K22" s="4" t="n">
        <v>15</v>
      </c>
      <c r="L22" s="4" t="n">
        <v>225</v>
      </c>
      <c r="M22" s="4" t="s">
        <v>156</v>
      </c>
      <c r="N22" s="4" t="s">
        <v>198</v>
      </c>
      <c r="O22" s="4" t="s">
        <v>27</v>
      </c>
      <c r="P22" s="4" t="s">
        <v>149</v>
      </c>
      <c r="Q22" s="6" t="n">
        <v>12.5</v>
      </c>
      <c r="R22" s="4" t="s">
        <v>175</v>
      </c>
      <c r="S22" s="4" t="s">
        <v>216</v>
      </c>
      <c r="T22" s="4" t="s">
        <v>217</v>
      </c>
      <c r="U22" s="4" t="s">
        <v>213</v>
      </c>
      <c r="V22" s="4" t="s">
        <v>36</v>
      </c>
      <c r="W22" s="5" t="str">
        <f aca="false">IF(OR(ISNUMBER(SEARCH("gesha",G22)),ISNUMBER(SEARCH("geisha",G22))),"⭐ GESHA","")</f>
        <v>⭐ GESHA</v>
      </c>
      <c r="X22" s="4" t="s">
        <v>178</v>
      </c>
    </row>
    <row r="23" customFormat="false" ht="20.25" hidden="false" customHeight="true" outlineLevel="0" collapsed="false">
      <c r="A23" s="3" t="n">
        <v>46120</v>
      </c>
      <c r="B23" s="4" t="s">
        <v>52</v>
      </c>
      <c r="C23" s="4" t="s">
        <v>179</v>
      </c>
      <c r="D23" s="4" t="s">
        <v>218</v>
      </c>
      <c r="E23" s="4" t="s">
        <v>219</v>
      </c>
      <c r="F23" s="4" t="s">
        <v>220</v>
      </c>
      <c r="G23" s="4" t="s">
        <v>221</v>
      </c>
      <c r="H23" s="4" t="s">
        <v>29</v>
      </c>
      <c r="I23" s="4" t="s">
        <v>27</v>
      </c>
      <c r="J23" s="4" t="s">
        <v>59</v>
      </c>
      <c r="K23" s="4" t="n">
        <v>15</v>
      </c>
      <c r="L23" s="4" t="n">
        <v>225</v>
      </c>
      <c r="M23" s="4" t="s">
        <v>156</v>
      </c>
      <c r="N23" s="4" t="s">
        <v>27</v>
      </c>
      <c r="O23" s="4" t="s">
        <v>27</v>
      </c>
      <c r="P23" s="4" t="s">
        <v>222</v>
      </c>
      <c r="Q23" s="6" t="n">
        <v>9</v>
      </c>
      <c r="R23" s="4" t="s">
        <v>223</v>
      </c>
      <c r="S23" s="4" t="s">
        <v>224</v>
      </c>
      <c r="T23" s="4" t="s">
        <v>225</v>
      </c>
      <c r="U23" s="4" t="s">
        <v>226</v>
      </c>
      <c r="V23" s="4" t="s">
        <v>95</v>
      </c>
      <c r="W23" s="5" t="str">
        <f aca="false">IF(OR(ISNUMBER(SEARCH("gesha",G23)),ISNUMBER(SEARCH("geisha",G23))),"⭐ GESHA","")</f>
        <v/>
      </c>
      <c r="X23" s="4" t="s">
        <v>191</v>
      </c>
    </row>
    <row r="24" customFormat="false" ht="20.25" hidden="false" customHeight="true" outlineLevel="0" collapsed="false">
      <c r="A24" s="3" t="n">
        <v>46130</v>
      </c>
      <c r="B24" s="4" t="s">
        <v>227</v>
      </c>
      <c r="C24" s="4" t="s">
        <v>228</v>
      </c>
      <c r="D24" s="4" t="s">
        <v>229</v>
      </c>
      <c r="E24" s="4" t="s">
        <v>27</v>
      </c>
      <c r="F24" s="4" t="s">
        <v>27</v>
      </c>
      <c r="G24" s="4" t="s">
        <v>230</v>
      </c>
      <c r="H24" s="4" t="s">
        <v>231</v>
      </c>
      <c r="I24" s="4" t="s">
        <v>27</v>
      </c>
      <c r="J24" s="4" t="s">
        <v>232</v>
      </c>
      <c r="K24" s="4" t="n">
        <v>18</v>
      </c>
      <c r="L24" s="4" t="n">
        <v>277</v>
      </c>
      <c r="M24" s="4" t="s">
        <v>233</v>
      </c>
      <c r="N24" s="4" t="s">
        <v>27</v>
      </c>
      <c r="O24" s="4" t="s">
        <v>234</v>
      </c>
      <c r="P24" s="4" t="s">
        <v>235</v>
      </c>
      <c r="Q24" s="6" t="n">
        <v>11.08</v>
      </c>
      <c r="R24" s="4" t="s">
        <v>236</v>
      </c>
      <c r="S24" s="4" t="s">
        <v>237</v>
      </c>
      <c r="T24" s="4" t="s">
        <v>238</v>
      </c>
      <c r="U24" s="4" t="s">
        <v>27</v>
      </c>
      <c r="V24" s="4" t="s">
        <v>239</v>
      </c>
      <c r="W24" s="5" t="str">
        <f aca="false">IF(OR(ISNUMBER(SEARCH("gesha",G24)),ISNUMBER(SEARCH("geisha",G24))),"⭐ GESHA","")</f>
        <v/>
      </c>
      <c r="X24" s="4" t="s">
        <v>240</v>
      </c>
    </row>
    <row r="25" customFormat="false" ht="20.25" hidden="false" customHeight="true" outlineLevel="0" collapsed="false">
      <c r="A25" s="3" t="n">
        <v>46136</v>
      </c>
      <c r="B25" s="4" t="s">
        <v>52</v>
      </c>
      <c r="C25" s="4" t="s">
        <v>132</v>
      </c>
      <c r="D25" s="4" t="s">
        <v>241</v>
      </c>
      <c r="E25" s="4" t="s">
        <v>27</v>
      </c>
      <c r="F25" s="4" t="s">
        <v>242</v>
      </c>
      <c r="G25" s="4" t="s">
        <v>27</v>
      </c>
      <c r="H25" s="4" t="s">
        <v>243</v>
      </c>
      <c r="I25" s="4" t="s">
        <v>244</v>
      </c>
      <c r="J25" s="4" t="s">
        <v>147</v>
      </c>
      <c r="K25" s="4" t="n">
        <v>16</v>
      </c>
      <c r="L25" s="4" t="n">
        <v>224</v>
      </c>
      <c r="M25" s="4" t="s">
        <v>245</v>
      </c>
      <c r="N25" s="4" t="s">
        <v>246</v>
      </c>
      <c r="O25" s="4" t="s">
        <v>27</v>
      </c>
      <c r="P25" s="4" t="s">
        <v>149</v>
      </c>
      <c r="Q25" s="4" t="s">
        <v>27</v>
      </c>
      <c r="R25" s="4" t="s">
        <v>247</v>
      </c>
      <c r="S25" s="4" t="s">
        <v>248</v>
      </c>
      <c r="T25" s="4" t="s">
        <v>249</v>
      </c>
      <c r="U25" s="4" t="s">
        <v>250</v>
      </c>
      <c r="V25" s="4" t="s">
        <v>36</v>
      </c>
      <c r="W25" s="5" t="str">
        <f aca="false">IF(OR(ISNUMBER(SEARCH("gesha",G25)),ISNUMBER(SEARCH("geisha",G25))),"⭐ GESHA","")</f>
        <v/>
      </c>
      <c r="X25" s="4" t="s">
        <v>141</v>
      </c>
    </row>
    <row r="26" customFormat="false" ht="30" hidden="false" customHeight="true" outlineLevel="0" collapsed="false">
      <c r="A26" s="3" t="n">
        <v>46148</v>
      </c>
      <c r="B26" s="4" t="s">
        <v>52</v>
      </c>
      <c r="C26" s="4" t="s">
        <v>251</v>
      </c>
      <c r="D26" s="4" t="s">
        <v>252</v>
      </c>
      <c r="E26" s="4" t="s">
        <v>27</v>
      </c>
      <c r="F26" s="4" t="s">
        <v>253</v>
      </c>
      <c r="G26" s="4" t="s">
        <v>254</v>
      </c>
      <c r="H26" s="4" t="s">
        <v>29</v>
      </c>
      <c r="I26" s="4" t="s">
        <v>146</v>
      </c>
      <c r="J26" s="4" t="s">
        <v>255</v>
      </c>
      <c r="K26" s="4" t="s">
        <v>27</v>
      </c>
      <c r="L26" s="4" t="s">
        <v>27</v>
      </c>
      <c r="M26" s="4" t="s">
        <v>120</v>
      </c>
      <c r="N26" s="4" t="s">
        <v>27</v>
      </c>
      <c r="O26" s="4" t="s">
        <v>27</v>
      </c>
      <c r="P26" s="4" t="s">
        <v>235</v>
      </c>
      <c r="Q26" s="6" t="n">
        <v>7.5</v>
      </c>
      <c r="R26" s="4" t="s">
        <v>256</v>
      </c>
      <c r="S26" s="4" t="s">
        <v>257</v>
      </c>
      <c r="T26" s="4" t="s">
        <v>258</v>
      </c>
      <c r="U26" s="4" t="s">
        <v>27</v>
      </c>
      <c r="V26" s="4" t="s">
        <v>239</v>
      </c>
      <c r="W26" s="5" t="str">
        <f aca="false">IF(OR(ISNUMBER(SEARCH("gesha",G26)),ISNUMBER(SEARCH("geisha",G26))),"⭐ GESHA","")</f>
        <v/>
      </c>
      <c r="X26" s="4" t="s">
        <v>259</v>
      </c>
    </row>
    <row r="27" customFormat="false" ht="20.25" hidden="false" customHeight="true" outlineLevel="0" collapsed="false">
      <c r="A27" s="3" t="n">
        <v>46148</v>
      </c>
      <c r="B27" s="4" t="s">
        <v>52</v>
      </c>
      <c r="C27" s="4" t="s">
        <v>251</v>
      </c>
      <c r="D27" s="4" t="s">
        <v>260</v>
      </c>
      <c r="E27" s="4" t="s">
        <v>27</v>
      </c>
      <c r="F27" s="4" t="s">
        <v>253</v>
      </c>
      <c r="G27" s="4" t="s">
        <v>261</v>
      </c>
      <c r="H27" s="4" t="s">
        <v>29</v>
      </c>
      <c r="I27" s="4" t="s">
        <v>47</v>
      </c>
      <c r="J27" s="4" t="s">
        <v>137</v>
      </c>
      <c r="K27" s="4" t="s">
        <v>27</v>
      </c>
      <c r="L27" s="4" t="s">
        <v>27</v>
      </c>
      <c r="M27" s="4" t="s">
        <v>27</v>
      </c>
      <c r="N27" s="4" t="s">
        <v>27</v>
      </c>
      <c r="O27" s="4" t="s">
        <v>27</v>
      </c>
      <c r="P27" s="4" t="s">
        <v>27</v>
      </c>
      <c r="Q27" s="4" t="s">
        <v>27</v>
      </c>
      <c r="R27" s="4" t="s">
        <v>262</v>
      </c>
      <c r="S27" s="4" t="s">
        <v>263</v>
      </c>
      <c r="T27" s="4" t="s">
        <v>264</v>
      </c>
      <c r="U27" s="4" t="s">
        <v>27</v>
      </c>
      <c r="V27" s="4" t="s">
        <v>239</v>
      </c>
      <c r="W27" s="5" t="str">
        <f aca="false">IF(OR(ISNUMBER(SEARCH("gesha",G27)),ISNUMBER(SEARCH("geisha",G27))),"⭐ GESHA","")</f>
        <v/>
      </c>
      <c r="X27" s="4" t="s">
        <v>259</v>
      </c>
    </row>
    <row r="28" customFormat="false" ht="20.25" hidden="false" customHeight="true" outlineLevel="0" collapsed="false">
      <c r="A28" s="3" t="n">
        <v>46149</v>
      </c>
      <c r="B28" s="4" t="s">
        <v>52</v>
      </c>
      <c r="C28" s="4" t="s">
        <v>251</v>
      </c>
      <c r="D28" s="4" t="s">
        <v>265</v>
      </c>
      <c r="E28" s="4" t="s">
        <v>27</v>
      </c>
      <c r="F28" s="4" t="s">
        <v>266</v>
      </c>
      <c r="G28" s="4" t="s">
        <v>145</v>
      </c>
      <c r="H28" s="4" t="s">
        <v>58</v>
      </c>
      <c r="I28" s="4" t="s">
        <v>146</v>
      </c>
      <c r="J28" s="4" t="s">
        <v>255</v>
      </c>
      <c r="K28" s="4" t="s">
        <v>27</v>
      </c>
      <c r="L28" s="4" t="s">
        <v>27</v>
      </c>
      <c r="M28" s="4" t="s">
        <v>120</v>
      </c>
      <c r="N28" s="4" t="s">
        <v>27</v>
      </c>
      <c r="O28" s="4" t="s">
        <v>27</v>
      </c>
      <c r="P28" s="4" t="s">
        <v>235</v>
      </c>
      <c r="Q28" s="6" t="n">
        <v>8.5</v>
      </c>
      <c r="R28" s="4" t="s">
        <v>267</v>
      </c>
      <c r="S28" s="4" t="s">
        <v>268</v>
      </c>
      <c r="T28" s="4" t="s">
        <v>269</v>
      </c>
      <c r="U28" s="4" t="s">
        <v>27</v>
      </c>
      <c r="V28" s="4" t="s">
        <v>239</v>
      </c>
      <c r="W28" s="5" t="str">
        <f aca="false">IF(OR(ISNUMBER(SEARCH("gesha",G28)),ISNUMBER(SEARCH("geisha",G28))),"⭐ GESHA","")</f>
        <v/>
      </c>
      <c r="X28" s="4" t="s">
        <v>259</v>
      </c>
    </row>
    <row r="29" customFormat="false" ht="30" hidden="false" customHeight="true" outlineLevel="0" collapsed="false">
      <c r="A29" s="3" t="n">
        <v>46149</v>
      </c>
      <c r="B29" s="4" t="s">
        <v>52</v>
      </c>
      <c r="C29" s="4" t="s">
        <v>251</v>
      </c>
      <c r="D29" s="4" t="s">
        <v>270</v>
      </c>
      <c r="E29" s="4" t="s">
        <v>27</v>
      </c>
      <c r="F29" s="4" t="s">
        <v>135</v>
      </c>
      <c r="G29" s="4" t="s">
        <v>271</v>
      </c>
      <c r="H29" s="4" t="s">
        <v>272</v>
      </c>
      <c r="I29" s="4" t="s">
        <v>47</v>
      </c>
      <c r="J29" s="4" t="s">
        <v>273</v>
      </c>
      <c r="K29" s="4" t="s">
        <v>27</v>
      </c>
      <c r="L29" s="4" t="s">
        <v>27</v>
      </c>
      <c r="M29" s="4" t="s">
        <v>274</v>
      </c>
      <c r="N29" s="4" t="s">
        <v>27</v>
      </c>
      <c r="O29" s="4" t="s">
        <v>27</v>
      </c>
      <c r="P29" s="4" t="s">
        <v>27</v>
      </c>
      <c r="Q29" s="4" t="s">
        <v>27</v>
      </c>
      <c r="R29" s="4" t="s">
        <v>275</v>
      </c>
      <c r="S29" s="4" t="s">
        <v>276</v>
      </c>
      <c r="T29" s="4" t="s">
        <v>277</v>
      </c>
      <c r="U29" s="4" t="s">
        <v>27</v>
      </c>
      <c r="V29" s="4" t="s">
        <v>239</v>
      </c>
      <c r="W29" s="5" t="str">
        <f aca="false">IF(OR(ISNUMBER(SEARCH("gesha",G29)),ISNUMBER(SEARCH("geisha",G29))),"⭐ GESHA","")</f>
        <v/>
      </c>
      <c r="X29" s="4" t="s">
        <v>259</v>
      </c>
    </row>
    <row r="30" customFormat="false" ht="49.5" hidden="false" customHeight="true" outlineLevel="0" collapsed="false">
      <c r="A30" s="3" t="n">
        <v>46150</v>
      </c>
      <c r="B30" s="4" t="s">
        <v>52</v>
      </c>
      <c r="C30" s="4" t="s">
        <v>278</v>
      </c>
      <c r="D30" s="4" t="s">
        <v>279</v>
      </c>
      <c r="E30" s="4" t="s">
        <v>27</v>
      </c>
      <c r="F30" s="4" t="s">
        <v>118</v>
      </c>
      <c r="G30" s="4" t="s">
        <v>280</v>
      </c>
      <c r="H30" s="4" t="s">
        <v>58</v>
      </c>
      <c r="I30" s="4" t="s">
        <v>146</v>
      </c>
      <c r="J30" s="4" t="s">
        <v>281</v>
      </c>
      <c r="K30" s="4" t="n">
        <v>15</v>
      </c>
      <c r="L30" s="4" t="n">
        <v>240</v>
      </c>
      <c r="M30" s="4" t="s">
        <v>60</v>
      </c>
      <c r="N30" s="4" t="s">
        <v>27</v>
      </c>
      <c r="O30" s="4" t="s">
        <v>27</v>
      </c>
      <c r="P30" s="4" t="s">
        <v>282</v>
      </c>
      <c r="Q30" s="4" t="s">
        <v>27</v>
      </c>
      <c r="R30" s="4" t="s">
        <v>283</v>
      </c>
      <c r="S30" s="4" t="s">
        <v>284</v>
      </c>
      <c r="T30" s="4" t="s">
        <v>285</v>
      </c>
      <c r="U30" s="4" t="s">
        <v>286</v>
      </c>
      <c r="V30" s="4" t="s">
        <v>287</v>
      </c>
      <c r="W30" s="5" t="str">
        <f aca="false">IF(OR(ISNUMBER(SEARCH("gesha",G30)),ISNUMBER(SEARCH("geisha",G30))),"⭐ GESHA","")</f>
        <v/>
      </c>
      <c r="X30" s="4" t="s">
        <v>288</v>
      </c>
    </row>
    <row r="31" customFormat="false" ht="59.25" hidden="false" customHeight="true" outlineLevel="0" collapsed="false">
      <c r="A31" s="3" t="n">
        <v>46154</v>
      </c>
      <c r="B31" s="4" t="s">
        <v>52</v>
      </c>
      <c r="C31" s="4" t="s">
        <v>289</v>
      </c>
      <c r="D31" s="4" t="s">
        <v>290</v>
      </c>
      <c r="E31" s="4" t="s">
        <v>291</v>
      </c>
      <c r="F31" s="4" t="s">
        <v>292</v>
      </c>
      <c r="G31" s="4" t="s">
        <v>293</v>
      </c>
      <c r="H31" s="4" t="s">
        <v>294</v>
      </c>
      <c r="I31" s="4" t="s">
        <v>30</v>
      </c>
      <c r="J31" s="4" t="s">
        <v>295</v>
      </c>
      <c r="K31" s="4" t="n">
        <v>15</v>
      </c>
      <c r="L31" s="4" t="n">
        <v>225</v>
      </c>
      <c r="M31" s="4" t="s">
        <v>60</v>
      </c>
      <c r="N31" s="4" t="s">
        <v>296</v>
      </c>
      <c r="O31" s="4" t="s">
        <v>27</v>
      </c>
      <c r="P31" s="4" t="s">
        <v>282</v>
      </c>
      <c r="Q31" s="6" t="n">
        <v>9.5</v>
      </c>
      <c r="R31" s="4" t="s">
        <v>297</v>
      </c>
      <c r="S31" s="4" t="s">
        <v>298</v>
      </c>
      <c r="T31" s="4" t="s">
        <v>299</v>
      </c>
      <c r="U31" s="4" t="s">
        <v>300</v>
      </c>
      <c r="V31" s="4" t="s">
        <v>287</v>
      </c>
      <c r="W31" s="5" t="str">
        <f aca="false">IF(OR(ISNUMBER(SEARCH("gesha",G31)),ISNUMBER(SEARCH("geisha",G31))),"⭐ GESHA","")</f>
        <v/>
      </c>
      <c r="X31" s="4" t="s">
        <v>301</v>
      </c>
    </row>
    <row r="32" customFormat="false" ht="49.5" hidden="false" customHeight="true" outlineLevel="0" collapsed="false">
      <c r="A32" s="3" t="n">
        <v>46155</v>
      </c>
      <c r="B32" s="4" t="s">
        <v>52</v>
      </c>
      <c r="C32" s="4" t="s">
        <v>302</v>
      </c>
      <c r="D32" s="4" t="s">
        <v>303</v>
      </c>
      <c r="E32" s="4" t="s">
        <v>304</v>
      </c>
      <c r="F32" s="4" t="s">
        <v>98</v>
      </c>
      <c r="G32" s="4" t="s">
        <v>305</v>
      </c>
      <c r="H32" s="4" t="s">
        <v>29</v>
      </c>
      <c r="I32" s="4" t="s">
        <v>146</v>
      </c>
      <c r="J32" s="4" t="s">
        <v>306</v>
      </c>
      <c r="K32" s="4" t="n">
        <v>15</v>
      </c>
      <c r="L32" s="4" t="n">
        <v>255</v>
      </c>
      <c r="M32" s="4" t="s">
        <v>120</v>
      </c>
      <c r="N32" s="4" t="s">
        <v>27</v>
      </c>
      <c r="O32" s="4" t="s">
        <v>27</v>
      </c>
      <c r="P32" s="4" t="s">
        <v>307</v>
      </c>
      <c r="Q32" s="6" t="n">
        <v>9</v>
      </c>
      <c r="R32" s="4" t="s">
        <v>308</v>
      </c>
      <c r="S32" s="4" t="s">
        <v>309</v>
      </c>
      <c r="T32" s="4" t="s">
        <v>310</v>
      </c>
      <c r="U32" s="4" t="s">
        <v>311</v>
      </c>
      <c r="V32" s="4" t="s">
        <v>287</v>
      </c>
      <c r="W32" s="5" t="str">
        <f aca="false">IF(OR(ISNUMBER(SEARCH("gesha",G32)),ISNUMBER(SEARCH("geisha",G32))),"⭐ GESHA","")</f>
        <v/>
      </c>
      <c r="X32" s="4" t="s">
        <v>312</v>
      </c>
    </row>
    <row r="33" customFormat="false" ht="69" hidden="false" customHeight="true" outlineLevel="0" collapsed="false">
      <c r="A33" s="3" t="n">
        <v>46157</v>
      </c>
      <c r="B33" s="4" t="s">
        <v>52</v>
      </c>
      <c r="C33" s="4" t="s">
        <v>278</v>
      </c>
      <c r="D33" s="4" t="s">
        <v>313</v>
      </c>
      <c r="E33" s="4" t="s">
        <v>314</v>
      </c>
      <c r="F33" s="4" t="s">
        <v>315</v>
      </c>
      <c r="G33" s="4" t="s">
        <v>316</v>
      </c>
      <c r="H33" s="4" t="s">
        <v>74</v>
      </c>
      <c r="I33" s="4" t="s">
        <v>30</v>
      </c>
      <c r="J33" s="4" t="s">
        <v>281</v>
      </c>
      <c r="K33" s="4" t="n">
        <v>15</v>
      </c>
      <c r="L33" s="4" t="n">
        <v>240</v>
      </c>
      <c r="M33" s="4" t="s">
        <v>60</v>
      </c>
      <c r="N33" s="4" t="s">
        <v>317</v>
      </c>
      <c r="O33" s="4" t="s">
        <v>27</v>
      </c>
      <c r="P33" s="4" t="s">
        <v>282</v>
      </c>
      <c r="Q33" s="6" t="n">
        <v>8.5</v>
      </c>
      <c r="R33" s="4" t="s">
        <v>318</v>
      </c>
      <c r="S33" s="4" t="s">
        <v>319</v>
      </c>
      <c r="T33" s="4" t="s">
        <v>320</v>
      </c>
      <c r="U33" s="4" t="s">
        <v>321</v>
      </c>
      <c r="V33" s="4" t="s">
        <v>287</v>
      </c>
      <c r="W33" s="5" t="str">
        <f aca="false">IF(OR(ISNUMBER(SEARCH("gesha",G33)),ISNUMBER(SEARCH("geisha",G33))),"⭐ GESHA","")</f>
        <v/>
      </c>
      <c r="X33" s="4" t="s">
        <v>288</v>
      </c>
    </row>
    <row r="34" customFormat="false" ht="78.75" hidden="false" customHeight="true" outlineLevel="0" collapsed="false">
      <c r="A34" s="3" t="n">
        <v>46158</v>
      </c>
      <c r="B34" s="4" t="s">
        <v>52</v>
      </c>
      <c r="C34" s="4" t="s">
        <v>322</v>
      </c>
      <c r="D34" s="4" t="s">
        <v>323</v>
      </c>
      <c r="E34" s="4" t="s">
        <v>323</v>
      </c>
      <c r="F34" s="4" t="s">
        <v>220</v>
      </c>
      <c r="G34" s="4" t="s">
        <v>171</v>
      </c>
      <c r="H34" s="4" t="s">
        <v>58</v>
      </c>
      <c r="I34" s="4" t="s">
        <v>30</v>
      </c>
      <c r="J34" s="4" t="s">
        <v>324</v>
      </c>
      <c r="K34" s="4" t="n">
        <v>15</v>
      </c>
      <c r="L34" s="4" t="n">
        <v>230</v>
      </c>
      <c r="M34" s="4" t="s">
        <v>184</v>
      </c>
      <c r="N34" s="4" t="s">
        <v>325</v>
      </c>
      <c r="O34" s="4" t="s">
        <v>27</v>
      </c>
      <c r="P34" s="4" t="s">
        <v>326</v>
      </c>
      <c r="Q34" s="6" t="n">
        <v>14</v>
      </c>
      <c r="R34" s="4" t="s">
        <v>327</v>
      </c>
      <c r="S34" s="4" t="s">
        <v>328</v>
      </c>
      <c r="T34" s="4" t="s">
        <v>329</v>
      </c>
      <c r="U34" s="4" t="s">
        <v>330</v>
      </c>
      <c r="V34" s="4" t="s">
        <v>287</v>
      </c>
      <c r="W34" s="5" t="str">
        <f aca="false">IF(OR(ISNUMBER(SEARCH("gesha",G34)),ISNUMBER(SEARCH("geisha",G34))),"⭐ GESHA","")</f>
        <v>⭐ GESHA</v>
      </c>
      <c r="X34" s="4" t="s">
        <v>331</v>
      </c>
    </row>
    <row r="35" customFormat="false" ht="69" hidden="false" customHeight="true" outlineLevel="0" collapsed="false">
      <c r="A35" s="3" t="n">
        <v>46161</v>
      </c>
      <c r="B35" s="4" t="s">
        <v>52</v>
      </c>
      <c r="C35" s="4" t="s">
        <v>332</v>
      </c>
      <c r="D35" s="4" t="s">
        <v>333</v>
      </c>
      <c r="E35" s="4" t="s">
        <v>334</v>
      </c>
      <c r="F35" s="4" t="s">
        <v>335</v>
      </c>
      <c r="G35" s="4" t="s">
        <v>196</v>
      </c>
      <c r="H35" s="4" t="s">
        <v>58</v>
      </c>
      <c r="I35" s="4" t="s">
        <v>30</v>
      </c>
      <c r="J35" s="4" t="s">
        <v>336</v>
      </c>
      <c r="K35" s="4" t="n">
        <v>15</v>
      </c>
      <c r="L35" s="4" t="n">
        <v>225</v>
      </c>
      <c r="M35" s="4" t="s">
        <v>156</v>
      </c>
      <c r="N35" s="4" t="s">
        <v>337</v>
      </c>
      <c r="O35" s="4" t="s">
        <v>27</v>
      </c>
      <c r="P35" s="4" t="s">
        <v>338</v>
      </c>
      <c r="Q35" s="6" t="n">
        <v>18</v>
      </c>
      <c r="R35" s="4" t="s">
        <v>339</v>
      </c>
      <c r="S35" s="4" t="s">
        <v>340</v>
      </c>
      <c r="T35" s="4" t="s">
        <v>341</v>
      </c>
      <c r="U35" s="4" t="s">
        <v>342</v>
      </c>
      <c r="V35" s="4" t="s">
        <v>287</v>
      </c>
      <c r="W35" s="5" t="str">
        <f aca="false">IF(OR(ISNUMBER(SEARCH("gesha",G35)),ISNUMBER(SEARCH("geisha",G35))),"⭐ GESHA","")</f>
        <v>⭐ GESHA</v>
      </c>
      <c r="X35" s="4" t="s">
        <v>343</v>
      </c>
    </row>
    <row r="36" customFormat="false" ht="98.25" hidden="false" customHeight="true" outlineLevel="0" collapsed="false">
      <c r="A36" s="7" t="n">
        <v>46167</v>
      </c>
      <c r="B36" s="4" t="s">
        <v>52</v>
      </c>
      <c r="C36" s="4" t="s">
        <v>344</v>
      </c>
      <c r="D36" s="4" t="s">
        <v>345</v>
      </c>
      <c r="E36" s="4" t="s">
        <v>346</v>
      </c>
      <c r="F36" s="4" t="s">
        <v>347</v>
      </c>
      <c r="G36" s="4" t="s">
        <v>348</v>
      </c>
      <c r="H36" s="4" t="s">
        <v>58</v>
      </c>
      <c r="I36" s="4" t="s">
        <v>349</v>
      </c>
      <c r="J36" s="4" t="s">
        <v>350</v>
      </c>
      <c r="K36" s="4" t="n">
        <v>17</v>
      </c>
      <c r="L36" s="4" t="n">
        <v>270</v>
      </c>
      <c r="M36" s="4" t="s">
        <v>60</v>
      </c>
      <c r="N36" s="4" t="s">
        <v>27</v>
      </c>
      <c r="O36" s="4" t="s">
        <v>27</v>
      </c>
      <c r="P36" s="4" t="s">
        <v>351</v>
      </c>
      <c r="Q36" s="4" t="n">
        <v>10</v>
      </c>
      <c r="R36" s="4" t="s">
        <v>352</v>
      </c>
      <c r="S36" s="4" t="s">
        <v>353</v>
      </c>
      <c r="T36" s="4" t="s">
        <v>354</v>
      </c>
      <c r="U36" s="4" t="s">
        <v>355</v>
      </c>
      <c r="V36" s="4" t="s">
        <v>356</v>
      </c>
      <c r="W36" s="5" t="str">
        <f aca="false">IF(OR(ISNUMBER(SEARCH("gesha",G36)),ISNUMBER(SEARCH("geisha",G36))),"⭐ GESHA","")</f>
        <v/>
      </c>
      <c r="X36" s="4" t="s">
        <v>357</v>
      </c>
    </row>
    <row r="37" customFormat="false" ht="59.25" hidden="false" customHeight="true" outlineLevel="0" collapsed="false">
      <c r="A37" s="7" t="n">
        <v>46167</v>
      </c>
      <c r="B37" s="4" t="s">
        <v>52</v>
      </c>
      <c r="C37" s="4" t="s">
        <v>344</v>
      </c>
      <c r="D37" s="4" t="s">
        <v>358</v>
      </c>
      <c r="E37" s="4" t="s">
        <v>359</v>
      </c>
      <c r="F37" s="4" t="s">
        <v>360</v>
      </c>
      <c r="G37" s="4" t="s">
        <v>361</v>
      </c>
      <c r="H37" s="4" t="s">
        <v>58</v>
      </c>
      <c r="I37" s="4" t="s">
        <v>27</v>
      </c>
      <c r="J37" s="4" t="s">
        <v>362</v>
      </c>
      <c r="K37" s="4" t="s">
        <v>27</v>
      </c>
      <c r="L37" s="4" t="s">
        <v>27</v>
      </c>
      <c r="M37" s="4" t="s">
        <v>363</v>
      </c>
      <c r="N37" s="4" t="s">
        <v>27</v>
      </c>
      <c r="O37" s="4" t="s">
        <v>364</v>
      </c>
      <c r="P37" s="4" t="s">
        <v>365</v>
      </c>
      <c r="Q37" s="4" t="n">
        <v>9</v>
      </c>
      <c r="R37" s="4" t="s">
        <v>366</v>
      </c>
      <c r="S37" s="4" t="s">
        <v>367</v>
      </c>
      <c r="T37" s="4" t="s">
        <v>368</v>
      </c>
      <c r="U37" s="4" t="s">
        <v>369</v>
      </c>
      <c r="V37" s="4" t="s">
        <v>356</v>
      </c>
      <c r="W37" s="5" t="str">
        <f aca="false">IF(OR(ISNUMBER(SEARCH("gesha",G37)),ISNUMBER(SEARCH("geisha",G37))),"⭐ GESHA","")</f>
        <v/>
      </c>
      <c r="X37" s="4" t="s">
        <v>357</v>
      </c>
    </row>
    <row r="38" customFormat="false" ht="78.75" hidden="false" customHeight="true" outlineLevel="0" collapsed="false">
      <c r="A38" s="3" t="n">
        <v>46168</v>
      </c>
      <c r="B38" s="4" t="s">
        <v>52</v>
      </c>
      <c r="C38" s="4" t="s">
        <v>370</v>
      </c>
      <c r="D38" s="4" t="s">
        <v>371</v>
      </c>
      <c r="E38" s="4" t="s">
        <v>372</v>
      </c>
      <c r="F38" s="4" t="s">
        <v>220</v>
      </c>
      <c r="G38" s="4" t="s">
        <v>373</v>
      </c>
      <c r="H38" s="4" t="s">
        <v>374</v>
      </c>
      <c r="I38" s="4" t="s">
        <v>146</v>
      </c>
      <c r="J38" s="4" t="s">
        <v>375</v>
      </c>
      <c r="K38" s="4" t="n">
        <v>15</v>
      </c>
      <c r="L38" s="4" t="n">
        <v>240</v>
      </c>
      <c r="M38" s="4" t="s">
        <v>60</v>
      </c>
      <c r="N38" s="4" t="s">
        <v>325</v>
      </c>
      <c r="O38" s="4" t="s">
        <v>376</v>
      </c>
      <c r="P38" s="4" t="s">
        <v>377</v>
      </c>
      <c r="Q38" s="6" t="n">
        <v>12</v>
      </c>
      <c r="R38" s="4" t="s">
        <v>378</v>
      </c>
      <c r="S38" s="4" t="s">
        <v>379</v>
      </c>
      <c r="T38" s="4" t="s">
        <v>380</v>
      </c>
      <c r="U38" s="4" t="s">
        <v>381</v>
      </c>
      <c r="V38" s="4" t="s">
        <v>382</v>
      </c>
      <c r="W38" s="5" t="str">
        <f aca="false">IF(OR(ISNUMBER(SEARCH("gesha",G38)),ISNUMBER(SEARCH("geisha",G38))),"⭐ GESHA","")</f>
        <v/>
      </c>
      <c r="X38" s="4" t="s">
        <v>383</v>
      </c>
    </row>
    <row r="39" customFormat="false" ht="88.5" hidden="false" customHeight="true" outlineLevel="0" collapsed="false">
      <c r="A39" s="3" t="n">
        <v>46183</v>
      </c>
      <c r="B39" s="4" t="s">
        <v>52</v>
      </c>
      <c r="C39" s="4" t="s">
        <v>251</v>
      </c>
      <c r="D39" s="4" t="s">
        <v>384</v>
      </c>
      <c r="E39" s="4" t="s">
        <v>385</v>
      </c>
      <c r="F39" s="4" t="s">
        <v>118</v>
      </c>
      <c r="G39" s="4" t="s">
        <v>386</v>
      </c>
      <c r="H39" s="4" t="s">
        <v>58</v>
      </c>
      <c r="I39" s="4" t="s">
        <v>146</v>
      </c>
      <c r="J39" s="4" t="s">
        <v>255</v>
      </c>
      <c r="K39" s="4" t="s">
        <v>27</v>
      </c>
      <c r="L39" s="4" t="s">
        <v>27</v>
      </c>
      <c r="M39" s="4" t="s">
        <v>120</v>
      </c>
      <c r="N39" s="4" t="s">
        <v>27</v>
      </c>
      <c r="O39" s="4" t="s">
        <v>27</v>
      </c>
      <c r="P39" s="4" t="s">
        <v>387</v>
      </c>
      <c r="Q39" s="6" t="n">
        <v>7.5</v>
      </c>
      <c r="R39" s="4" t="s">
        <v>388</v>
      </c>
      <c r="S39" s="4" t="s">
        <v>389</v>
      </c>
      <c r="T39" s="4" t="s">
        <v>390</v>
      </c>
      <c r="U39" s="4" t="s">
        <v>391</v>
      </c>
      <c r="V39" s="4" t="s">
        <v>392</v>
      </c>
      <c r="W39" s="5" t="str">
        <f aca="false">IF(OR(ISNUMBER(SEARCH("gesha",G39)),ISNUMBER(SEARCH("geisha",G39))),"⭐ GESHA","")</f>
        <v/>
      </c>
      <c r="X39" s="4" t="s">
        <v>259</v>
      </c>
    </row>
    <row r="40" customFormat="false" ht="59.25" hidden="false" customHeight="true" outlineLevel="0" collapsed="false">
      <c r="A40" s="3" t="n">
        <v>46186</v>
      </c>
      <c r="B40" s="4" t="s">
        <v>52</v>
      </c>
      <c r="C40" s="4" t="s">
        <v>289</v>
      </c>
      <c r="D40" s="4" t="s">
        <v>393</v>
      </c>
      <c r="E40" s="4" t="s">
        <v>394</v>
      </c>
      <c r="F40" s="4" t="s">
        <v>395</v>
      </c>
      <c r="G40" s="4" t="s">
        <v>348</v>
      </c>
      <c r="H40" s="4" t="s">
        <v>136</v>
      </c>
      <c r="I40" s="4" t="s">
        <v>146</v>
      </c>
      <c r="J40" s="4" t="s">
        <v>281</v>
      </c>
      <c r="K40" s="4" t="s">
        <v>27</v>
      </c>
      <c r="L40" s="4" t="s">
        <v>27</v>
      </c>
      <c r="M40" s="4" t="s">
        <v>27</v>
      </c>
      <c r="N40" s="4" t="s">
        <v>27</v>
      </c>
      <c r="O40" s="4" t="s">
        <v>27</v>
      </c>
      <c r="P40" s="4" t="s">
        <v>307</v>
      </c>
      <c r="Q40" s="6" t="n">
        <v>9.27</v>
      </c>
      <c r="R40" s="4" t="s">
        <v>396</v>
      </c>
      <c r="S40" s="4" t="s">
        <v>397</v>
      </c>
      <c r="T40" s="4" t="s">
        <v>398</v>
      </c>
      <c r="U40" s="4" t="s">
        <v>399</v>
      </c>
      <c r="V40" s="4" t="s">
        <v>400</v>
      </c>
      <c r="W40" s="5" t="str">
        <f aca="false">IF(OR(ISNUMBER(SEARCH("gesha",G40)),ISNUMBER(SEARCH("geisha",G40))),"⭐ GESHA","")</f>
        <v/>
      </c>
      <c r="X40" s="4" t="s">
        <v>301</v>
      </c>
    </row>
    <row r="41" customFormat="false" ht="49.5" hidden="false" customHeight="true" outlineLevel="0" collapsed="false">
      <c r="A41" s="3" t="n">
        <v>46187</v>
      </c>
      <c r="B41" s="4" t="s">
        <v>52</v>
      </c>
      <c r="C41" s="4" t="s">
        <v>401</v>
      </c>
      <c r="D41" s="4" t="s">
        <v>402</v>
      </c>
      <c r="E41" s="4" t="s">
        <v>403</v>
      </c>
      <c r="F41" s="4" t="s">
        <v>118</v>
      </c>
      <c r="G41" s="4" t="s">
        <v>171</v>
      </c>
      <c r="H41" s="4" t="s">
        <v>404</v>
      </c>
      <c r="I41" s="4" t="s">
        <v>405</v>
      </c>
      <c r="J41" s="4" t="s">
        <v>406</v>
      </c>
      <c r="K41" s="4" t="n">
        <v>15</v>
      </c>
      <c r="L41" s="4" t="n">
        <v>210</v>
      </c>
      <c r="M41" s="4" t="s">
        <v>245</v>
      </c>
      <c r="N41" s="4" t="s">
        <v>407</v>
      </c>
      <c r="O41" s="4" t="s">
        <v>408</v>
      </c>
      <c r="P41" s="4" t="s">
        <v>409</v>
      </c>
      <c r="Q41" s="6" t="n">
        <v>15</v>
      </c>
      <c r="R41" s="4" t="s">
        <v>410</v>
      </c>
      <c r="S41" s="4" t="s">
        <v>411</v>
      </c>
      <c r="T41" s="4" t="s">
        <v>412</v>
      </c>
      <c r="U41" s="4" t="s">
        <v>413</v>
      </c>
      <c r="V41" s="4" t="s">
        <v>414</v>
      </c>
      <c r="W41" s="5" t="str">
        <f aca="false">IF(OR(ISNUMBER(SEARCH("gesha",G41)),ISNUMBER(SEARCH("geisha",G41))),"⭐ GESHA","")</f>
        <v>⭐ GESHA</v>
      </c>
      <c r="X41" s="4" t="s">
        <v>415</v>
      </c>
    </row>
    <row r="42" customFormat="false" ht="39.75" hidden="false" customHeight="true" outlineLevel="0" collapsed="false">
      <c r="A42" s="3" t="n">
        <v>46192</v>
      </c>
      <c r="B42" s="4" t="s">
        <v>52</v>
      </c>
      <c r="C42" s="4" t="s">
        <v>416</v>
      </c>
      <c r="D42" s="4" t="s">
        <v>417</v>
      </c>
      <c r="E42" s="4" t="s">
        <v>418</v>
      </c>
      <c r="F42" s="4" t="s">
        <v>419</v>
      </c>
      <c r="G42" s="4" t="s">
        <v>420</v>
      </c>
      <c r="H42" s="4" t="s">
        <v>421</v>
      </c>
      <c r="I42" s="4" t="s">
        <v>30</v>
      </c>
      <c r="J42" s="4" t="s">
        <v>422</v>
      </c>
      <c r="K42" s="4" t="n">
        <v>13</v>
      </c>
      <c r="L42" s="4" t="n">
        <v>190</v>
      </c>
      <c r="M42" s="4" t="s">
        <v>148</v>
      </c>
      <c r="N42" s="4" t="s">
        <v>423</v>
      </c>
      <c r="O42" s="4" t="s">
        <v>27</v>
      </c>
      <c r="P42" s="4" t="s">
        <v>424</v>
      </c>
      <c r="Q42" s="6" t="n">
        <v>13</v>
      </c>
      <c r="R42" s="4" t="s">
        <v>425</v>
      </c>
      <c r="S42" s="4" t="s">
        <v>426</v>
      </c>
      <c r="T42" s="4" t="s">
        <v>427</v>
      </c>
      <c r="U42" s="4" t="s">
        <v>428</v>
      </c>
      <c r="V42" s="4" t="s">
        <v>429</v>
      </c>
      <c r="W42" s="5" t="str">
        <f aca="false">IF(OR(ISNUMBER(SEARCH("gesha",G42)),ISNUMBER(SEARCH("geisha",G42))),"⭐ GESHA","")</f>
        <v/>
      </c>
      <c r="X42" s="4" t="s">
        <v>430</v>
      </c>
    </row>
    <row r="43" customFormat="false" ht="59.25" hidden="false" customHeight="true" outlineLevel="0" collapsed="false">
      <c r="A43" s="3" t="n">
        <v>46192</v>
      </c>
      <c r="B43" s="4" t="s">
        <v>52</v>
      </c>
      <c r="C43" s="4" t="s">
        <v>431</v>
      </c>
      <c r="D43" s="4" t="s">
        <v>432</v>
      </c>
      <c r="E43" s="4" t="s">
        <v>433</v>
      </c>
      <c r="F43" s="4" t="s">
        <v>434</v>
      </c>
      <c r="G43" s="4" t="s">
        <v>171</v>
      </c>
      <c r="H43" s="4" t="s">
        <v>58</v>
      </c>
      <c r="I43" s="4" t="s">
        <v>27</v>
      </c>
      <c r="J43" s="4" t="s">
        <v>435</v>
      </c>
      <c r="K43" s="4" t="n">
        <v>15</v>
      </c>
      <c r="L43" s="4" t="n">
        <v>210</v>
      </c>
      <c r="M43" s="4" t="s">
        <v>245</v>
      </c>
      <c r="N43" s="4" t="s">
        <v>436</v>
      </c>
      <c r="O43" s="4" t="s">
        <v>27</v>
      </c>
      <c r="P43" s="4" t="s">
        <v>437</v>
      </c>
      <c r="Q43" s="6" t="n">
        <v>13</v>
      </c>
      <c r="R43" s="4" t="s">
        <v>438</v>
      </c>
      <c r="S43" s="4" t="s">
        <v>439</v>
      </c>
      <c r="T43" s="4" t="s">
        <v>440</v>
      </c>
      <c r="U43" s="4" t="s">
        <v>441</v>
      </c>
      <c r="V43" s="4" t="s">
        <v>429</v>
      </c>
      <c r="W43" s="5" t="str">
        <f aca="false">IF(OR(ISNUMBER(SEARCH("gesha",G43)),ISNUMBER(SEARCH("geisha",G43))),"⭐ GESHA","")</f>
        <v>⭐ GESHA</v>
      </c>
      <c r="X43" s="4" t="s">
        <v>442</v>
      </c>
    </row>
    <row r="44" customFormat="false" ht="49.5" hidden="false" customHeight="true" outlineLevel="0" collapsed="false">
      <c r="A44" s="3" t="n">
        <v>46194</v>
      </c>
      <c r="B44" s="4" t="s">
        <v>52</v>
      </c>
      <c r="C44" s="4" t="s">
        <v>443</v>
      </c>
      <c r="D44" s="4" t="s">
        <v>444</v>
      </c>
      <c r="E44" s="4" t="s">
        <v>445</v>
      </c>
      <c r="F44" s="4" t="s">
        <v>446</v>
      </c>
      <c r="G44" s="4" t="s">
        <v>447</v>
      </c>
      <c r="H44" s="4" t="s">
        <v>58</v>
      </c>
      <c r="I44" s="4" t="s">
        <v>448</v>
      </c>
      <c r="J44" s="4" t="s">
        <v>449</v>
      </c>
      <c r="K44" s="4" t="n">
        <v>13</v>
      </c>
      <c r="L44" s="4" t="n">
        <v>220</v>
      </c>
      <c r="M44" s="4" t="s">
        <v>450</v>
      </c>
      <c r="N44" s="4" t="s">
        <v>246</v>
      </c>
      <c r="O44" s="4" t="s">
        <v>27</v>
      </c>
      <c r="P44" s="4" t="s">
        <v>149</v>
      </c>
      <c r="Q44" s="6" t="n">
        <v>9.5</v>
      </c>
      <c r="R44" s="4" t="s">
        <v>451</v>
      </c>
      <c r="S44" s="4" t="s">
        <v>452</v>
      </c>
      <c r="T44" s="4" t="s">
        <v>453</v>
      </c>
      <c r="U44" s="4" t="s">
        <v>454</v>
      </c>
      <c r="V44" s="4" t="s">
        <v>429</v>
      </c>
      <c r="W44" s="5" t="str">
        <f aca="false">IF(OR(ISNUMBER(SEARCH("gesha",G44)),ISNUMBER(SEARCH("geisha",G44))),"⭐ GESHA","")</f>
        <v/>
      </c>
      <c r="X44" s="4" t="s">
        <v>455</v>
      </c>
    </row>
    <row r="45" customFormat="false" ht="78.75" hidden="false" customHeight="true" outlineLevel="0" collapsed="false">
      <c r="A45" s="3" t="n">
        <v>46198</v>
      </c>
      <c r="B45" s="4" t="s">
        <v>52</v>
      </c>
      <c r="C45" s="4" t="s">
        <v>456</v>
      </c>
      <c r="D45" s="4" t="s">
        <v>457</v>
      </c>
      <c r="E45" s="4" t="s">
        <v>458</v>
      </c>
      <c r="F45" s="4" t="s">
        <v>266</v>
      </c>
      <c r="G45" s="4" t="s">
        <v>459</v>
      </c>
      <c r="H45" s="4" t="s">
        <v>460</v>
      </c>
      <c r="I45" s="4" t="s">
        <v>461</v>
      </c>
      <c r="J45" s="4" t="s">
        <v>281</v>
      </c>
      <c r="K45" s="4" t="n">
        <v>15</v>
      </c>
      <c r="L45" s="4" t="n">
        <v>225</v>
      </c>
      <c r="M45" s="4" t="s">
        <v>156</v>
      </c>
      <c r="N45" s="4" t="s">
        <v>27</v>
      </c>
      <c r="O45" s="4" t="s">
        <v>27</v>
      </c>
      <c r="P45" s="4" t="s">
        <v>462</v>
      </c>
      <c r="Q45" s="6" t="n">
        <v>9</v>
      </c>
      <c r="R45" s="4" t="s">
        <v>463</v>
      </c>
      <c r="S45" s="4" t="s">
        <v>464</v>
      </c>
      <c r="T45" s="4" t="s">
        <v>465</v>
      </c>
      <c r="U45" s="4" t="s">
        <v>466</v>
      </c>
      <c r="V45" s="4" t="s">
        <v>467</v>
      </c>
      <c r="W45" s="5" t="str">
        <f aca="false">IF(OR(ISNUMBER(SEARCH("gesha",G45)),ISNUMBER(SEARCH("geisha",G45))),"⭐ GESHA","")</f>
        <v/>
      </c>
      <c r="X45" s="4" t="s">
        <v>468</v>
      </c>
    </row>
    <row r="46" customFormat="false" ht="98.25" hidden="false" customHeight="true" outlineLevel="0" collapsed="false">
      <c r="A46" s="3" t="n">
        <v>46200</v>
      </c>
      <c r="B46" s="4" t="s">
        <v>52</v>
      </c>
      <c r="C46" s="4" t="s">
        <v>443</v>
      </c>
      <c r="D46" s="4" t="s">
        <v>469</v>
      </c>
      <c r="E46" s="4" t="s">
        <v>470</v>
      </c>
      <c r="F46" s="4" t="s">
        <v>471</v>
      </c>
      <c r="G46" s="4" t="s">
        <v>472</v>
      </c>
      <c r="H46" s="4" t="s">
        <v>473</v>
      </c>
      <c r="I46" s="4" t="s">
        <v>448</v>
      </c>
      <c r="J46" s="4" t="s">
        <v>449</v>
      </c>
      <c r="K46" s="4" t="n">
        <v>13</v>
      </c>
      <c r="L46" s="4" t="n">
        <v>215</v>
      </c>
      <c r="M46" s="4" t="s">
        <v>474</v>
      </c>
      <c r="N46" s="4" t="s">
        <v>246</v>
      </c>
      <c r="O46" s="4" t="s">
        <v>475</v>
      </c>
      <c r="P46" s="4" t="s">
        <v>149</v>
      </c>
      <c r="Q46" s="6" t="n">
        <v>9.5</v>
      </c>
      <c r="R46" s="4" t="s">
        <v>476</v>
      </c>
      <c r="S46" s="4" t="s">
        <v>477</v>
      </c>
      <c r="T46" s="4" t="s">
        <v>478</v>
      </c>
      <c r="U46" s="4" t="s">
        <v>479</v>
      </c>
      <c r="V46" s="4" t="s">
        <v>429</v>
      </c>
      <c r="W46" s="5" t="str">
        <f aca="false">IF(OR(ISNUMBER(SEARCH("gesha",G46)),ISNUMBER(SEARCH("geisha",G46))),"⭐ GESHA","")</f>
        <v/>
      </c>
      <c r="X46" s="4" t="s">
        <v>455</v>
      </c>
    </row>
    <row r="47" customFormat="false" ht="108" hidden="false" customHeight="true" outlineLevel="0" collapsed="false">
      <c r="A47" s="3" t="n">
        <v>46201</v>
      </c>
      <c r="B47" s="4" t="s">
        <v>52</v>
      </c>
      <c r="C47" s="4" t="s">
        <v>401</v>
      </c>
      <c r="D47" s="4" t="s">
        <v>480</v>
      </c>
      <c r="E47" s="4" t="s">
        <v>27</v>
      </c>
      <c r="F47" s="4" t="s">
        <v>481</v>
      </c>
      <c r="G47" s="4" t="s">
        <v>482</v>
      </c>
      <c r="H47" s="4" t="s">
        <v>483</v>
      </c>
      <c r="I47" s="4" t="s">
        <v>146</v>
      </c>
      <c r="J47" s="4" t="s">
        <v>406</v>
      </c>
      <c r="K47" s="4" t="n">
        <v>15</v>
      </c>
      <c r="L47" s="4" t="n">
        <v>210</v>
      </c>
      <c r="M47" s="4" t="s">
        <v>245</v>
      </c>
      <c r="N47" s="4" t="s">
        <v>484</v>
      </c>
      <c r="O47" s="4" t="s">
        <v>27</v>
      </c>
      <c r="P47" s="4" t="s">
        <v>409</v>
      </c>
      <c r="Q47" s="6" t="n">
        <v>13</v>
      </c>
      <c r="R47" s="4" t="s">
        <v>485</v>
      </c>
      <c r="S47" s="4" t="s">
        <v>486</v>
      </c>
      <c r="T47" s="4" t="s">
        <v>487</v>
      </c>
      <c r="U47" s="4" t="s">
        <v>488</v>
      </c>
      <c r="V47" s="4" t="s">
        <v>489</v>
      </c>
      <c r="W47" s="5" t="str">
        <f aca="false">IF(OR(ISNUMBER(SEARCH("gesha",G47)),ISNUMBER(SEARCH("geisha",G47))),"⭐ GESHA","")</f>
        <v/>
      </c>
      <c r="X47" s="4" t="s">
        <v>415</v>
      </c>
    </row>
    <row r="48" customFormat="false" ht="78.75" hidden="false" customHeight="true" outlineLevel="0" collapsed="false">
      <c r="A48" s="3" t="n">
        <v>46201</v>
      </c>
      <c r="B48" s="4" t="s">
        <v>52</v>
      </c>
      <c r="C48" s="4" t="s">
        <v>167</v>
      </c>
      <c r="D48" s="4" t="s">
        <v>490</v>
      </c>
      <c r="E48" s="4" t="s">
        <v>491</v>
      </c>
      <c r="F48" s="4" t="s">
        <v>492</v>
      </c>
      <c r="G48" s="4" t="s">
        <v>493</v>
      </c>
      <c r="H48" s="4" t="s">
        <v>494</v>
      </c>
      <c r="I48" s="4" t="s">
        <v>146</v>
      </c>
      <c r="J48" s="4" t="s">
        <v>495</v>
      </c>
      <c r="K48" s="4" t="n">
        <v>15</v>
      </c>
      <c r="L48" s="4" t="n">
        <v>240</v>
      </c>
      <c r="M48" s="4" t="s">
        <v>60</v>
      </c>
      <c r="N48" s="4" t="s">
        <v>317</v>
      </c>
      <c r="O48" s="4" t="s">
        <v>496</v>
      </c>
      <c r="P48" s="4" t="s">
        <v>174</v>
      </c>
      <c r="Q48" s="6" t="n">
        <v>14</v>
      </c>
      <c r="R48" s="4" t="s">
        <v>497</v>
      </c>
      <c r="S48" s="4" t="s">
        <v>498</v>
      </c>
      <c r="T48" s="4" t="s">
        <v>499</v>
      </c>
      <c r="U48" s="4" t="s">
        <v>500</v>
      </c>
      <c r="V48" s="4" t="s">
        <v>501</v>
      </c>
      <c r="W48" s="5" t="str">
        <f aca="false">IF(OR(ISNUMBER(SEARCH("gesha",G48)),ISNUMBER(SEARCH("geisha",G48))),"⭐ GESHA","")</f>
        <v/>
      </c>
      <c r="X48" s="4" t="s">
        <v>178</v>
      </c>
    </row>
    <row r="49" customFormat="false" ht="165.75" hidden="false" customHeight="true" outlineLevel="0" collapsed="false">
      <c r="A49" s="3" t="n">
        <v>46203</v>
      </c>
      <c r="B49" s="4" t="s">
        <v>52</v>
      </c>
      <c r="C49" s="4" t="s">
        <v>502</v>
      </c>
      <c r="D49" s="4" t="s">
        <v>503</v>
      </c>
      <c r="E49" s="4" t="s">
        <v>504</v>
      </c>
      <c r="F49" s="4" t="s">
        <v>505</v>
      </c>
      <c r="G49" s="4" t="s">
        <v>506</v>
      </c>
      <c r="H49" s="4" t="s">
        <v>507</v>
      </c>
      <c r="I49" s="4" t="s">
        <v>405</v>
      </c>
      <c r="J49" s="4" t="s">
        <v>508</v>
      </c>
      <c r="K49" s="4" t="s">
        <v>509</v>
      </c>
      <c r="L49" s="4" t="s">
        <v>509</v>
      </c>
      <c r="M49" s="4" t="s">
        <v>509</v>
      </c>
      <c r="N49" s="4" t="s">
        <v>509</v>
      </c>
      <c r="O49" s="4" t="s">
        <v>27</v>
      </c>
      <c r="P49" s="4" t="s">
        <v>509</v>
      </c>
      <c r="Q49" s="6" t="n">
        <v>6</v>
      </c>
      <c r="R49" s="4" t="s">
        <v>510</v>
      </c>
      <c r="S49" s="4" t="s">
        <v>511</v>
      </c>
      <c r="T49" s="4" t="s">
        <v>512</v>
      </c>
      <c r="U49" s="4" t="s">
        <v>513</v>
      </c>
      <c r="V49" s="4" t="s">
        <v>400</v>
      </c>
      <c r="W49" s="5" t="str">
        <f aca="false">IF(OR(ISNUMBER(SEARCH("gesha",G49)),ISNUMBER(SEARCH("geisha",G49))),"⭐ GESHA","")</f>
        <v/>
      </c>
      <c r="X49" s="4" t="s">
        <v>514</v>
      </c>
    </row>
    <row r="50" customFormat="false" ht="49.5" hidden="false" customHeight="true" outlineLevel="0" collapsed="false">
      <c r="A50" s="3" t="n">
        <v>46204</v>
      </c>
      <c r="B50" s="4" t="s">
        <v>52</v>
      </c>
      <c r="C50" s="4" t="s">
        <v>53</v>
      </c>
      <c r="D50" s="4" t="s">
        <v>515</v>
      </c>
      <c r="E50" s="4" t="s">
        <v>516</v>
      </c>
      <c r="F50" s="4" t="s">
        <v>517</v>
      </c>
      <c r="G50" s="4" t="s">
        <v>518</v>
      </c>
      <c r="H50" s="4" t="s">
        <v>58</v>
      </c>
      <c r="I50" s="4" t="s">
        <v>30</v>
      </c>
      <c r="J50" s="4" t="s">
        <v>519</v>
      </c>
      <c r="K50" s="4" t="n">
        <v>16</v>
      </c>
      <c r="L50" s="4" t="n">
        <v>240</v>
      </c>
      <c r="M50" s="4" t="s">
        <v>156</v>
      </c>
      <c r="N50" s="4" t="s">
        <v>520</v>
      </c>
      <c r="O50" s="4" t="s">
        <v>521</v>
      </c>
      <c r="P50" s="4" t="s">
        <v>522</v>
      </c>
      <c r="Q50" s="6" t="n">
        <v>9</v>
      </c>
      <c r="R50" s="4" t="s">
        <v>523</v>
      </c>
      <c r="S50" s="4" t="s">
        <v>524</v>
      </c>
      <c r="T50" s="4" t="s">
        <v>525</v>
      </c>
      <c r="U50" s="4" t="s">
        <v>526</v>
      </c>
      <c r="V50" s="4" t="s">
        <v>527</v>
      </c>
      <c r="W50" s="5" t="str">
        <f aca="false">IF(OR(ISNUMBER(SEARCH("gesha",G50)),ISNUMBER(SEARCH("geisha",G50))),"⭐ GESHA","")</f>
        <v/>
      </c>
      <c r="X50" s="4" t="s">
        <v>68</v>
      </c>
    </row>
    <row r="51" customFormat="false" ht="117.75" hidden="false" customHeight="true" outlineLevel="0" collapsed="false">
      <c r="A51" s="3" t="n">
        <v>46206</v>
      </c>
      <c r="B51" s="4" t="s">
        <v>52</v>
      </c>
      <c r="C51" s="4" t="s">
        <v>370</v>
      </c>
      <c r="D51" s="4" t="s">
        <v>528</v>
      </c>
      <c r="E51" s="4" t="s">
        <v>529</v>
      </c>
      <c r="F51" s="4" t="s">
        <v>118</v>
      </c>
      <c r="G51" s="4" t="s">
        <v>530</v>
      </c>
      <c r="H51" s="4" t="s">
        <v>58</v>
      </c>
      <c r="I51" s="4" t="s">
        <v>146</v>
      </c>
      <c r="J51" s="4" t="s">
        <v>531</v>
      </c>
      <c r="K51" s="4" t="n">
        <v>15</v>
      </c>
      <c r="L51" s="4" t="n">
        <v>240</v>
      </c>
      <c r="M51" s="4" t="s">
        <v>60</v>
      </c>
      <c r="N51" s="4" t="s">
        <v>532</v>
      </c>
      <c r="O51" s="4" t="s">
        <v>533</v>
      </c>
      <c r="P51" s="4" t="s">
        <v>534</v>
      </c>
      <c r="Q51" s="6" t="n">
        <v>9</v>
      </c>
      <c r="R51" s="4" t="s">
        <v>535</v>
      </c>
      <c r="S51" s="4" t="s">
        <v>536</v>
      </c>
      <c r="T51" s="4" t="s">
        <v>537</v>
      </c>
      <c r="U51" s="4" t="s">
        <v>538</v>
      </c>
      <c r="V51" s="4" t="s">
        <v>539</v>
      </c>
      <c r="W51" s="5" t="str">
        <f aca="false">IF(OR(ISNUMBER(SEARCH("gesha",G51)),ISNUMBER(SEARCH("geisha",G51))),"⭐ GESHA","")</f>
        <v/>
      </c>
      <c r="X51" s="4" t="s">
        <v>383</v>
      </c>
    </row>
    <row r="52" customFormat="false" ht="88.5" hidden="false" customHeight="true" outlineLevel="0" collapsed="false">
      <c r="A52" s="3" t="n">
        <v>46207</v>
      </c>
      <c r="B52" s="4" t="s">
        <v>52</v>
      </c>
      <c r="C52" s="4" t="s">
        <v>540</v>
      </c>
      <c r="D52" s="4" t="s">
        <v>541</v>
      </c>
      <c r="E52" s="4" t="s">
        <v>542</v>
      </c>
      <c r="F52" s="4" t="s">
        <v>543</v>
      </c>
      <c r="G52" s="4" t="s">
        <v>91</v>
      </c>
      <c r="H52" s="4" t="s">
        <v>544</v>
      </c>
      <c r="I52" s="4" t="s">
        <v>146</v>
      </c>
      <c r="J52" s="4" t="s">
        <v>545</v>
      </c>
      <c r="K52" s="4" t="n">
        <v>15</v>
      </c>
      <c r="L52" s="4" t="n">
        <v>240</v>
      </c>
      <c r="M52" s="4" t="s">
        <v>60</v>
      </c>
      <c r="N52" s="4" t="s">
        <v>546</v>
      </c>
      <c r="O52" s="4" t="s">
        <v>547</v>
      </c>
      <c r="P52" s="4" t="s">
        <v>548</v>
      </c>
      <c r="Q52" s="6" t="n">
        <v>9</v>
      </c>
      <c r="R52" s="4" t="s">
        <v>549</v>
      </c>
      <c r="S52" s="4" t="s">
        <v>550</v>
      </c>
      <c r="T52" s="4" t="s">
        <v>551</v>
      </c>
      <c r="U52" s="4" t="s">
        <v>552</v>
      </c>
      <c r="V52" s="4" t="s">
        <v>553</v>
      </c>
      <c r="W52" s="5" t="str">
        <f aca="false">IF(OR(ISNUMBER(SEARCH("gesha",G52)),ISNUMBER(SEARCH("geisha",G52))),"⭐ GESHA","")</f>
        <v/>
      </c>
      <c r="X52" s="4" t="s">
        <v>554</v>
      </c>
    </row>
    <row r="53" customFormat="false" ht="117.75" hidden="false" customHeight="true" outlineLevel="0" collapsed="false">
      <c r="A53" s="3" t="n">
        <v>46208</v>
      </c>
      <c r="B53" s="4" t="s">
        <v>52</v>
      </c>
      <c r="C53" s="4" t="s">
        <v>555</v>
      </c>
      <c r="D53" s="4" t="s">
        <v>556</v>
      </c>
      <c r="E53" s="4" t="s">
        <v>557</v>
      </c>
      <c r="F53" s="4" t="s">
        <v>558</v>
      </c>
      <c r="G53" s="4" t="s">
        <v>171</v>
      </c>
      <c r="H53" s="4" t="s">
        <v>29</v>
      </c>
      <c r="I53" s="4" t="s">
        <v>30</v>
      </c>
      <c r="J53" s="4" t="s">
        <v>559</v>
      </c>
      <c r="K53" s="4" t="n">
        <v>15</v>
      </c>
      <c r="L53" s="4" t="n">
        <v>247</v>
      </c>
      <c r="M53" s="4" t="s">
        <v>474</v>
      </c>
      <c r="N53" s="4" t="s">
        <v>560</v>
      </c>
      <c r="O53" s="4" t="s">
        <v>27</v>
      </c>
      <c r="P53" s="4" t="s">
        <v>307</v>
      </c>
      <c r="Q53" s="6" t="n">
        <v>19</v>
      </c>
      <c r="R53" s="4" t="s">
        <v>561</v>
      </c>
      <c r="S53" s="4" t="s">
        <v>562</v>
      </c>
      <c r="T53" s="4" t="s">
        <v>563</v>
      </c>
      <c r="U53" s="4" t="s">
        <v>564</v>
      </c>
      <c r="V53" s="4" t="s">
        <v>565</v>
      </c>
      <c r="W53" s="5" t="str">
        <f aca="false">IF(OR(ISNUMBER(SEARCH("gesha",G53)),ISNUMBER(SEARCH("geisha",G53))),"⭐ GESHA","")</f>
        <v>⭐ GESHA</v>
      </c>
      <c r="X53" s="4" t="s">
        <v>566</v>
      </c>
    </row>
    <row r="54" customFormat="false" ht="88.5" hidden="false" customHeight="true" outlineLevel="0" collapsed="false">
      <c r="A54" s="3" t="n">
        <v>46208</v>
      </c>
      <c r="B54" s="4" t="s">
        <v>52</v>
      </c>
      <c r="C54" s="4" t="s">
        <v>555</v>
      </c>
      <c r="D54" s="4" t="s">
        <v>567</v>
      </c>
      <c r="E54" s="4" t="s">
        <v>542</v>
      </c>
      <c r="F54" s="4" t="s">
        <v>568</v>
      </c>
      <c r="G54" s="4" t="s">
        <v>569</v>
      </c>
      <c r="H54" s="4" t="s">
        <v>58</v>
      </c>
      <c r="I54" s="4" t="s">
        <v>30</v>
      </c>
      <c r="J54" s="4" t="s">
        <v>559</v>
      </c>
      <c r="K54" s="4" t="n">
        <v>15</v>
      </c>
      <c r="L54" s="4" t="n">
        <v>244</v>
      </c>
      <c r="M54" s="4" t="s">
        <v>570</v>
      </c>
      <c r="N54" s="4" t="s">
        <v>571</v>
      </c>
      <c r="O54" s="4" t="s">
        <v>27</v>
      </c>
      <c r="P54" s="4" t="s">
        <v>307</v>
      </c>
      <c r="Q54" s="6" t="n">
        <v>10</v>
      </c>
      <c r="R54" s="4" t="s">
        <v>572</v>
      </c>
      <c r="S54" s="4" t="s">
        <v>573</v>
      </c>
      <c r="T54" s="4" t="s">
        <v>574</v>
      </c>
      <c r="U54" s="4" t="s">
        <v>575</v>
      </c>
      <c r="V54" s="4" t="s">
        <v>576</v>
      </c>
      <c r="W54" s="5" t="str">
        <f aca="false">IF(OR(ISNUMBER(SEARCH("gesha",G54)),ISNUMBER(SEARCH("geisha",G54))),"⭐ GESHA","")</f>
        <v/>
      </c>
      <c r="X54" s="4" t="s">
        <v>566</v>
      </c>
    </row>
    <row r="55" customFormat="false" ht="88.5" hidden="false" customHeight="true" outlineLevel="0" collapsed="false">
      <c r="A55" s="3" t="n">
        <v>46208</v>
      </c>
      <c r="B55" s="4" t="s">
        <v>52</v>
      </c>
      <c r="C55" s="4" t="s">
        <v>577</v>
      </c>
      <c r="D55" s="4" t="s">
        <v>578</v>
      </c>
      <c r="E55" s="4" t="s">
        <v>27</v>
      </c>
      <c r="F55" s="4" t="s">
        <v>579</v>
      </c>
      <c r="G55" s="4" t="s">
        <v>196</v>
      </c>
      <c r="H55" s="4" t="s">
        <v>29</v>
      </c>
      <c r="I55" s="4" t="s">
        <v>41</v>
      </c>
      <c r="J55" s="4" t="s">
        <v>580</v>
      </c>
      <c r="K55" s="4" t="n">
        <v>15</v>
      </c>
      <c r="L55" s="4" t="n">
        <v>225</v>
      </c>
      <c r="M55" s="4" t="s">
        <v>156</v>
      </c>
      <c r="N55" s="4" t="s">
        <v>325</v>
      </c>
      <c r="O55" s="4" t="s">
        <v>27</v>
      </c>
      <c r="P55" s="4" t="s">
        <v>581</v>
      </c>
      <c r="Q55" s="6" t="n">
        <v>9.9</v>
      </c>
      <c r="R55" s="4" t="s">
        <v>582</v>
      </c>
      <c r="S55" s="4" t="s">
        <v>583</v>
      </c>
      <c r="T55" s="4" t="s">
        <v>584</v>
      </c>
      <c r="U55" s="4" t="s">
        <v>585</v>
      </c>
      <c r="V55" s="4" t="s">
        <v>586</v>
      </c>
      <c r="W55" s="5" t="str">
        <f aca="false">IF(OR(ISNUMBER(SEARCH("gesha",G55)),ISNUMBER(SEARCH("geisha",G55))),"⭐ GESHA","")</f>
        <v>⭐ GESHA</v>
      </c>
      <c r="X55" s="4" t="s">
        <v>587</v>
      </c>
    </row>
    <row r="56" customFormat="false" ht="108" hidden="false" customHeight="true" outlineLevel="0" collapsed="false">
      <c r="A56" s="3" t="n">
        <v>46209</v>
      </c>
      <c r="B56" s="4" t="s">
        <v>52</v>
      </c>
      <c r="C56" s="4" t="s">
        <v>322</v>
      </c>
      <c r="D56" s="4" t="s">
        <v>588</v>
      </c>
      <c r="E56" s="4" t="s">
        <v>589</v>
      </c>
      <c r="F56" s="4" t="s">
        <v>266</v>
      </c>
      <c r="G56" s="4" t="s">
        <v>590</v>
      </c>
      <c r="H56" s="4" t="s">
        <v>272</v>
      </c>
      <c r="I56" s="4" t="s">
        <v>30</v>
      </c>
      <c r="J56" s="4" t="s">
        <v>591</v>
      </c>
      <c r="K56" s="4" t="n">
        <v>15</v>
      </c>
      <c r="L56" s="4" t="n">
        <v>225</v>
      </c>
      <c r="M56" s="4" t="s">
        <v>156</v>
      </c>
      <c r="N56" s="4" t="s">
        <v>592</v>
      </c>
      <c r="O56" s="4" t="s">
        <v>27</v>
      </c>
      <c r="P56" s="4" t="s">
        <v>593</v>
      </c>
      <c r="Q56" s="6" t="n">
        <v>11</v>
      </c>
      <c r="R56" s="4" t="s">
        <v>594</v>
      </c>
      <c r="S56" s="4" t="s">
        <v>595</v>
      </c>
      <c r="T56" s="4" t="s">
        <v>596</v>
      </c>
      <c r="U56" s="4" t="s">
        <v>597</v>
      </c>
      <c r="V56" s="4" t="s">
        <v>598</v>
      </c>
      <c r="W56" s="5" t="str">
        <f aca="false">IF(OR(ISNUMBER(SEARCH("gesha",G56)),ISNUMBER(SEARCH("geisha",G56))),"⭐ GESHA","")</f>
        <v/>
      </c>
      <c r="X56" s="4" t="s">
        <v>331</v>
      </c>
    </row>
    <row r="57" customFormat="false" ht="108" hidden="false" customHeight="true" outlineLevel="0" collapsed="false">
      <c r="A57" s="3" t="n">
        <v>46209</v>
      </c>
      <c r="B57" s="4" t="s">
        <v>52</v>
      </c>
      <c r="C57" s="4" t="s">
        <v>322</v>
      </c>
      <c r="D57" s="4" t="s">
        <v>599</v>
      </c>
      <c r="E57" s="4" t="s">
        <v>600</v>
      </c>
      <c r="F57" s="4" t="s">
        <v>266</v>
      </c>
      <c r="G57" s="4" t="s">
        <v>601</v>
      </c>
      <c r="H57" s="4" t="s">
        <v>602</v>
      </c>
      <c r="I57" s="4" t="s">
        <v>30</v>
      </c>
      <c r="J57" s="4" t="s">
        <v>591</v>
      </c>
      <c r="K57" s="4" t="n">
        <v>15</v>
      </c>
      <c r="L57" s="4" t="n">
        <v>225</v>
      </c>
      <c r="M57" s="4" t="s">
        <v>156</v>
      </c>
      <c r="N57" s="4" t="s">
        <v>592</v>
      </c>
      <c r="O57" s="4" t="s">
        <v>27</v>
      </c>
      <c r="P57" s="4" t="s">
        <v>593</v>
      </c>
      <c r="Q57" s="6" t="n">
        <v>9</v>
      </c>
      <c r="R57" s="4" t="s">
        <v>603</v>
      </c>
      <c r="S57" s="4" t="s">
        <v>604</v>
      </c>
      <c r="T57" s="4" t="s">
        <v>605</v>
      </c>
      <c r="U57" s="4" t="s">
        <v>606</v>
      </c>
      <c r="V57" s="4" t="s">
        <v>598</v>
      </c>
      <c r="W57" s="5" t="str">
        <f aca="false">IF(OR(ISNUMBER(SEARCH("gesha",G57)),ISNUMBER(SEARCH("geisha",G57))),"⭐ GESHA","")</f>
        <v/>
      </c>
      <c r="X57" s="4" t="s">
        <v>331</v>
      </c>
    </row>
    <row r="58" customFormat="false" ht="78.75" hidden="false" customHeight="true" outlineLevel="0" collapsed="false">
      <c r="A58" s="3" t="n">
        <v>46210</v>
      </c>
      <c r="B58" s="4" t="s">
        <v>52</v>
      </c>
      <c r="C58" s="4" t="s">
        <v>607</v>
      </c>
      <c r="D58" s="4" t="s">
        <v>608</v>
      </c>
      <c r="E58" s="4" t="s">
        <v>609</v>
      </c>
      <c r="F58" s="4" t="s">
        <v>610</v>
      </c>
      <c r="G58" s="4" t="s">
        <v>171</v>
      </c>
      <c r="H58" s="4" t="s">
        <v>404</v>
      </c>
      <c r="I58" s="4" t="s">
        <v>30</v>
      </c>
      <c r="J58" s="4" t="s">
        <v>611</v>
      </c>
      <c r="K58" s="4" t="n">
        <v>13.5</v>
      </c>
      <c r="L58" s="4" t="n">
        <v>200</v>
      </c>
      <c r="M58" s="4" t="s">
        <v>612</v>
      </c>
      <c r="N58" s="4" t="s">
        <v>613</v>
      </c>
      <c r="O58" s="4" t="s">
        <v>614</v>
      </c>
      <c r="P58" s="4" t="s">
        <v>615</v>
      </c>
      <c r="Q58" s="6" t="n">
        <v>15</v>
      </c>
      <c r="R58" s="4" t="s">
        <v>616</v>
      </c>
      <c r="S58" s="4" t="s">
        <v>617</v>
      </c>
      <c r="T58" s="4" t="s">
        <v>618</v>
      </c>
      <c r="U58" s="4" t="s">
        <v>619</v>
      </c>
      <c r="V58" s="4" t="s">
        <v>620</v>
      </c>
      <c r="W58" s="5" t="str">
        <f aca="false">IF(OR(ISNUMBER(SEARCH("gesha",G58)),ISNUMBER(SEARCH("geisha",G58))),"⭐ GESHA","")</f>
        <v>⭐ GESHA</v>
      </c>
      <c r="X58" s="4" t="s">
        <v>621</v>
      </c>
    </row>
    <row r="59" customFormat="false" ht="127.5" hidden="false" customHeight="true" outlineLevel="0" collapsed="false">
      <c r="A59" s="3" t="n">
        <v>46211</v>
      </c>
      <c r="B59" s="4" t="s">
        <v>52</v>
      </c>
      <c r="C59" s="4" t="s">
        <v>622</v>
      </c>
      <c r="D59" s="4" t="s">
        <v>623</v>
      </c>
      <c r="E59" s="4" t="s">
        <v>624</v>
      </c>
      <c r="F59" s="4" t="s">
        <v>625</v>
      </c>
      <c r="G59" s="4" t="s">
        <v>171</v>
      </c>
      <c r="H59" s="4" t="s">
        <v>29</v>
      </c>
      <c r="I59" s="4" t="s">
        <v>27</v>
      </c>
      <c r="J59" s="4" t="s">
        <v>626</v>
      </c>
      <c r="K59" s="4" t="n">
        <v>13.5</v>
      </c>
      <c r="L59" s="4" t="n">
        <v>180</v>
      </c>
      <c r="M59" s="4" t="s">
        <v>627</v>
      </c>
      <c r="N59" s="4" t="s">
        <v>628</v>
      </c>
      <c r="O59" s="4" t="s">
        <v>629</v>
      </c>
      <c r="P59" s="4" t="s">
        <v>630</v>
      </c>
      <c r="Q59" s="6" t="n">
        <v>16</v>
      </c>
      <c r="R59" s="4" t="s">
        <v>631</v>
      </c>
      <c r="S59" s="4" t="s">
        <v>632</v>
      </c>
      <c r="T59" s="4" t="s">
        <v>633</v>
      </c>
      <c r="U59" s="4" t="s">
        <v>634</v>
      </c>
      <c r="V59" s="4" t="s">
        <v>635</v>
      </c>
      <c r="W59" s="5" t="str">
        <f aca="false">IF(OR(ISNUMBER(SEARCH("gesha",G59)),ISNUMBER(SEARCH("geisha",G59))),"⭐ GESHA","")</f>
        <v>⭐ GESHA</v>
      </c>
      <c r="X59" s="4" t="s">
        <v>636</v>
      </c>
    </row>
    <row r="60" customFormat="false" ht="59.25" hidden="false" customHeight="true" outlineLevel="0" collapsed="false">
      <c r="A60" s="3" t="n">
        <v>46211</v>
      </c>
      <c r="B60" s="4" t="s">
        <v>52</v>
      </c>
      <c r="C60" s="4" t="s">
        <v>251</v>
      </c>
      <c r="D60" s="4" t="s">
        <v>637</v>
      </c>
      <c r="E60" s="4" t="s">
        <v>638</v>
      </c>
      <c r="F60" s="4" t="s">
        <v>639</v>
      </c>
      <c r="G60" s="4" t="s">
        <v>640</v>
      </c>
      <c r="H60" s="4" t="s">
        <v>29</v>
      </c>
      <c r="I60" s="4" t="s">
        <v>146</v>
      </c>
      <c r="J60" s="4" t="s">
        <v>255</v>
      </c>
      <c r="K60" s="4" t="s">
        <v>27</v>
      </c>
      <c r="L60" s="4" t="s">
        <v>27</v>
      </c>
      <c r="M60" s="4" t="s">
        <v>120</v>
      </c>
      <c r="N60" s="4" t="s">
        <v>61</v>
      </c>
      <c r="O60" s="4" t="s">
        <v>27</v>
      </c>
      <c r="P60" s="4" t="s">
        <v>387</v>
      </c>
      <c r="Q60" s="6" t="n">
        <v>8.5</v>
      </c>
      <c r="R60" s="4" t="s">
        <v>641</v>
      </c>
      <c r="S60" s="4" t="s">
        <v>642</v>
      </c>
      <c r="T60" s="4" t="s">
        <v>643</v>
      </c>
      <c r="U60" s="4" t="s">
        <v>644</v>
      </c>
      <c r="V60" s="4" t="s">
        <v>645</v>
      </c>
      <c r="W60" s="5" t="str">
        <f aca="false">IF(OR(ISNUMBER(SEARCH("gesha",G60)),ISNUMBER(SEARCH("geisha",G60))),"⭐ GESHA","")</f>
        <v/>
      </c>
      <c r="X60" s="4" t="s">
        <v>259</v>
      </c>
    </row>
    <row r="61" customFormat="false" ht="175.5" hidden="false" customHeight="true" outlineLevel="0" collapsed="false">
      <c r="A61" s="3" t="n">
        <v>46212</v>
      </c>
      <c r="B61" s="4" t="s">
        <v>52</v>
      </c>
      <c r="C61" s="4" t="s">
        <v>646</v>
      </c>
      <c r="D61" s="4" t="s">
        <v>647</v>
      </c>
      <c r="E61" s="4" t="s">
        <v>648</v>
      </c>
      <c r="F61" s="4" t="s">
        <v>118</v>
      </c>
      <c r="G61" s="4" t="s">
        <v>171</v>
      </c>
      <c r="H61" s="4" t="s">
        <v>58</v>
      </c>
      <c r="I61" s="4" t="s">
        <v>30</v>
      </c>
      <c r="J61" s="4" t="s">
        <v>649</v>
      </c>
      <c r="K61" s="4" t="n">
        <v>15</v>
      </c>
      <c r="L61" s="4" t="n">
        <v>232</v>
      </c>
      <c r="M61" s="4" t="s">
        <v>650</v>
      </c>
      <c r="N61" s="4" t="s">
        <v>651</v>
      </c>
      <c r="O61" s="4" t="s">
        <v>652</v>
      </c>
      <c r="P61" s="4" t="s">
        <v>326</v>
      </c>
      <c r="Q61" s="6" t="n">
        <v>21</v>
      </c>
      <c r="R61" s="4" t="s">
        <v>653</v>
      </c>
      <c r="S61" s="4" t="s">
        <v>654</v>
      </c>
      <c r="T61" s="4" t="s">
        <v>655</v>
      </c>
      <c r="U61" s="4" t="s">
        <v>656</v>
      </c>
      <c r="V61" s="4" t="s">
        <v>657</v>
      </c>
      <c r="W61" s="5" t="str">
        <f aca="false">IF(OR(ISNUMBER(SEARCH("gesha",G61)),ISNUMBER(SEARCH("geisha",G61))),"⭐ GESHA","")</f>
        <v>⭐ GESHA</v>
      </c>
      <c r="X61" s="4" t="s">
        <v>658</v>
      </c>
    </row>
    <row r="62" customFormat="false" ht="59.25" hidden="false" customHeight="true" outlineLevel="0" collapsed="false">
      <c r="A62" s="3" t="n">
        <v>46213</v>
      </c>
      <c r="B62" s="4" t="s">
        <v>52</v>
      </c>
      <c r="C62" s="4" t="s">
        <v>540</v>
      </c>
      <c r="D62" s="4" t="s">
        <v>659</v>
      </c>
      <c r="E62" s="4" t="s">
        <v>660</v>
      </c>
      <c r="F62" s="4" t="s">
        <v>118</v>
      </c>
      <c r="G62" s="4" t="s">
        <v>661</v>
      </c>
      <c r="H62" s="4" t="s">
        <v>662</v>
      </c>
      <c r="I62" s="4" t="s">
        <v>146</v>
      </c>
      <c r="J62" s="4" t="s">
        <v>545</v>
      </c>
      <c r="K62" s="4" t="s">
        <v>27</v>
      </c>
      <c r="L62" s="4" t="s">
        <v>27</v>
      </c>
      <c r="M62" s="4" t="s">
        <v>27</v>
      </c>
      <c r="N62" s="4" t="s">
        <v>27</v>
      </c>
      <c r="O62" s="4" t="s">
        <v>27</v>
      </c>
      <c r="P62" s="4" t="s">
        <v>663</v>
      </c>
      <c r="Q62" s="6" t="n">
        <v>9</v>
      </c>
      <c r="R62" s="4" t="s">
        <v>664</v>
      </c>
      <c r="S62" s="4" t="s">
        <v>665</v>
      </c>
      <c r="T62" s="4" t="s">
        <v>666</v>
      </c>
      <c r="U62" s="4" t="s">
        <v>667</v>
      </c>
      <c r="V62" s="4" t="s">
        <v>400</v>
      </c>
      <c r="W62" s="5" t="str">
        <f aca="false">IF(OR(ISNUMBER(SEARCH("gesha",G62)),ISNUMBER(SEARCH("geisha",G62))),"⭐ GESHA","")</f>
        <v/>
      </c>
      <c r="X62" s="4" t="s">
        <v>554</v>
      </c>
    </row>
    <row r="63" customFormat="false" ht="175.5" hidden="false" customHeight="true" outlineLevel="0" collapsed="false">
      <c r="A63" s="8" t="n">
        <v>46214</v>
      </c>
      <c r="B63" s="9" t="s">
        <v>52</v>
      </c>
      <c r="C63" s="9" t="s">
        <v>668</v>
      </c>
      <c r="D63" s="9" t="s">
        <v>669</v>
      </c>
      <c r="E63" s="9" t="s">
        <v>670</v>
      </c>
      <c r="F63" s="9" t="s">
        <v>671</v>
      </c>
      <c r="G63" s="9" t="s">
        <v>196</v>
      </c>
      <c r="H63" s="9" t="s">
        <v>74</v>
      </c>
      <c r="I63" s="9" t="s">
        <v>146</v>
      </c>
      <c r="J63" s="9" t="s">
        <v>672</v>
      </c>
      <c r="K63" s="9" t="n">
        <v>15</v>
      </c>
      <c r="L63" s="9" t="n">
        <v>225</v>
      </c>
      <c r="M63" s="9" t="s">
        <v>156</v>
      </c>
      <c r="N63" s="9" t="s">
        <v>673</v>
      </c>
      <c r="O63" s="9" t="s">
        <v>27</v>
      </c>
      <c r="P63" s="9" t="s">
        <v>282</v>
      </c>
      <c r="Q63" s="9" t="n">
        <v>10</v>
      </c>
      <c r="R63" s="9" t="s">
        <v>674</v>
      </c>
      <c r="S63" s="9" t="s">
        <v>675</v>
      </c>
      <c r="T63" s="9" t="s">
        <v>676</v>
      </c>
      <c r="U63" s="9" t="s">
        <v>677</v>
      </c>
      <c r="V63" s="9" t="s">
        <v>678</v>
      </c>
      <c r="W63" s="10" t="str">
        <f aca="false">IF(OR(ISNUMBER(SEARCH("gesha",G63)),ISNUMBER(SEARCH("geisha",G63))),"⭐ GESHA","")</f>
        <v>⭐ GESHA</v>
      </c>
      <c r="X63" s="9" t="s">
        <v>679</v>
      </c>
    </row>
    <row r="64" customFormat="false" ht="129.75" hidden="false" customHeight="true" outlineLevel="0" collapsed="false">
      <c r="A64" s="11" t="s">
        <v>680</v>
      </c>
      <c r="B64" s="11" t="s">
        <v>52</v>
      </c>
      <c r="C64" s="11" t="s">
        <v>322</v>
      </c>
      <c r="D64" s="11" t="s">
        <v>681</v>
      </c>
      <c r="E64" s="11" t="s">
        <v>589</v>
      </c>
      <c r="F64" s="11" t="s">
        <v>266</v>
      </c>
      <c r="G64" s="11" t="s">
        <v>682</v>
      </c>
      <c r="H64" s="11" t="s">
        <v>58</v>
      </c>
      <c r="I64" s="11" t="s">
        <v>146</v>
      </c>
      <c r="J64" s="11" t="s">
        <v>591</v>
      </c>
      <c r="K64" s="11" t="s">
        <v>683</v>
      </c>
      <c r="L64" s="11" t="s">
        <v>684</v>
      </c>
      <c r="M64" s="11" t="s">
        <v>156</v>
      </c>
      <c r="N64" s="11" t="s">
        <v>685</v>
      </c>
      <c r="O64" s="11" t="s">
        <v>27</v>
      </c>
      <c r="P64" s="11" t="s">
        <v>686</v>
      </c>
      <c r="Q64" s="11" t="s">
        <v>687</v>
      </c>
      <c r="R64" s="11" t="s">
        <v>688</v>
      </c>
      <c r="S64" s="11" t="s">
        <v>689</v>
      </c>
      <c r="T64" s="11" t="s">
        <v>690</v>
      </c>
      <c r="U64" s="11" t="s">
        <v>691</v>
      </c>
      <c r="V64" s="11" t="s">
        <v>692</v>
      </c>
      <c r="W64" s="11" t="str">
        <f aca="false">IF(OR(ISNUMBER(SEARCH("gesha",G64)),ISNUMBER(SEARCH("geisha",G64))),"⭐ GESHA","")</f>
        <v/>
      </c>
      <c r="X64" s="11" t="s">
        <v>331</v>
      </c>
    </row>
    <row r="65" customFormat="false" ht="185.25" hidden="false" customHeight="true" outlineLevel="0" collapsed="false">
      <c r="A65" s="12" t="n">
        <v>46217</v>
      </c>
      <c r="B65" s="13" t="s">
        <v>52</v>
      </c>
      <c r="C65" s="13" t="s">
        <v>668</v>
      </c>
      <c r="D65" s="13" t="s">
        <v>693</v>
      </c>
      <c r="E65" s="13" t="s">
        <v>694</v>
      </c>
      <c r="F65" s="13" t="s">
        <v>695</v>
      </c>
      <c r="G65" s="13" t="s">
        <v>196</v>
      </c>
      <c r="H65" s="13" t="s">
        <v>58</v>
      </c>
      <c r="I65" s="13" t="s">
        <v>146</v>
      </c>
      <c r="J65" s="13" t="s">
        <v>696</v>
      </c>
      <c r="K65" s="13" t="n">
        <v>12.5</v>
      </c>
      <c r="L65" s="13" t="n">
        <v>190</v>
      </c>
      <c r="M65" s="13" t="s">
        <v>697</v>
      </c>
      <c r="N65" s="13" t="s">
        <v>698</v>
      </c>
      <c r="O65" s="13" t="s">
        <v>27</v>
      </c>
      <c r="P65" s="13" t="s">
        <v>307</v>
      </c>
      <c r="Q65" s="13" t="n">
        <v>60</v>
      </c>
      <c r="R65" s="13" t="s">
        <v>699</v>
      </c>
      <c r="S65" s="13" t="s">
        <v>700</v>
      </c>
      <c r="T65" s="13" t="s">
        <v>701</v>
      </c>
      <c r="U65" s="13" t="s">
        <v>702</v>
      </c>
      <c r="V65" s="13" t="s">
        <v>703</v>
      </c>
      <c r="W65" s="13" t="str">
        <f aca="false">IF(OR(ISNUMBER(SEARCH("gesha",G65)),ISNUMBER(SEARCH("geisha",G65))),"⭐ GESHA","")</f>
        <v>⭐ GESHA</v>
      </c>
      <c r="X65" s="13" t="s">
        <v>679</v>
      </c>
    </row>
    <row r="66" customFormat="false" ht="129.75" hidden="false" customHeight="true" outlineLevel="0" collapsed="false">
      <c r="A66" s="14" t="n">
        <v>46218</v>
      </c>
      <c r="B66" s="15" t="s">
        <v>52</v>
      </c>
      <c r="C66" s="15" t="s">
        <v>704</v>
      </c>
      <c r="D66" s="15" t="s">
        <v>705</v>
      </c>
      <c r="E66" s="15" t="s">
        <v>706</v>
      </c>
      <c r="F66" s="15" t="s">
        <v>170</v>
      </c>
      <c r="G66" s="15" t="s">
        <v>171</v>
      </c>
      <c r="H66" s="15" t="s">
        <v>58</v>
      </c>
      <c r="I66" s="15" t="s">
        <v>146</v>
      </c>
      <c r="J66" s="15" t="s">
        <v>707</v>
      </c>
      <c r="K66" s="15" t="n">
        <v>15</v>
      </c>
      <c r="L66" s="15" t="n">
        <v>210</v>
      </c>
      <c r="M66" s="15" t="s">
        <v>245</v>
      </c>
      <c r="N66" s="15" t="s">
        <v>708</v>
      </c>
      <c r="O66" s="15" t="s">
        <v>709</v>
      </c>
      <c r="P66" s="15" t="s">
        <v>307</v>
      </c>
      <c r="Q66" s="15" t="n">
        <v>12</v>
      </c>
      <c r="R66" s="15" t="s">
        <v>710</v>
      </c>
      <c r="S66" s="15" t="s">
        <v>711</v>
      </c>
      <c r="T66" s="15" t="s">
        <v>712</v>
      </c>
      <c r="U66" s="15" t="s">
        <v>713</v>
      </c>
      <c r="V66" s="15" t="s">
        <v>714</v>
      </c>
      <c r="W66" s="15" t="str">
        <f aca="false">IF(OR(ISNUMBER(SEARCH("gesha",G66)),ISNUMBER(SEARCH("geisha",G66))),"⭐ GESHA","")</f>
        <v>⭐ GESHA</v>
      </c>
      <c r="X66" s="15" t="s">
        <v>442</v>
      </c>
    </row>
  </sheetData>
  <conditionalFormatting sqref="A2:W2000">
    <cfRule type="expression" priority="2" aboveAverage="0" equalAverage="0" bottom="0" percent="0" rank="0" text="" dxfId="0">
      <formula>AND($A2&lt;&gt;"",OR(ISNUMBER(SEARCH("gesha",$G2)),ISNUMBER(SEARCH("geisha",$G2))))</formula>
    </cfRule>
    <cfRule type="expression" priority="3" aboveAverage="0" equalAverage="0" bottom="0" percent="0" rank="0" text="" dxfId="1">
      <formula>AND($A2&lt;&gt;"",MOD(ROW(),2)=0)</formula>
    </cfRule>
    <cfRule type="expression" priority="4" aboveAverage="0" equalAverage="0" bottom="0" percent="0" rank="0" text="" dxfId="2">
      <formula>AND($A2&lt;&gt;"",MOD(ROW(),2)=1)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902A"/>
    <pageSetUpPr fitToPage="false"/>
  </sheetPr>
  <dimension ref="B1:M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4"/>
    <col collapsed="false" customWidth="true" hidden="false" outlineLevel="0" max="3" min="3" style="1" width="22"/>
    <col collapsed="false" customWidth="true" hidden="false" outlineLevel="0" max="4" min="4" style="1" width="7"/>
    <col collapsed="false" customWidth="true" hidden="false" outlineLevel="0" max="6" min="5" style="1" width="9"/>
    <col collapsed="false" customWidth="true" hidden="false" outlineLevel="0" max="7" min="7" style="1" width="34"/>
    <col collapsed="false" customWidth="true" hidden="false" outlineLevel="0" max="8" min="8" style="1" width="28"/>
    <col collapsed="false" customWidth="true" hidden="false" outlineLevel="0" max="10" min="9" style="1" width="10"/>
    <col collapsed="false" customWidth="true" hidden="false" outlineLevel="0" max="11" min="11" style="1" width="42"/>
    <col collapsed="false" customWidth="true" hidden="false" outlineLevel="0" max="13" min="12" style="1" width="10"/>
  </cols>
  <sheetData>
    <row r="1" customFormat="false" ht="27.75" hidden="false" customHeight="true" outlineLevel="0" collapsed="false">
      <c r="B1" s="16" t="s">
        <v>715</v>
      </c>
      <c r="C1" s="16"/>
      <c r="D1" s="16"/>
      <c r="E1" s="16"/>
      <c r="F1" s="16"/>
      <c r="G1" s="16"/>
      <c r="H1" s="16"/>
      <c r="I1" s="16"/>
      <c r="J1" s="16"/>
      <c r="K1" s="16"/>
      <c r="L1" s="16"/>
      <c r="M1" s="16"/>
    </row>
    <row r="2" customFormat="false" ht="12.75" hidden="false" customHeight="true" outlineLevel="0" collapsed="false">
      <c r="B2" s="17" t="s">
        <v>716</v>
      </c>
      <c r="C2" s="17"/>
      <c r="D2" s="17"/>
      <c r="E2" s="17"/>
      <c r="F2" s="17"/>
      <c r="G2" s="17"/>
      <c r="H2" s="17"/>
      <c r="I2" s="17"/>
      <c r="J2" s="17"/>
      <c r="K2" s="17"/>
      <c r="L2" s="17"/>
      <c r="M2" s="17"/>
    </row>
    <row r="3" customFormat="false" ht="7.5" hidden="false" customHeight="true" outlineLevel="0" collapsed="false"/>
    <row r="4" customFormat="false" ht="15.75" hidden="false" customHeight="true" outlineLevel="0" collapsed="false">
      <c r="B4" s="18" t="s">
        <v>717</v>
      </c>
      <c r="C4" s="18"/>
      <c r="D4" s="18"/>
      <c r="E4" s="18"/>
      <c r="F4" s="18"/>
      <c r="G4" s="18"/>
      <c r="H4" s="18"/>
      <c r="I4" s="18"/>
      <c r="J4" s="18"/>
      <c r="K4" s="18"/>
      <c r="L4" s="18"/>
      <c r="M4" s="18"/>
    </row>
    <row r="5" customFormat="false" ht="4.5" hidden="false" customHeight="true" outlineLevel="0" collapsed="false"/>
    <row r="6" customFormat="false" ht="13.5" hidden="false" customHeight="true" outlineLevel="0" collapsed="false">
      <c r="B6" s="19" t="s">
        <v>718</v>
      </c>
      <c r="C6" s="19" t="s">
        <v>719</v>
      </c>
      <c r="D6" s="19" t="s">
        <v>720</v>
      </c>
      <c r="E6" s="19" t="s">
        <v>721</v>
      </c>
      <c r="F6" s="19" t="s">
        <v>722</v>
      </c>
      <c r="G6" s="19" t="s">
        <v>723</v>
      </c>
      <c r="H6" s="19" t="s">
        <v>724</v>
      </c>
      <c r="I6" s="19" t="s">
        <v>725</v>
      </c>
      <c r="J6" s="19" t="s">
        <v>726</v>
      </c>
    </row>
    <row r="7" customFormat="false" ht="30" hidden="false" customHeight="true" outlineLevel="0" collapsed="false">
      <c r="B7" s="20" t="n">
        <f aca="false">COUNTA('Coffee Audit'!A2:A2000)</f>
        <v>65</v>
      </c>
      <c r="C7" s="20" t="n">
        <f aca="false">SUMPRODUCT(('Coffee Audit'!C2:C2000&lt;&gt;"")/COUNTIF('Coffee Audit'!C2:C2000,'Coffee Audit'!C2:C2000&amp;""))</f>
        <v>35</v>
      </c>
      <c r="D7" s="20" t="n">
        <v>4</v>
      </c>
      <c r="E7" s="20" t="n">
        <v>18</v>
      </c>
      <c r="F7" s="20" t="n">
        <f aca="false">COUNTIF('Coffee Audit'!W2:W2000,"⭐ GESHA")</f>
        <v>15</v>
      </c>
      <c r="G7" s="20" t="n">
        <f aca="false">SUMPRODUCT(('Coffee Audit'!G2:G2000&lt;&gt;"")/COUNTIF('Coffee Audit'!G2:G2000,'Coffee Audit'!G2:G2000&amp;""))</f>
        <v>40</v>
      </c>
      <c r="H7" s="20" t="str">
        <f aca="false">IFERROR("S$"&amp;TEXT(AVERAGEIF('Coffee Audit'!Q2:Q2000,"&gt;0"),"0.00"),"—")</f>
        <v>S$11.93</v>
      </c>
      <c r="I7" s="20" t="str">
        <f aca="false">TEXT(MIN('Coffee Audit'!A2:A2000),"DD MMM YYYY")</f>
        <v>03 Jan 2026</v>
      </c>
      <c r="J7" s="20" t="str">
        <f aca="false">TEXT(MAX('Coffee Audit'!A2:A2000),"DD MMM YYYY")</f>
        <v>15 Jul 2026</v>
      </c>
    </row>
    <row r="8" customFormat="false" ht="12" hidden="false" customHeight="true" outlineLevel="0" collapsed="false">
      <c r="B8" s="21" t="s">
        <v>727</v>
      </c>
      <c r="C8" s="21" t="s">
        <v>728</v>
      </c>
      <c r="D8" s="21" t="s">
        <v>729</v>
      </c>
      <c r="E8" s="21" t="s">
        <v>730</v>
      </c>
      <c r="F8" s="21" t="s">
        <v>731</v>
      </c>
      <c r="G8" s="21" t="s">
        <v>732</v>
      </c>
      <c r="H8" s="21" t="s">
        <v>733</v>
      </c>
      <c r="I8" s="21" t="s">
        <v>734</v>
      </c>
      <c r="J8" s="21" t="s">
        <v>735</v>
      </c>
    </row>
    <row r="10" customFormat="false" ht="9.75" hidden="false" customHeight="true" outlineLevel="0" collapsed="false"/>
    <row r="11" customFormat="false" ht="15.75" hidden="false" customHeight="true" outlineLevel="0" collapsed="false">
      <c r="B11" s="18" t="s">
        <v>736</v>
      </c>
      <c r="C11" s="18"/>
      <c r="D11" s="18"/>
      <c r="E11" s="18"/>
      <c r="F11" s="18"/>
      <c r="G11" s="18"/>
      <c r="H11" s="18" t="s">
        <v>737</v>
      </c>
      <c r="I11" s="18"/>
      <c r="J11" s="18"/>
      <c r="K11" s="18"/>
      <c r="L11" s="18"/>
      <c r="M11" s="18"/>
    </row>
    <row r="12" customFormat="false" ht="15.75" hidden="false" customHeight="true" outlineLevel="0" collapsed="false">
      <c r="B12" s="22" t="s">
        <v>738</v>
      </c>
      <c r="C12" s="22" t="s">
        <v>739</v>
      </c>
      <c r="D12" s="22" t="s">
        <v>5</v>
      </c>
      <c r="E12" s="22" t="s">
        <v>7</v>
      </c>
      <c r="F12" s="22" t="s">
        <v>740</v>
      </c>
      <c r="H12" s="22" t="s">
        <v>739</v>
      </c>
      <c r="I12" s="22" t="s">
        <v>741</v>
      </c>
      <c r="J12" s="22" t="s">
        <v>742</v>
      </c>
      <c r="K12" s="22" t="s">
        <v>1</v>
      </c>
      <c r="L12" s="22" t="s">
        <v>743</v>
      </c>
    </row>
    <row r="13" customFormat="false" ht="12.75" hidden="false" customHeight="true" outlineLevel="0" collapsed="false">
      <c r="B13" s="23" t="n">
        <v>1</v>
      </c>
      <c r="C13" s="23" t="s">
        <v>167</v>
      </c>
      <c r="D13" s="23" t="s">
        <v>744</v>
      </c>
      <c r="E13" s="23" t="s">
        <v>58</v>
      </c>
      <c r="F13" s="23" t="s">
        <v>745</v>
      </c>
      <c r="H13" s="24" t="s">
        <v>251</v>
      </c>
      <c r="I13" s="23" t="n">
        <v>6</v>
      </c>
      <c r="J13" s="23" t="s">
        <v>746</v>
      </c>
      <c r="K13" s="23" t="s">
        <v>52</v>
      </c>
      <c r="L13" s="23" t="s">
        <v>747</v>
      </c>
    </row>
    <row r="14" customFormat="false" ht="12.75" hidden="false" customHeight="true" outlineLevel="0" collapsed="false">
      <c r="B14" s="25" t="n">
        <v>2</v>
      </c>
      <c r="C14" s="25" t="s">
        <v>192</v>
      </c>
      <c r="D14" s="25" t="s">
        <v>748</v>
      </c>
      <c r="E14" s="25" t="s">
        <v>197</v>
      </c>
      <c r="F14" s="25" t="s">
        <v>749</v>
      </c>
      <c r="H14" s="26" t="s">
        <v>167</v>
      </c>
      <c r="I14" s="25" t="n">
        <v>4</v>
      </c>
      <c r="J14" s="25" t="s">
        <v>750</v>
      </c>
      <c r="K14" s="25" t="s">
        <v>52</v>
      </c>
      <c r="L14" s="25" t="s">
        <v>751</v>
      </c>
    </row>
    <row r="15" customFormat="false" ht="12.75" hidden="false" customHeight="true" outlineLevel="0" collapsed="false">
      <c r="B15" s="23" t="n">
        <v>3</v>
      </c>
      <c r="C15" s="23" t="s">
        <v>167</v>
      </c>
      <c r="D15" s="23" t="s">
        <v>752</v>
      </c>
      <c r="E15" s="23" t="s">
        <v>58</v>
      </c>
      <c r="F15" s="23" t="s">
        <v>750</v>
      </c>
      <c r="H15" s="24" t="s">
        <v>322</v>
      </c>
      <c r="I15" s="23" t="n">
        <v>3</v>
      </c>
      <c r="J15" s="23" t="s">
        <v>753</v>
      </c>
      <c r="K15" s="23" t="s">
        <v>52</v>
      </c>
      <c r="L15" s="23" t="s">
        <v>754</v>
      </c>
    </row>
    <row r="16" customFormat="false" ht="12.75" hidden="false" customHeight="true" outlineLevel="0" collapsed="false">
      <c r="B16" s="25" t="n">
        <v>4</v>
      </c>
      <c r="C16" s="25" t="s">
        <v>322</v>
      </c>
      <c r="D16" s="25" t="s">
        <v>755</v>
      </c>
      <c r="E16" s="25" t="s">
        <v>58</v>
      </c>
      <c r="F16" s="25" t="s">
        <v>756</v>
      </c>
      <c r="H16" s="26" t="s">
        <v>25</v>
      </c>
      <c r="I16" s="25" t="n">
        <v>3</v>
      </c>
      <c r="J16" s="25" t="s">
        <v>757</v>
      </c>
      <c r="K16" s="25" t="s">
        <v>24</v>
      </c>
      <c r="L16" s="25" t="s">
        <v>758</v>
      </c>
    </row>
    <row r="17" customFormat="false" ht="12.75" hidden="false" customHeight="true" outlineLevel="0" collapsed="false">
      <c r="B17" s="23" t="n">
        <v>5</v>
      </c>
      <c r="C17" s="23" t="s">
        <v>332</v>
      </c>
      <c r="D17" s="23" t="s">
        <v>759</v>
      </c>
      <c r="E17" s="23" t="s">
        <v>58</v>
      </c>
      <c r="F17" s="23" t="s">
        <v>760</v>
      </c>
      <c r="H17" s="24" t="s">
        <v>53</v>
      </c>
      <c r="I17" s="23" t="n">
        <v>3</v>
      </c>
      <c r="J17" s="23" t="s">
        <v>761</v>
      </c>
      <c r="K17" s="23" t="s">
        <v>52</v>
      </c>
      <c r="L17" s="23"/>
    </row>
    <row r="18" customFormat="false" ht="12.75" hidden="false" customHeight="true" outlineLevel="0" collapsed="false">
      <c r="B18" s="25" t="n">
        <v>6</v>
      </c>
      <c r="C18" s="25" t="s">
        <v>762</v>
      </c>
      <c r="D18" s="25" t="s">
        <v>118</v>
      </c>
      <c r="E18" s="25" t="s">
        <v>404</v>
      </c>
      <c r="F18" s="25" t="s">
        <v>763</v>
      </c>
      <c r="H18" s="26" t="s">
        <v>132</v>
      </c>
      <c r="I18" s="25" t="n">
        <v>3</v>
      </c>
      <c r="J18" s="25" t="s">
        <v>757</v>
      </c>
      <c r="K18" s="25" t="s">
        <v>52</v>
      </c>
      <c r="L18" s="25"/>
    </row>
    <row r="19" customFormat="false" ht="12.75" hidden="false" customHeight="true" outlineLevel="0" collapsed="false">
      <c r="B19" s="23" t="n">
        <v>7</v>
      </c>
      <c r="C19" s="23" t="s">
        <v>431</v>
      </c>
      <c r="D19" s="23" t="s">
        <v>755</v>
      </c>
      <c r="E19" s="23" t="s">
        <v>58</v>
      </c>
      <c r="F19" s="23" t="s">
        <v>764</v>
      </c>
      <c r="H19" s="24" t="s">
        <v>370</v>
      </c>
      <c r="I19" s="23" t="n">
        <v>2</v>
      </c>
      <c r="J19" s="23" t="s">
        <v>765</v>
      </c>
      <c r="K19" s="23" t="s">
        <v>52</v>
      </c>
      <c r="L19" s="23" t="s">
        <v>766</v>
      </c>
    </row>
    <row r="20" customFormat="false" ht="12.75" hidden="false" customHeight="true" outlineLevel="0" collapsed="false">
      <c r="B20" s="25" t="n">
        <v>8</v>
      </c>
      <c r="C20" s="25" t="s">
        <v>555</v>
      </c>
      <c r="D20" s="25" t="s">
        <v>767</v>
      </c>
      <c r="E20" s="25" t="s">
        <v>29</v>
      </c>
      <c r="F20" s="25" t="s">
        <v>768</v>
      </c>
      <c r="H20" s="26" t="s">
        <v>555</v>
      </c>
      <c r="I20" s="25" t="n">
        <v>2</v>
      </c>
      <c r="J20" s="25" t="s">
        <v>769</v>
      </c>
      <c r="K20" s="25" t="s">
        <v>52</v>
      </c>
      <c r="L20" s="25" t="s">
        <v>770</v>
      </c>
    </row>
    <row r="21" customFormat="false" ht="12.75" hidden="false" customHeight="true" outlineLevel="0" collapsed="false">
      <c r="B21" s="23" t="n">
        <v>9</v>
      </c>
      <c r="C21" s="23" t="s">
        <v>577</v>
      </c>
      <c r="D21" s="23" t="s">
        <v>767</v>
      </c>
      <c r="E21" s="23" t="s">
        <v>29</v>
      </c>
      <c r="F21" s="23" t="s">
        <v>771</v>
      </c>
      <c r="H21" s="24" t="s">
        <v>762</v>
      </c>
      <c r="I21" s="23" t="n">
        <v>2</v>
      </c>
      <c r="J21" s="23" t="s">
        <v>756</v>
      </c>
      <c r="K21" s="23" t="s">
        <v>52</v>
      </c>
      <c r="L21" s="23" t="s">
        <v>770</v>
      </c>
    </row>
    <row r="22" customFormat="false" ht="12.75" hidden="false" customHeight="true" outlineLevel="0" collapsed="false">
      <c r="B22" s="25" t="n">
        <v>10</v>
      </c>
      <c r="C22" s="25" t="s">
        <v>607</v>
      </c>
      <c r="D22" s="25" t="s">
        <v>755</v>
      </c>
      <c r="E22" s="25" t="s">
        <v>404</v>
      </c>
      <c r="F22" s="25" t="s">
        <v>763</v>
      </c>
      <c r="H22" s="26" t="s">
        <v>179</v>
      </c>
      <c r="I22" s="25" t="n">
        <v>2</v>
      </c>
      <c r="J22" s="25" t="s">
        <v>772</v>
      </c>
      <c r="K22" s="25" t="s">
        <v>52</v>
      </c>
      <c r="L22" s="25"/>
    </row>
    <row r="23" customFormat="false" ht="12.75" hidden="false" customHeight="true" outlineLevel="0" collapsed="false">
      <c r="B23" s="23" t="n">
        <v>11</v>
      </c>
      <c r="C23" s="23" t="s">
        <v>622</v>
      </c>
      <c r="D23" s="23" t="s">
        <v>773</v>
      </c>
      <c r="E23" s="23" t="s">
        <v>29</v>
      </c>
      <c r="F23" s="23" t="s">
        <v>774</v>
      </c>
      <c r="H23" s="27"/>
      <c r="I23" s="27"/>
      <c r="J23" s="27"/>
      <c r="K23" s="27"/>
      <c r="L23" s="27"/>
    </row>
    <row r="24" customFormat="false" ht="12.75" hidden="false" customHeight="true" outlineLevel="0" collapsed="false">
      <c r="B24" s="25" t="n">
        <v>12</v>
      </c>
      <c r="C24" s="25" t="s">
        <v>646</v>
      </c>
      <c r="D24" s="25" t="s">
        <v>118</v>
      </c>
      <c r="E24" s="25" t="s">
        <v>58</v>
      </c>
      <c r="F24" s="25" t="s">
        <v>775</v>
      </c>
      <c r="H24" s="27"/>
      <c r="I24" s="27"/>
      <c r="J24" s="27"/>
      <c r="K24" s="27"/>
      <c r="L24" s="27"/>
    </row>
    <row r="25" customFormat="false" ht="27.75" hidden="false" customHeight="true" outlineLevel="0" collapsed="false">
      <c r="B25" s="28" t="s">
        <v>776</v>
      </c>
      <c r="C25" s="28"/>
      <c r="D25" s="28"/>
      <c r="E25" s="28"/>
      <c r="F25" s="28"/>
    </row>
    <row r="26" customFormat="false" ht="9.75" hidden="false" customHeight="true" outlineLevel="0" collapsed="false"/>
    <row r="27" customFormat="false" ht="15.75" hidden="false" customHeight="true" outlineLevel="0" collapsed="false">
      <c r="B27" s="18" t="s">
        <v>777</v>
      </c>
      <c r="C27" s="18"/>
      <c r="D27" s="18"/>
      <c r="E27" s="18"/>
      <c r="F27" s="18"/>
      <c r="G27" s="18"/>
      <c r="H27" s="18" t="s">
        <v>778</v>
      </c>
      <c r="I27" s="18"/>
      <c r="J27" s="18"/>
      <c r="K27" s="18"/>
      <c r="L27" s="18"/>
      <c r="M27" s="18"/>
    </row>
    <row r="28" customFormat="false" ht="15.75" hidden="false" customHeight="true" outlineLevel="0" collapsed="false">
      <c r="B28" s="22" t="s">
        <v>7</v>
      </c>
      <c r="C28" s="22" t="s">
        <v>779</v>
      </c>
      <c r="D28" s="22" t="s">
        <v>780</v>
      </c>
      <c r="E28" s="22" t="s">
        <v>781</v>
      </c>
      <c r="F28" s="22" t="s">
        <v>782</v>
      </c>
      <c r="H28" s="22" t="s">
        <v>5</v>
      </c>
      <c r="I28" s="22" t="s">
        <v>783</v>
      </c>
      <c r="J28" s="22" t="s">
        <v>780</v>
      </c>
      <c r="K28" s="22" t="s">
        <v>784</v>
      </c>
      <c r="L28" s="22" t="s">
        <v>785</v>
      </c>
    </row>
    <row r="29" customFormat="false" ht="12.75" hidden="false" customHeight="true" outlineLevel="0" collapsed="false">
      <c r="B29" s="24" t="s">
        <v>58</v>
      </c>
      <c r="C29" s="23" t="n">
        <f aca="false">COUNTIF('Coffee Audit'!H2:H2000,"*Washed*")-COUNTIF('Coffee Audit'!H2:H2000,"*Anaerobic*")</f>
        <v>22</v>
      </c>
      <c r="D29" s="23" t="s">
        <v>786</v>
      </c>
      <c r="E29" s="23" t="s">
        <v>787</v>
      </c>
      <c r="F29" s="23" t="s">
        <v>788</v>
      </c>
      <c r="H29" s="24" t="s">
        <v>118</v>
      </c>
      <c r="I29" s="23" t="n">
        <f aca="false">COUNTIF('Coffee Audit'!F2:F2000,"*Colombia*")</f>
        <v>18</v>
      </c>
      <c r="J29" s="23" t="s">
        <v>789</v>
      </c>
      <c r="K29" s="23" t="s">
        <v>790</v>
      </c>
      <c r="L29" s="23" t="s">
        <v>791</v>
      </c>
    </row>
    <row r="30" customFormat="false" ht="12.75" hidden="false" customHeight="true" outlineLevel="0" collapsed="false">
      <c r="B30" s="26" t="s">
        <v>29</v>
      </c>
      <c r="C30" s="25" t="n">
        <f aca="false">COUNTIF('Coffee Audit'!H2:H2000,"*Natural*")-COUNTIF('Coffee Audit'!H2:H2000,"*Anaerobic*")</f>
        <v>12</v>
      </c>
      <c r="D30" s="25" t="s">
        <v>792</v>
      </c>
      <c r="E30" s="25" t="s">
        <v>793</v>
      </c>
      <c r="F30" s="25" t="s">
        <v>794</v>
      </c>
      <c r="H30" s="26" t="s">
        <v>266</v>
      </c>
      <c r="I30" s="25" t="n">
        <f aca="false">COUNTIF('Coffee Audit'!F2:F2000,"*Ethiopia*")</f>
        <v>8</v>
      </c>
      <c r="J30" s="25" t="s">
        <v>795</v>
      </c>
      <c r="K30" s="25" t="s">
        <v>757</v>
      </c>
      <c r="L30" s="25" t="s">
        <v>796</v>
      </c>
    </row>
    <row r="31" customFormat="false" ht="12.75" hidden="false" customHeight="true" outlineLevel="0" collapsed="false">
      <c r="B31" s="24" t="s">
        <v>404</v>
      </c>
      <c r="C31" s="23" t="n">
        <f aca="false">COUNTIF('Coffee Audit'!H2:H2000,"*Honey*")</f>
        <v>6</v>
      </c>
      <c r="D31" s="23" t="s">
        <v>797</v>
      </c>
      <c r="E31" s="23" t="s">
        <v>798</v>
      </c>
      <c r="F31" s="23" t="s">
        <v>794</v>
      </c>
      <c r="H31" s="24" t="s">
        <v>253</v>
      </c>
      <c r="I31" s="23" t="n">
        <f aca="false">COUNTIF('Coffee Audit'!F2:F2000,"*Brazil*")</f>
        <v>5</v>
      </c>
      <c r="J31" s="23" t="s">
        <v>797</v>
      </c>
      <c r="K31" s="23" t="s">
        <v>757</v>
      </c>
      <c r="L31" s="23" t="s">
        <v>799</v>
      </c>
    </row>
    <row r="32" customFormat="false" ht="12.75" hidden="false" customHeight="true" outlineLevel="0" collapsed="false">
      <c r="B32" s="26" t="s">
        <v>74</v>
      </c>
      <c r="C32" s="25" t="n">
        <f aca="false">COUNTIF('Coffee Audit'!H2:H2000,"*Anaerobic Nat*")+COUNTIF('Coffee Audit'!H2:H2000,"*Natural Anaerobic*")</f>
        <v>7</v>
      </c>
      <c r="D32" s="25" t="s">
        <v>797</v>
      </c>
      <c r="E32" s="25" t="s">
        <v>800</v>
      </c>
      <c r="F32" s="25" t="s">
        <v>801</v>
      </c>
      <c r="H32" s="26" t="s">
        <v>802</v>
      </c>
      <c r="I32" s="25" t="n">
        <f aca="false">COUNTIF('Coffee Audit'!F2:F2000,"*Indonesia*")</f>
        <v>3</v>
      </c>
      <c r="J32" s="25" t="s">
        <v>803</v>
      </c>
      <c r="K32" s="25" t="s">
        <v>757</v>
      </c>
      <c r="L32" s="25" t="s">
        <v>804</v>
      </c>
    </row>
    <row r="33" customFormat="false" ht="12.75" hidden="false" customHeight="true" outlineLevel="0" collapsed="false">
      <c r="B33" s="24" t="s">
        <v>805</v>
      </c>
      <c r="C33" s="23" t="n">
        <f aca="false">COUNTIF('Coffee Audit'!H2:H2000,"*Co-Ferment*")+COUNTIF('Coffee Audit'!H2:H2000,"*Mosto*")+COUNTIF('Coffee Audit'!H2:H2000,"*Yeast*")</f>
        <v>4</v>
      </c>
      <c r="D33" s="23" t="s">
        <v>806</v>
      </c>
      <c r="E33" s="23" t="s">
        <v>807</v>
      </c>
      <c r="F33" s="23" t="s">
        <v>808</v>
      </c>
      <c r="H33" s="24" t="s">
        <v>98</v>
      </c>
      <c r="I33" s="23" t="n">
        <f aca="false">COUNTIF('Coffee Audit'!F2:F2000,"*Honduras*")</f>
        <v>3</v>
      </c>
      <c r="J33" s="23" t="s">
        <v>806</v>
      </c>
      <c r="K33" s="23" t="s">
        <v>809</v>
      </c>
      <c r="L33" s="23" t="s">
        <v>810</v>
      </c>
    </row>
    <row r="34" customFormat="false" ht="12.75" hidden="false" customHeight="true" outlineLevel="0" collapsed="false">
      <c r="B34" s="26" t="s">
        <v>811</v>
      </c>
      <c r="C34" s="25" t="n">
        <f aca="false">COUNTIF('Coffee Audit'!H2:H2000,"*Wet*")</f>
        <v>1</v>
      </c>
      <c r="D34" s="25" t="s">
        <v>812</v>
      </c>
      <c r="E34" s="25" t="s">
        <v>813</v>
      </c>
      <c r="F34" s="25" t="s">
        <v>814</v>
      </c>
      <c r="H34" s="26" t="s">
        <v>639</v>
      </c>
      <c r="I34" s="25" t="n">
        <f aca="false">COUNTIF('Coffee Audit'!F2:F2000,"*Peru*")</f>
        <v>4</v>
      </c>
      <c r="J34" s="25" t="s">
        <v>806</v>
      </c>
      <c r="K34" s="25" t="s">
        <v>815</v>
      </c>
      <c r="L34" s="25" t="s">
        <v>816</v>
      </c>
    </row>
    <row r="35" customFormat="false" ht="12.75" hidden="false" customHeight="true" outlineLevel="0" collapsed="false">
      <c r="B35" s="24" t="s">
        <v>817</v>
      </c>
      <c r="C35" s="23" t="n">
        <f aca="false">COUNTIF('Coffee Audit'!H2:H2000,"*Thermal*")</f>
        <v>1</v>
      </c>
      <c r="D35" s="23" t="s">
        <v>812</v>
      </c>
      <c r="E35" s="23" t="s">
        <v>818</v>
      </c>
      <c r="F35" s="23" t="s">
        <v>819</v>
      </c>
      <c r="H35" s="24" t="s">
        <v>127</v>
      </c>
      <c r="I35" s="23" t="n">
        <f aca="false">COUNTIF('Coffee Audit'!F2:F2000,"*Kenya*")</f>
        <v>3</v>
      </c>
      <c r="J35" s="23" t="s">
        <v>820</v>
      </c>
      <c r="K35" s="23" t="s">
        <v>757</v>
      </c>
      <c r="L35" s="23" t="s">
        <v>821</v>
      </c>
    </row>
    <row r="36" customFormat="false" ht="12.75" hidden="false" customHeight="true" outlineLevel="0" collapsed="false">
      <c r="B36" s="26" t="s">
        <v>544</v>
      </c>
      <c r="C36" s="25" t="n">
        <f aca="false">COUNTIF('Coffee Audit'!H2:H2000,"*Lactic*")</f>
        <v>1</v>
      </c>
      <c r="D36" s="25" t="s">
        <v>812</v>
      </c>
      <c r="E36" s="25" t="s">
        <v>822</v>
      </c>
      <c r="F36" s="25" t="s">
        <v>801</v>
      </c>
      <c r="H36" s="26" t="s">
        <v>695</v>
      </c>
      <c r="I36" s="25" t="n">
        <f aca="false">COUNTIF('Coffee Audit'!F2:F2000,"*Panama*")</f>
        <v>3</v>
      </c>
      <c r="J36" s="25" t="s">
        <v>820</v>
      </c>
      <c r="K36" s="25" t="s">
        <v>815</v>
      </c>
      <c r="L36" s="25" t="s">
        <v>823</v>
      </c>
    </row>
    <row r="37" customFormat="false" ht="12.75" hidden="false" customHeight="true" outlineLevel="0" collapsed="false">
      <c r="H37" s="24" t="s">
        <v>824</v>
      </c>
      <c r="I37" s="23" t="n">
        <f aca="false">COUNTIF('Coffee Audit'!F2:F2000,"*Ecuador*")</f>
        <v>1</v>
      </c>
      <c r="J37" s="23" t="s">
        <v>812</v>
      </c>
      <c r="K37" s="23" t="s">
        <v>809</v>
      </c>
      <c r="L37" s="23" t="s">
        <v>825</v>
      </c>
    </row>
    <row r="38" customFormat="false" ht="12.75" hidden="false" customHeight="true" outlineLevel="0" collapsed="false">
      <c r="H38" s="26" t="s">
        <v>543</v>
      </c>
      <c r="I38" s="25" t="n">
        <f aca="false">COUNTIF('Coffee Audit'!F2:F2000,"*Bolivia*")</f>
        <v>2</v>
      </c>
      <c r="J38" s="25" t="s">
        <v>826</v>
      </c>
      <c r="K38" s="25" t="s">
        <v>757</v>
      </c>
      <c r="L38" s="25" t="s">
        <v>827</v>
      </c>
    </row>
    <row r="39" customFormat="false" ht="9.75" hidden="false" customHeight="true" outlineLevel="0" collapsed="false"/>
    <row r="40" customFormat="false" ht="15.75" hidden="false" customHeight="true" outlineLevel="0" collapsed="false">
      <c r="B40" s="18" t="s">
        <v>828</v>
      </c>
      <c r="C40" s="18"/>
      <c r="D40" s="18"/>
      <c r="E40" s="18"/>
      <c r="F40" s="18"/>
      <c r="G40" s="18"/>
      <c r="H40" s="18" t="s">
        <v>829</v>
      </c>
      <c r="I40" s="18"/>
      <c r="J40" s="18"/>
      <c r="K40" s="18"/>
      <c r="L40" s="18"/>
      <c r="M40" s="18"/>
    </row>
    <row r="41" customFormat="false" ht="15.75" hidden="false" customHeight="true" outlineLevel="0" collapsed="false">
      <c r="B41" s="22" t="s">
        <v>830</v>
      </c>
      <c r="C41" s="22" t="s">
        <v>783</v>
      </c>
      <c r="D41" s="22" t="s">
        <v>831</v>
      </c>
      <c r="E41" s="22" t="s">
        <v>832</v>
      </c>
      <c r="H41" s="22" t="s">
        <v>833</v>
      </c>
      <c r="I41" s="22" t="s">
        <v>834</v>
      </c>
      <c r="J41" s="22" t="s">
        <v>835</v>
      </c>
    </row>
    <row r="42" customFormat="false" ht="12.75" hidden="false" customHeight="true" outlineLevel="0" collapsed="false">
      <c r="B42" s="26" t="s">
        <v>836</v>
      </c>
      <c r="C42" s="25" t="s">
        <v>837</v>
      </c>
      <c r="D42" s="25" t="s">
        <v>838</v>
      </c>
      <c r="E42" s="25" t="s">
        <v>839</v>
      </c>
      <c r="H42" s="26" t="s">
        <v>754</v>
      </c>
      <c r="I42" s="25" t="s">
        <v>840</v>
      </c>
      <c r="J42" s="25" t="s">
        <v>841</v>
      </c>
    </row>
    <row r="43" customFormat="false" ht="12.75" hidden="false" customHeight="true" outlineLevel="0" collapsed="false">
      <c r="B43" s="24" t="s">
        <v>842</v>
      </c>
      <c r="C43" s="23" t="s">
        <v>837</v>
      </c>
      <c r="D43" s="23" t="s">
        <v>843</v>
      </c>
      <c r="E43" s="23" t="s">
        <v>844</v>
      </c>
      <c r="H43" s="24" t="s">
        <v>845</v>
      </c>
      <c r="I43" s="23" t="s">
        <v>846</v>
      </c>
      <c r="J43" s="23" t="s">
        <v>847</v>
      </c>
    </row>
    <row r="44" customFormat="false" ht="12.75" hidden="false" customHeight="true" outlineLevel="0" collapsed="false">
      <c r="B44" s="26" t="s">
        <v>848</v>
      </c>
      <c r="C44" s="25" t="s">
        <v>849</v>
      </c>
      <c r="D44" s="25" t="s">
        <v>838</v>
      </c>
      <c r="E44" s="25" t="s">
        <v>850</v>
      </c>
      <c r="H44" s="26" t="s">
        <v>845</v>
      </c>
      <c r="I44" s="25" t="s">
        <v>851</v>
      </c>
      <c r="J44" s="25" t="s">
        <v>852</v>
      </c>
    </row>
    <row r="45" customFormat="false" ht="12.75" hidden="false" customHeight="true" outlineLevel="0" collapsed="false">
      <c r="B45" s="24" t="s">
        <v>853</v>
      </c>
      <c r="C45" s="23" t="s">
        <v>854</v>
      </c>
      <c r="D45" s="23" t="s">
        <v>855</v>
      </c>
      <c r="E45" s="23" t="s">
        <v>856</v>
      </c>
      <c r="H45" s="24" t="s">
        <v>857</v>
      </c>
      <c r="I45" s="23" t="s">
        <v>858</v>
      </c>
      <c r="J45" s="23" t="s">
        <v>859</v>
      </c>
    </row>
    <row r="46" customFormat="false" ht="12.75" hidden="false" customHeight="true" outlineLevel="0" collapsed="false">
      <c r="B46" s="26" t="s">
        <v>860</v>
      </c>
      <c r="C46" s="25" t="s">
        <v>861</v>
      </c>
      <c r="D46" s="25" t="s">
        <v>757</v>
      </c>
      <c r="E46" s="25" t="s">
        <v>862</v>
      </c>
      <c r="H46" s="26" t="s">
        <v>863</v>
      </c>
      <c r="I46" s="25" t="s">
        <v>864</v>
      </c>
      <c r="J46" s="25" t="s">
        <v>865</v>
      </c>
    </row>
    <row r="47" customFormat="false" ht="12.75" hidden="false" customHeight="true" outlineLevel="0" collapsed="false">
      <c r="B47" s="24" t="s">
        <v>27</v>
      </c>
      <c r="C47" s="23" t="s">
        <v>866</v>
      </c>
      <c r="D47" s="23" t="s">
        <v>757</v>
      </c>
      <c r="E47" s="23" t="s">
        <v>867</v>
      </c>
      <c r="H47" s="24" t="s">
        <v>868</v>
      </c>
      <c r="I47" s="23" t="s">
        <v>869</v>
      </c>
      <c r="J47" s="23" t="s">
        <v>870</v>
      </c>
    </row>
    <row r="48" customFormat="false" ht="12.75" hidden="false" customHeight="true" outlineLevel="0" collapsed="false">
      <c r="H48" s="26" t="s">
        <v>871</v>
      </c>
      <c r="I48" s="25" t="s">
        <v>872</v>
      </c>
      <c r="J48" s="25" t="s">
        <v>873</v>
      </c>
    </row>
    <row r="49" customFormat="false" ht="12.75" hidden="false" customHeight="true" outlineLevel="0" collapsed="false">
      <c r="H49" s="24" t="s">
        <v>874</v>
      </c>
      <c r="I49" s="23" t="s">
        <v>875</v>
      </c>
      <c r="J49" s="23" t="s">
        <v>876</v>
      </c>
    </row>
    <row r="50" customFormat="false" ht="12.75" hidden="false" customHeight="true" outlineLevel="0" collapsed="false">
      <c r="H50" s="26" t="s">
        <v>877</v>
      </c>
      <c r="I50" s="25" t="s">
        <v>878</v>
      </c>
      <c r="J50" s="25" t="s">
        <v>879</v>
      </c>
    </row>
    <row r="51" customFormat="false" ht="7.5" hidden="false" customHeight="true" outlineLevel="0" collapsed="false"/>
    <row r="52" customFormat="false" ht="15.75" hidden="false" customHeight="true" outlineLevel="0" collapsed="false">
      <c r="B52" s="18" t="s">
        <v>880</v>
      </c>
      <c r="C52" s="18"/>
      <c r="D52" s="18"/>
      <c r="E52" s="18"/>
      <c r="F52" s="18"/>
      <c r="G52" s="18"/>
      <c r="H52" s="18"/>
      <c r="I52" s="18"/>
      <c r="J52" s="18"/>
      <c r="K52" s="18"/>
      <c r="L52" s="18"/>
      <c r="M52" s="18"/>
    </row>
    <row r="53" customFormat="false" ht="13.5" hidden="false" customHeight="true" outlineLevel="0" collapsed="false">
      <c r="B53" s="29" t="s">
        <v>881</v>
      </c>
      <c r="C53" s="29"/>
      <c r="D53" s="29"/>
      <c r="E53" s="29"/>
      <c r="F53" s="29"/>
      <c r="G53" s="29"/>
      <c r="H53" s="29"/>
      <c r="I53" s="29"/>
      <c r="J53" s="29"/>
      <c r="K53" s="29"/>
      <c r="L53" s="29"/>
      <c r="M53" s="29"/>
    </row>
    <row r="54" customFormat="false" ht="13.5" hidden="false" customHeight="true" outlineLevel="0" collapsed="false">
      <c r="B54" s="29"/>
      <c r="C54" s="29"/>
      <c r="D54" s="29"/>
      <c r="E54" s="29"/>
      <c r="F54" s="29"/>
      <c r="G54" s="29"/>
      <c r="H54" s="29"/>
      <c r="I54" s="29"/>
      <c r="J54" s="29"/>
      <c r="K54" s="29"/>
      <c r="L54" s="29"/>
      <c r="M54" s="29"/>
    </row>
    <row r="55" customFormat="false" ht="13.5" hidden="false" customHeight="true" outlineLevel="0" collapsed="false">
      <c r="B55" s="29"/>
      <c r="C55" s="29"/>
      <c r="D55" s="29"/>
      <c r="E55" s="29"/>
      <c r="F55" s="29"/>
      <c r="G55" s="29"/>
      <c r="H55" s="29"/>
      <c r="I55" s="29"/>
      <c r="J55" s="29"/>
      <c r="K55" s="29"/>
      <c r="L55" s="29"/>
      <c r="M55" s="29"/>
    </row>
  </sheetData>
  <mergeCells count="12">
    <mergeCell ref="B1:M1"/>
    <mergeCell ref="B2:M2"/>
    <mergeCell ref="B4:M4"/>
    <mergeCell ref="B11:G11"/>
    <mergeCell ref="H11:M11"/>
    <mergeCell ref="B25:F25"/>
    <mergeCell ref="B27:G27"/>
    <mergeCell ref="H27:M27"/>
    <mergeCell ref="B40:G40"/>
    <mergeCell ref="H40:M40"/>
    <mergeCell ref="B52:M52"/>
    <mergeCell ref="B53:M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1B9A"/>
    <pageSetUpPr fitToPage="false"/>
  </sheetPr>
  <dimension ref="B1:L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8"/>
    <col collapsed="false" customWidth="true" hidden="false" outlineLevel="0" max="4" min="4" style="1" width="6"/>
    <col collapsed="false" customWidth="true" hidden="false" outlineLevel="0" max="5" min="5" style="1" width="30"/>
    <col collapsed="false" customWidth="true" hidden="false" outlineLevel="0" max="6" min="6" style="1" width="14"/>
    <col collapsed="false" customWidth="true" hidden="false" outlineLevel="0" max="7" min="7" style="1" width="5"/>
    <col collapsed="false" customWidth="true" hidden="false" outlineLevel="0" max="8" min="8" style="1" width="14"/>
    <col collapsed="false" customWidth="true" hidden="false" outlineLevel="0" max="9" min="9" style="1" width="8"/>
    <col collapsed="false" customWidth="true" hidden="false" outlineLevel="0" max="10" min="10"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16" t="s">
        <v>882</v>
      </c>
      <c r="C1" s="16"/>
      <c r="D1" s="16"/>
      <c r="E1" s="16"/>
      <c r="F1" s="16"/>
      <c r="G1" s="16"/>
      <c r="H1" s="16"/>
      <c r="I1" s="16"/>
      <c r="J1" s="16"/>
      <c r="K1" s="16"/>
      <c r="L1" s="16"/>
    </row>
    <row r="2" customFormat="false" ht="13.5" hidden="false" customHeight="true" outlineLevel="0" collapsed="false">
      <c r="B2" s="17" t="s">
        <v>883</v>
      </c>
      <c r="C2" s="17"/>
      <c r="D2" s="17"/>
      <c r="E2" s="17"/>
      <c r="F2" s="17"/>
      <c r="G2" s="17"/>
      <c r="H2" s="17"/>
      <c r="I2" s="17"/>
      <c r="J2" s="17"/>
      <c r="K2" s="17"/>
      <c r="L2" s="17"/>
    </row>
    <row r="3" customFormat="false" ht="6" hidden="false" customHeight="true" outlineLevel="0" collapsed="false"/>
    <row r="4" customFormat="false" ht="15.75" hidden="false" customHeight="true" outlineLevel="0" collapsed="false">
      <c r="B4" s="18" t="s">
        <v>884</v>
      </c>
      <c r="C4" s="18"/>
      <c r="D4" s="18"/>
      <c r="E4" s="18"/>
      <c r="F4" s="18"/>
      <c r="G4" s="18"/>
      <c r="H4" s="18"/>
      <c r="I4" s="18"/>
      <c r="J4" s="18"/>
      <c r="K4" s="18"/>
      <c r="L4" s="18"/>
    </row>
    <row r="5" customFormat="false" ht="13.5" hidden="false" customHeight="true" outlineLevel="0" collapsed="false">
      <c r="B5" s="29" t="s">
        <v>885</v>
      </c>
      <c r="C5" s="29"/>
      <c r="D5" s="29"/>
      <c r="E5" s="29"/>
      <c r="F5" s="29"/>
      <c r="G5" s="29"/>
      <c r="H5" s="29"/>
      <c r="I5" s="29"/>
      <c r="J5" s="29"/>
      <c r="K5" s="29"/>
      <c r="L5" s="29"/>
    </row>
    <row r="6" customFormat="false" ht="13.5" hidden="false" customHeight="true" outlineLevel="0" collapsed="false">
      <c r="B6" s="29"/>
      <c r="C6" s="29"/>
      <c r="D6" s="29"/>
      <c r="E6" s="29"/>
      <c r="F6" s="29"/>
      <c r="G6" s="29"/>
      <c r="H6" s="29"/>
      <c r="I6" s="29"/>
      <c r="J6" s="29"/>
      <c r="K6" s="29"/>
      <c r="L6" s="29"/>
    </row>
    <row r="7" customFormat="false" ht="13.5" hidden="false" customHeight="true" outlineLevel="0" collapsed="false">
      <c r="B7" s="29"/>
      <c r="C7" s="29"/>
      <c r="D7" s="29"/>
      <c r="E7" s="29"/>
      <c r="F7" s="29"/>
      <c r="G7" s="29"/>
      <c r="H7" s="29"/>
      <c r="I7" s="29"/>
      <c r="J7" s="29"/>
      <c r="K7" s="29"/>
      <c r="L7" s="29"/>
    </row>
    <row r="9" customFormat="false" ht="6" hidden="false" customHeight="true" outlineLevel="0" collapsed="false"/>
    <row r="10" customFormat="false" ht="15.75" hidden="false" customHeight="true" outlineLevel="0" collapsed="false">
      <c r="B10" s="18" t="s">
        <v>886</v>
      </c>
      <c r="C10" s="18"/>
      <c r="D10" s="18"/>
      <c r="E10" s="18"/>
      <c r="F10" s="18"/>
      <c r="G10" s="18"/>
      <c r="H10" s="18" t="s">
        <v>887</v>
      </c>
      <c r="I10" s="18"/>
      <c r="J10" s="18"/>
      <c r="K10" s="18"/>
      <c r="L10" s="18"/>
    </row>
    <row r="11" customFormat="false" ht="15.75" hidden="false" customHeight="true" outlineLevel="0" collapsed="false">
      <c r="B11" s="22" t="s">
        <v>7</v>
      </c>
      <c r="C11" s="22" t="s">
        <v>783</v>
      </c>
      <c r="D11" s="22" t="s">
        <v>888</v>
      </c>
      <c r="E11" s="22" t="s">
        <v>781</v>
      </c>
      <c r="F11" s="22" t="s">
        <v>782</v>
      </c>
      <c r="H11" s="22" t="s">
        <v>889</v>
      </c>
      <c r="I11" s="22" t="s">
        <v>783</v>
      </c>
      <c r="J11" s="22" t="s">
        <v>890</v>
      </c>
    </row>
    <row r="12" customFormat="false" ht="12.75" hidden="false" customHeight="true" outlineLevel="0" collapsed="false">
      <c r="B12" s="26" t="s">
        <v>58</v>
      </c>
      <c r="C12" s="25" t="s">
        <v>891</v>
      </c>
      <c r="D12" s="25" t="s">
        <v>786</v>
      </c>
      <c r="E12" s="25" t="s">
        <v>892</v>
      </c>
      <c r="F12" s="25" t="s">
        <v>893</v>
      </c>
      <c r="H12" s="26" t="s">
        <v>894</v>
      </c>
      <c r="I12" s="25" t="s">
        <v>837</v>
      </c>
      <c r="J12" s="25" t="s">
        <v>895</v>
      </c>
    </row>
    <row r="13" customFormat="false" ht="12.75" hidden="false" customHeight="true" outlineLevel="0" collapsed="false">
      <c r="B13" s="24" t="s">
        <v>29</v>
      </c>
      <c r="C13" s="23" t="s">
        <v>896</v>
      </c>
      <c r="D13" s="23" t="s">
        <v>792</v>
      </c>
      <c r="E13" s="23" t="s">
        <v>897</v>
      </c>
      <c r="F13" s="23" t="s">
        <v>898</v>
      </c>
      <c r="H13" s="24" t="s">
        <v>899</v>
      </c>
      <c r="I13" s="23" t="s">
        <v>900</v>
      </c>
      <c r="J13" s="23" t="s">
        <v>901</v>
      </c>
    </row>
    <row r="14" customFormat="false" ht="12.75" hidden="false" customHeight="true" outlineLevel="0" collapsed="false">
      <c r="B14" s="26" t="s">
        <v>404</v>
      </c>
      <c r="C14" s="25" t="s">
        <v>902</v>
      </c>
      <c r="D14" s="25" t="s">
        <v>797</v>
      </c>
      <c r="E14" s="25" t="s">
        <v>798</v>
      </c>
      <c r="F14" s="25" t="s">
        <v>903</v>
      </c>
      <c r="H14" s="26" t="s">
        <v>904</v>
      </c>
      <c r="I14" s="25" t="s">
        <v>849</v>
      </c>
      <c r="J14" s="25" t="s">
        <v>905</v>
      </c>
    </row>
    <row r="15" customFormat="false" ht="12.75" hidden="false" customHeight="true" outlineLevel="0" collapsed="false">
      <c r="B15" s="24" t="s">
        <v>74</v>
      </c>
      <c r="C15" s="23" t="s">
        <v>902</v>
      </c>
      <c r="D15" s="23" t="s">
        <v>797</v>
      </c>
      <c r="E15" s="23" t="s">
        <v>906</v>
      </c>
      <c r="F15" s="23" t="s">
        <v>907</v>
      </c>
      <c r="H15" s="24" t="s">
        <v>908</v>
      </c>
      <c r="I15" s="23" t="s">
        <v>909</v>
      </c>
      <c r="J15" s="23" t="s">
        <v>910</v>
      </c>
    </row>
    <row r="16" customFormat="false" ht="12.75" hidden="false" customHeight="true" outlineLevel="0" collapsed="false">
      <c r="B16" s="26" t="s">
        <v>805</v>
      </c>
      <c r="C16" s="25" t="s">
        <v>909</v>
      </c>
      <c r="D16" s="25" t="s">
        <v>806</v>
      </c>
      <c r="E16" s="25" t="s">
        <v>911</v>
      </c>
      <c r="F16" s="25" t="s">
        <v>808</v>
      </c>
      <c r="H16" s="26" t="s">
        <v>912</v>
      </c>
      <c r="I16" s="25" t="s">
        <v>849</v>
      </c>
      <c r="J16" s="25" t="s">
        <v>913</v>
      </c>
    </row>
    <row r="17" customFormat="false" ht="12.75" hidden="false" customHeight="true" outlineLevel="0" collapsed="false">
      <c r="B17" s="24" t="s">
        <v>544</v>
      </c>
      <c r="C17" s="23" t="s">
        <v>837</v>
      </c>
      <c r="D17" s="23" t="s">
        <v>812</v>
      </c>
      <c r="E17" s="23" t="s">
        <v>914</v>
      </c>
      <c r="F17" s="23" t="s">
        <v>915</v>
      </c>
      <c r="H17" s="24" t="s">
        <v>916</v>
      </c>
      <c r="I17" s="23" t="s">
        <v>902</v>
      </c>
      <c r="J17" s="23" t="s">
        <v>917</v>
      </c>
    </row>
    <row r="18" customFormat="false" ht="12.75" hidden="false" customHeight="true" outlineLevel="0" collapsed="false">
      <c r="B18" s="26" t="s">
        <v>817</v>
      </c>
      <c r="C18" s="25" t="s">
        <v>837</v>
      </c>
      <c r="D18" s="25" t="s">
        <v>812</v>
      </c>
      <c r="E18" s="25" t="s">
        <v>918</v>
      </c>
      <c r="F18" s="25" t="s">
        <v>919</v>
      </c>
      <c r="H18" s="26" t="s">
        <v>920</v>
      </c>
      <c r="I18" s="25" t="s">
        <v>837</v>
      </c>
      <c r="J18" s="25" t="s">
        <v>921</v>
      </c>
    </row>
    <row r="19" customFormat="false" ht="12.75" hidden="false" customHeight="true" outlineLevel="0" collapsed="false">
      <c r="B19" s="24" t="s">
        <v>40</v>
      </c>
      <c r="C19" s="23" t="s">
        <v>837</v>
      </c>
      <c r="D19" s="23" t="s">
        <v>812</v>
      </c>
      <c r="E19" s="23" t="s">
        <v>922</v>
      </c>
      <c r="F19" s="23" t="s">
        <v>923</v>
      </c>
      <c r="H19" s="24" t="s">
        <v>924</v>
      </c>
      <c r="I19" s="23" t="s">
        <v>837</v>
      </c>
      <c r="J19" s="23" t="s">
        <v>925</v>
      </c>
    </row>
    <row r="20" customFormat="false" ht="7.5" hidden="false" customHeight="true" outlineLevel="0" collapsed="false"/>
    <row r="21" customFormat="false" ht="15.75" hidden="false" customHeight="true" outlineLevel="0" collapsed="false">
      <c r="B21" s="18" t="s">
        <v>926</v>
      </c>
      <c r="C21" s="18"/>
      <c r="D21" s="18"/>
      <c r="E21" s="18"/>
      <c r="F21" s="18"/>
      <c r="G21" s="18"/>
      <c r="H21" s="18" t="s">
        <v>927</v>
      </c>
      <c r="I21" s="18"/>
      <c r="J21" s="18"/>
      <c r="K21" s="18"/>
      <c r="L21" s="18"/>
    </row>
    <row r="22" customFormat="false" ht="15.75" hidden="false" customHeight="true" outlineLevel="0" collapsed="false">
      <c r="B22" s="22" t="s">
        <v>7</v>
      </c>
      <c r="C22" s="22" t="s">
        <v>739</v>
      </c>
      <c r="D22" s="22" t="s">
        <v>928</v>
      </c>
      <c r="E22" s="22" t="s">
        <v>929</v>
      </c>
      <c r="H22" s="22" t="s">
        <v>930</v>
      </c>
      <c r="I22" s="22" t="s">
        <v>931</v>
      </c>
      <c r="J22" s="22" t="s">
        <v>932</v>
      </c>
      <c r="K22" s="22" t="s">
        <v>832</v>
      </c>
    </row>
    <row r="23" customFormat="false" ht="12.75" hidden="false" customHeight="true" outlineLevel="0" collapsed="false">
      <c r="B23" s="24" t="s">
        <v>933</v>
      </c>
      <c r="C23" s="23" t="s">
        <v>934</v>
      </c>
      <c r="D23" s="23" t="s">
        <v>935</v>
      </c>
      <c r="E23" s="23" t="s">
        <v>936</v>
      </c>
      <c r="H23" s="24" t="s">
        <v>836</v>
      </c>
      <c r="I23" s="23" t="s">
        <v>837</v>
      </c>
      <c r="J23" s="23" t="s">
        <v>937</v>
      </c>
      <c r="K23" s="23" t="s">
        <v>938</v>
      </c>
    </row>
    <row r="24" customFormat="false" ht="12.75" hidden="false" customHeight="true" outlineLevel="0" collapsed="false">
      <c r="B24" s="26" t="s">
        <v>404</v>
      </c>
      <c r="C24" s="25" t="s">
        <v>939</v>
      </c>
      <c r="D24" s="25" t="s">
        <v>940</v>
      </c>
      <c r="E24" s="25" t="s">
        <v>941</v>
      </c>
      <c r="H24" s="26" t="s">
        <v>842</v>
      </c>
      <c r="I24" s="25" t="s">
        <v>837</v>
      </c>
      <c r="J24" s="25" t="s">
        <v>843</v>
      </c>
      <c r="K24" s="25" t="s">
        <v>942</v>
      </c>
    </row>
    <row r="25" customFormat="false" ht="12.75" hidden="false" customHeight="true" outlineLevel="0" collapsed="false">
      <c r="B25" s="24" t="s">
        <v>404</v>
      </c>
      <c r="C25" s="23" t="s">
        <v>943</v>
      </c>
      <c r="D25" s="23" t="s">
        <v>944</v>
      </c>
      <c r="E25" s="23" t="s">
        <v>945</v>
      </c>
      <c r="H25" s="24" t="s">
        <v>848</v>
      </c>
      <c r="I25" s="23" t="s">
        <v>849</v>
      </c>
      <c r="J25" s="23" t="s">
        <v>838</v>
      </c>
      <c r="K25" s="23" t="s">
        <v>946</v>
      </c>
    </row>
    <row r="26" customFormat="false" ht="12.75" hidden="false" customHeight="true" outlineLevel="0" collapsed="false">
      <c r="B26" s="26" t="s">
        <v>29</v>
      </c>
      <c r="C26" s="25" t="s">
        <v>947</v>
      </c>
      <c r="D26" s="25" t="s">
        <v>948</v>
      </c>
      <c r="E26" s="25" t="s">
        <v>941</v>
      </c>
      <c r="H26" s="26" t="s">
        <v>853</v>
      </c>
      <c r="I26" s="25" t="s">
        <v>854</v>
      </c>
      <c r="J26" s="25" t="s">
        <v>855</v>
      </c>
      <c r="K26" s="25" t="s">
        <v>949</v>
      </c>
    </row>
    <row r="27" customFormat="false" ht="12.75" hidden="false" customHeight="true" outlineLevel="0" collapsed="false">
      <c r="B27" s="24" t="s">
        <v>29</v>
      </c>
      <c r="C27" s="23" t="s">
        <v>950</v>
      </c>
      <c r="D27" s="23" t="s">
        <v>951</v>
      </c>
      <c r="E27" s="23" t="s">
        <v>952</v>
      </c>
      <c r="H27" s="24" t="s">
        <v>860</v>
      </c>
      <c r="I27" s="23" t="s">
        <v>861</v>
      </c>
      <c r="J27" s="23" t="s">
        <v>757</v>
      </c>
      <c r="K27" s="23" t="s">
        <v>953</v>
      </c>
    </row>
    <row r="28" customFormat="false" ht="12.75" hidden="false" customHeight="true" outlineLevel="0" collapsed="false">
      <c r="B28" s="28" t="s">
        <v>954</v>
      </c>
      <c r="C28" s="28"/>
      <c r="D28" s="28"/>
      <c r="E28" s="28"/>
      <c r="F28" s="28"/>
      <c r="H28" s="26" t="s">
        <v>27</v>
      </c>
      <c r="I28" s="25" t="s">
        <v>866</v>
      </c>
      <c r="J28" s="25" t="s">
        <v>757</v>
      </c>
      <c r="K28" s="25" t="s">
        <v>955</v>
      </c>
    </row>
  </sheetData>
  <mergeCells count="9">
    <mergeCell ref="B1:L1"/>
    <mergeCell ref="B2:L2"/>
    <mergeCell ref="B4:L4"/>
    <mergeCell ref="B5:L7"/>
    <mergeCell ref="B10:G10"/>
    <mergeCell ref="H10:L10"/>
    <mergeCell ref="B21:G21"/>
    <mergeCell ref="H21:L21"/>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B1:L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14"/>
    <col collapsed="false" customWidth="true" hidden="false" outlineLevel="0" max="4" min="4" style="1" width="22"/>
    <col collapsed="false" customWidth="true" hidden="false" outlineLevel="0" max="6" min="5" style="1" width="24"/>
    <col collapsed="false" customWidth="true" hidden="false" outlineLevel="0" max="7" min="7" style="1" width="30"/>
    <col collapsed="false" customWidth="true" hidden="false" outlineLevel="0" max="8" min="8" style="1" width="16"/>
    <col collapsed="false" customWidth="true" hidden="false" outlineLevel="0" max="10" min="9"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16" t="s">
        <v>956</v>
      </c>
      <c r="C1" s="16"/>
      <c r="D1" s="16"/>
      <c r="E1" s="16"/>
      <c r="F1" s="16"/>
      <c r="G1" s="16"/>
      <c r="H1" s="16"/>
      <c r="I1" s="16"/>
      <c r="J1" s="16"/>
      <c r="K1" s="16"/>
      <c r="L1" s="16"/>
    </row>
    <row r="2" customFormat="false" ht="13.5" hidden="false" customHeight="true" outlineLevel="0" collapsed="false">
      <c r="B2" s="17" t="s">
        <v>957</v>
      </c>
      <c r="C2" s="17"/>
      <c r="D2" s="17"/>
      <c r="E2" s="17"/>
      <c r="F2" s="17"/>
      <c r="G2" s="17"/>
      <c r="H2" s="17"/>
      <c r="I2" s="17"/>
      <c r="J2" s="17"/>
      <c r="K2" s="17"/>
      <c r="L2" s="17"/>
    </row>
    <row r="3" customFormat="false" ht="6" hidden="false" customHeight="true" outlineLevel="0" collapsed="false"/>
    <row r="4" customFormat="false" ht="15.75" hidden="false" customHeight="true" outlineLevel="0" collapsed="false">
      <c r="B4" s="18" t="s">
        <v>958</v>
      </c>
      <c r="C4" s="18"/>
      <c r="D4" s="18"/>
      <c r="E4" s="18"/>
      <c r="F4" s="18"/>
      <c r="G4" s="18"/>
      <c r="H4" s="18" t="s">
        <v>959</v>
      </c>
      <c r="I4" s="18"/>
      <c r="J4" s="18"/>
      <c r="K4" s="18"/>
      <c r="L4" s="18"/>
    </row>
    <row r="5" customFormat="false" ht="15.75" hidden="false" customHeight="true" outlineLevel="0" collapsed="false">
      <c r="B5" s="22" t="s">
        <v>5</v>
      </c>
      <c r="C5" s="22" t="s">
        <v>783</v>
      </c>
      <c r="D5" s="22" t="s">
        <v>960</v>
      </c>
      <c r="E5" s="22" t="s">
        <v>784</v>
      </c>
      <c r="F5" s="22" t="s">
        <v>961</v>
      </c>
      <c r="H5" s="22" t="s">
        <v>962</v>
      </c>
      <c r="I5" s="22" t="s">
        <v>963</v>
      </c>
    </row>
    <row r="6" customFormat="false" ht="12.75" hidden="false" customHeight="true" outlineLevel="0" collapsed="false">
      <c r="B6" s="26" t="s">
        <v>118</v>
      </c>
      <c r="C6" s="25" t="n">
        <f aca="false">COUNTIF('Coffee Audit'!F2:F2000,"*Colombia*")</f>
        <v>18</v>
      </c>
      <c r="D6" s="25" t="s">
        <v>789</v>
      </c>
      <c r="E6" s="25" t="n">
        <f aca="false">COUNTIF('Coffee Audit'!G2:G2000,"*Gesha*")</f>
        <v>10</v>
      </c>
      <c r="F6" s="25" t="s">
        <v>964</v>
      </c>
      <c r="H6" s="26" t="s">
        <v>965</v>
      </c>
      <c r="I6" s="30" t="n">
        <f aca="false">COUNTIF('Coffee Audit'!W2:W2000,"⭐ GESHA")</f>
        <v>15</v>
      </c>
    </row>
    <row r="7" customFormat="false" ht="12.75" hidden="false" customHeight="true" outlineLevel="0" collapsed="false">
      <c r="B7" s="24" t="s">
        <v>266</v>
      </c>
      <c r="C7" s="23" t="n">
        <f aca="false">COUNTIF('Coffee Audit'!F2:F2000,"*Ethiopia*")</f>
        <v>8</v>
      </c>
      <c r="D7" s="23" t="s">
        <v>795</v>
      </c>
      <c r="E7" s="23" t="s">
        <v>757</v>
      </c>
      <c r="F7" s="23" t="s">
        <v>796</v>
      </c>
      <c r="H7" s="24" t="s">
        <v>966</v>
      </c>
      <c r="I7" s="31" t="n">
        <f aca="false">SUMPRODUCT(('Coffee Audit'!W2:W2000="⭐ GESHA")*(ISNUMBER(SEARCH("washed",'Coffee Audit'!H2:H2000))))</f>
        <v>8</v>
      </c>
    </row>
    <row r="8" customFormat="false" ht="12.75" hidden="false" customHeight="true" outlineLevel="0" collapsed="false">
      <c r="B8" s="26" t="s">
        <v>253</v>
      </c>
      <c r="C8" s="25" t="n">
        <f aca="false">COUNTIF('Coffee Audit'!F2:F2000,"*Brazil*")</f>
        <v>5</v>
      </c>
      <c r="D8" s="25" t="s">
        <v>797</v>
      </c>
      <c r="E8" s="25" t="s">
        <v>757</v>
      </c>
      <c r="F8" s="25" t="s">
        <v>967</v>
      </c>
      <c r="H8" s="26" t="s">
        <v>968</v>
      </c>
      <c r="I8" s="30" t="n">
        <f aca="false">SUMPRODUCT(('Coffee Audit'!W2:W2000="⭐ GESHA")*(ISNUMBER(SEARCH("honey",'Coffee Audit'!H2:H2000))))</f>
        <v>3</v>
      </c>
    </row>
    <row r="9" customFormat="false" ht="12.75" hidden="false" customHeight="true" outlineLevel="0" collapsed="false">
      <c r="B9" s="24" t="s">
        <v>98</v>
      </c>
      <c r="C9" s="23" t="n">
        <f aca="false">COUNTIF('Coffee Audit'!F2:F2000,"*Honduras*")</f>
        <v>3</v>
      </c>
      <c r="D9" s="23" t="s">
        <v>806</v>
      </c>
      <c r="E9" s="23" t="n">
        <f aca="false">COUNTIF('Coffee Audit'!G2:G2000,"*Gesha*")</f>
        <v>10</v>
      </c>
      <c r="F9" s="23" t="s">
        <v>969</v>
      </c>
      <c r="H9" s="24" t="s">
        <v>970</v>
      </c>
      <c r="I9" s="31" t="n">
        <f aca="false">SUMPRODUCT(('Coffee Audit'!W2:W2000="⭐ GESHA")*(ISNUMBER(SEARCH("natural",'Coffee Audit'!H2:H2000))))</f>
        <v>4</v>
      </c>
    </row>
    <row r="10" customFormat="false" ht="12.75" hidden="false" customHeight="true" outlineLevel="0" collapsed="false">
      <c r="B10" s="26" t="s">
        <v>802</v>
      </c>
      <c r="C10" s="25" t="n">
        <f aca="false">COUNTIF('Coffee Audit'!F2:F2000,"*Indonesia*")</f>
        <v>3</v>
      </c>
      <c r="D10" s="25" t="s">
        <v>806</v>
      </c>
      <c r="E10" s="25" t="s">
        <v>757</v>
      </c>
      <c r="F10" s="25" t="s">
        <v>804</v>
      </c>
      <c r="H10" s="26" t="s">
        <v>971</v>
      </c>
      <c r="I10" s="30" t="s">
        <v>972</v>
      </c>
    </row>
    <row r="11" customFormat="false" ht="12.75" hidden="false" customHeight="true" outlineLevel="0" collapsed="false">
      <c r="B11" s="24" t="s">
        <v>639</v>
      </c>
      <c r="C11" s="23" t="n">
        <f aca="false">COUNTIF('Coffee Audit'!F2:F2000,"*Peru*")</f>
        <v>4</v>
      </c>
      <c r="D11" s="23" t="s">
        <v>806</v>
      </c>
      <c r="E11" s="23" t="s">
        <v>815</v>
      </c>
      <c r="F11" s="23" t="s">
        <v>973</v>
      </c>
      <c r="H11" s="24" t="s">
        <v>974</v>
      </c>
      <c r="I11" s="31" t="s">
        <v>975</v>
      </c>
    </row>
    <row r="12" customFormat="false" ht="12.75" hidden="false" customHeight="true" outlineLevel="0" collapsed="false">
      <c r="B12" s="26" t="s">
        <v>127</v>
      </c>
      <c r="C12" s="25" t="n">
        <f aca="false">COUNTIF('Coffee Audit'!F2:F2000,"*Kenya*")</f>
        <v>3</v>
      </c>
      <c r="D12" s="25" t="s">
        <v>820</v>
      </c>
      <c r="E12" s="25" t="s">
        <v>757</v>
      </c>
      <c r="F12" s="25" t="s">
        <v>976</v>
      </c>
      <c r="H12" s="26" t="s">
        <v>977</v>
      </c>
      <c r="I12" s="30" t="s">
        <v>978</v>
      </c>
    </row>
    <row r="13" customFormat="false" ht="12.75" hidden="false" customHeight="true" outlineLevel="0" collapsed="false">
      <c r="B13" s="24" t="s">
        <v>695</v>
      </c>
      <c r="C13" s="23" t="n">
        <f aca="false">COUNTIF('Coffee Audit'!F2:F2000,"*Panama*")</f>
        <v>3</v>
      </c>
      <c r="D13" s="23" t="s">
        <v>820</v>
      </c>
      <c r="E13" s="23" t="s">
        <v>815</v>
      </c>
      <c r="F13" s="23" t="s">
        <v>979</v>
      </c>
      <c r="H13" s="24" t="s">
        <v>980</v>
      </c>
      <c r="I13" s="31" t="s">
        <v>981</v>
      </c>
    </row>
    <row r="14" customFormat="false" ht="12.75" hidden="false" customHeight="true" outlineLevel="0" collapsed="false">
      <c r="B14" s="26" t="s">
        <v>135</v>
      </c>
      <c r="C14" s="25" t="n">
        <f aca="false">COUNTIF('Coffee Audit'!F2:F2000,"*Nicaragua*")</f>
        <v>2</v>
      </c>
      <c r="D14" s="25" t="s">
        <v>820</v>
      </c>
      <c r="E14" s="25" t="s">
        <v>757</v>
      </c>
      <c r="F14" s="25" t="s">
        <v>982</v>
      </c>
      <c r="H14" s="26" t="s">
        <v>983</v>
      </c>
      <c r="I14" s="30" t="s">
        <v>984</v>
      </c>
    </row>
    <row r="15" customFormat="false" ht="12.75" hidden="false" customHeight="true" outlineLevel="0" collapsed="false">
      <c r="B15" s="24" t="s">
        <v>543</v>
      </c>
      <c r="C15" s="23" t="n">
        <f aca="false">COUNTIF('Coffee Audit'!F2:F2000,"*Bolivia*")</f>
        <v>2</v>
      </c>
      <c r="D15" s="23" t="s">
        <v>826</v>
      </c>
      <c r="E15" s="23" t="s">
        <v>757</v>
      </c>
      <c r="F15" s="23" t="s">
        <v>985</v>
      </c>
      <c r="H15" s="24" t="s">
        <v>986</v>
      </c>
      <c r="I15" s="31" t="s">
        <v>987</v>
      </c>
    </row>
    <row r="16" customFormat="false" ht="12.75" hidden="false" customHeight="true" outlineLevel="0" collapsed="false">
      <c r="B16" s="26" t="s">
        <v>824</v>
      </c>
      <c r="C16" s="25" t="n">
        <f aca="false">COUNTIF('Coffee Audit'!F2:F2000,"*Ecuador*")</f>
        <v>1</v>
      </c>
      <c r="D16" s="25" t="s">
        <v>812</v>
      </c>
      <c r="E16" s="25" t="s">
        <v>809</v>
      </c>
      <c r="F16" s="25" t="s">
        <v>988</v>
      </c>
      <c r="H16" s="26" t="s">
        <v>989</v>
      </c>
      <c r="I16" s="30" t="s">
        <v>990</v>
      </c>
    </row>
    <row r="17" customFormat="false" ht="12.75" hidden="false" customHeight="true" outlineLevel="0" collapsed="false">
      <c r="B17" s="24" t="s">
        <v>73</v>
      </c>
      <c r="C17" s="23" t="n">
        <f aca="false">COUNTIF('Coffee Audit'!F2:F2000,"*India*")</f>
        <v>3</v>
      </c>
      <c r="D17" s="23" t="s">
        <v>820</v>
      </c>
      <c r="E17" s="23" t="s">
        <v>757</v>
      </c>
      <c r="F17" s="23" t="s">
        <v>991</v>
      </c>
    </row>
    <row r="18" customFormat="false" ht="12.75" hidden="false" customHeight="true" outlineLevel="0" collapsed="false">
      <c r="B18" s="26" t="s">
        <v>992</v>
      </c>
      <c r="C18" s="25" t="n">
        <f aca="false">COUNTIF('Coffee Audit'!F2:F2000,"*Malaysia*")</f>
        <v>1</v>
      </c>
      <c r="D18" s="25" t="s">
        <v>812</v>
      </c>
      <c r="E18" s="25" t="s">
        <v>757</v>
      </c>
      <c r="F18" s="25" t="s">
        <v>993</v>
      </c>
    </row>
    <row r="19" customFormat="false" ht="12.75" hidden="false" customHeight="true" outlineLevel="0" collapsed="false">
      <c r="B19" s="24" t="s">
        <v>994</v>
      </c>
      <c r="C19" s="23" t="n">
        <f aca="false">COUNTIF('Coffee Audit'!F2:F2000,"*China*")</f>
        <v>1</v>
      </c>
      <c r="D19" s="23" t="s">
        <v>812</v>
      </c>
      <c r="E19" s="23" t="s">
        <v>757</v>
      </c>
      <c r="F19" s="23" t="s">
        <v>995</v>
      </c>
    </row>
    <row r="20" customFormat="false" ht="12.75" hidden="false" customHeight="true" outlineLevel="0" collapsed="false">
      <c r="B20" s="26" t="s">
        <v>395</v>
      </c>
      <c r="C20" s="25" t="n">
        <f aca="false">COUNTIF('Coffee Audit'!F2:F2000,"*Rwanda*")</f>
        <v>2</v>
      </c>
      <c r="D20" s="25" t="s">
        <v>812</v>
      </c>
      <c r="E20" s="25" t="s">
        <v>757</v>
      </c>
      <c r="F20" s="25" t="s">
        <v>996</v>
      </c>
    </row>
    <row r="21" customFormat="false" ht="12.75" hidden="false" customHeight="true" outlineLevel="0" collapsed="false">
      <c r="B21" s="24" t="s">
        <v>997</v>
      </c>
      <c r="C21" s="23" t="n">
        <f aca="false">COUNTIF('Coffee Audit'!F2:F2000,"*Myanmar*")</f>
        <v>1</v>
      </c>
      <c r="D21" s="23" t="s">
        <v>812</v>
      </c>
      <c r="E21" s="23" t="s">
        <v>757</v>
      </c>
      <c r="F21" s="23" t="s">
        <v>998</v>
      </c>
    </row>
    <row r="22" customFormat="false" ht="12.75" hidden="false" customHeight="true" outlineLevel="0" collapsed="false">
      <c r="B22" s="26" t="s">
        <v>90</v>
      </c>
      <c r="C22" s="25" t="n">
        <f aca="false">COUNTIF('Coffee Audit'!F2:F2000,"*Salvador*")</f>
        <v>1</v>
      </c>
      <c r="D22" s="25" t="s">
        <v>812</v>
      </c>
      <c r="E22" s="25" t="s">
        <v>757</v>
      </c>
      <c r="F22" s="25" t="s">
        <v>999</v>
      </c>
    </row>
    <row r="23" customFormat="false" ht="7.5" hidden="false" customHeight="true" outlineLevel="0" collapsed="false"/>
    <row r="24" customFormat="false" ht="15.75" hidden="false" customHeight="true" outlineLevel="0" collapsed="false">
      <c r="B24" s="18" t="s">
        <v>1000</v>
      </c>
      <c r="C24" s="18"/>
      <c r="D24" s="18"/>
      <c r="E24" s="18"/>
      <c r="F24" s="18"/>
      <c r="G24" s="18"/>
      <c r="H24" s="18"/>
      <c r="I24" s="18"/>
      <c r="J24" s="18"/>
      <c r="K24" s="18"/>
      <c r="L24" s="18"/>
    </row>
    <row r="25" customFormat="false" ht="15.75" hidden="false" customHeight="true" outlineLevel="0" collapsed="false">
      <c r="B25" s="22" t="s">
        <v>6</v>
      </c>
      <c r="C25" s="22" t="s">
        <v>932</v>
      </c>
      <c r="D25" s="22" t="s">
        <v>1001</v>
      </c>
      <c r="E25" s="22" t="s">
        <v>1002</v>
      </c>
      <c r="F25" s="22" t="s">
        <v>743</v>
      </c>
    </row>
    <row r="26" customFormat="false" ht="12.75" hidden="false" customHeight="true" outlineLevel="0" collapsed="false">
      <c r="B26" s="32" t="s">
        <v>1003</v>
      </c>
      <c r="C26" s="33" t="s">
        <v>1004</v>
      </c>
      <c r="D26" s="33" t="s">
        <v>1005</v>
      </c>
      <c r="E26" s="33" t="s">
        <v>1006</v>
      </c>
      <c r="F26" s="33" t="s">
        <v>1007</v>
      </c>
    </row>
    <row r="27" customFormat="false" ht="12.75" hidden="false" customHeight="true" outlineLevel="0" collapsed="false">
      <c r="B27" s="32" t="s">
        <v>91</v>
      </c>
      <c r="C27" s="33" t="s">
        <v>1004</v>
      </c>
      <c r="D27" s="33" t="s">
        <v>1008</v>
      </c>
      <c r="E27" s="33" t="s">
        <v>1009</v>
      </c>
      <c r="F27" s="33" t="s">
        <v>1010</v>
      </c>
    </row>
    <row r="28" customFormat="false" ht="12.75" hidden="false" customHeight="true" outlineLevel="0" collapsed="false">
      <c r="B28" s="32" t="s">
        <v>661</v>
      </c>
      <c r="C28" s="33" t="s">
        <v>1004</v>
      </c>
      <c r="D28" s="33" t="s">
        <v>1011</v>
      </c>
      <c r="E28" s="33" t="s">
        <v>662</v>
      </c>
      <c r="F28" s="33" t="s">
        <v>1012</v>
      </c>
    </row>
    <row r="29" customFormat="false" ht="12.75" hidden="false" customHeight="true" outlineLevel="0" collapsed="false">
      <c r="B29" s="32" t="s">
        <v>183</v>
      </c>
      <c r="C29" s="33" t="s">
        <v>1004</v>
      </c>
      <c r="D29" s="33" t="s">
        <v>1013</v>
      </c>
      <c r="E29" s="33" t="s">
        <v>58</v>
      </c>
      <c r="F29" s="33" t="s">
        <v>1014</v>
      </c>
    </row>
    <row r="30" customFormat="false" ht="12.75" hidden="false" customHeight="true" outlineLevel="0" collapsed="false">
      <c r="B30" s="32" t="s">
        <v>530</v>
      </c>
      <c r="C30" s="33" t="s">
        <v>1004</v>
      </c>
      <c r="D30" s="33" t="s">
        <v>1015</v>
      </c>
      <c r="E30" s="33" t="s">
        <v>58</v>
      </c>
      <c r="F30" s="33" t="s">
        <v>1016</v>
      </c>
    </row>
    <row r="31" customFormat="false" ht="12.75" hidden="false" customHeight="true" outlineLevel="0" collapsed="false">
      <c r="B31" s="32" t="s">
        <v>119</v>
      </c>
      <c r="C31" s="33" t="s">
        <v>1004</v>
      </c>
      <c r="D31" s="33" t="s">
        <v>1017</v>
      </c>
      <c r="E31" s="33" t="s">
        <v>58</v>
      </c>
      <c r="F31" s="33" t="s">
        <v>1018</v>
      </c>
    </row>
    <row r="32" customFormat="false" ht="12.75" hidden="false" customHeight="true" outlineLevel="0" collapsed="false">
      <c r="B32" s="32" t="s">
        <v>316</v>
      </c>
      <c r="C32" s="33" t="s">
        <v>1004</v>
      </c>
      <c r="D32" s="33" t="s">
        <v>1019</v>
      </c>
      <c r="E32" s="33" t="s">
        <v>74</v>
      </c>
      <c r="F32" s="33" t="s">
        <v>1020</v>
      </c>
    </row>
    <row r="33" customFormat="false" ht="12.75" hidden="false" customHeight="true" outlineLevel="0" collapsed="false">
      <c r="B33" s="32" t="s">
        <v>373</v>
      </c>
      <c r="C33" s="33" t="s">
        <v>1004</v>
      </c>
      <c r="D33" s="33" t="s">
        <v>1021</v>
      </c>
      <c r="E33" s="33" t="s">
        <v>374</v>
      </c>
      <c r="F33" s="33" t="s">
        <v>1022</v>
      </c>
    </row>
    <row r="34" customFormat="false" ht="12.75" hidden="false" customHeight="true" outlineLevel="0" collapsed="false">
      <c r="B34" s="32" t="s">
        <v>1023</v>
      </c>
      <c r="C34" s="33" t="s">
        <v>1004</v>
      </c>
      <c r="D34" s="33" t="s">
        <v>1024</v>
      </c>
      <c r="E34" s="33" t="s">
        <v>1025</v>
      </c>
      <c r="F34" s="33" t="s">
        <v>1026</v>
      </c>
    </row>
    <row r="35" customFormat="false" ht="12.75" hidden="false" customHeight="true" outlineLevel="0" collapsed="false">
      <c r="B35" s="32" t="s">
        <v>472</v>
      </c>
      <c r="C35" s="33" t="s">
        <v>1004</v>
      </c>
      <c r="D35" s="33" t="s">
        <v>1027</v>
      </c>
      <c r="E35" s="33" t="s">
        <v>473</v>
      </c>
      <c r="F35" s="33" t="s">
        <v>1028</v>
      </c>
    </row>
    <row r="36" customFormat="false" ht="12.75" hidden="false" customHeight="true" outlineLevel="0" collapsed="false">
      <c r="B36" s="32" t="s">
        <v>230</v>
      </c>
      <c r="C36" s="33" t="s">
        <v>1004</v>
      </c>
      <c r="D36" s="33" t="s">
        <v>1029</v>
      </c>
      <c r="E36" s="33" t="s">
        <v>231</v>
      </c>
      <c r="F36" s="33" t="s">
        <v>1030</v>
      </c>
    </row>
    <row r="37" customFormat="false" ht="12.75" hidden="false" customHeight="true" outlineLevel="0" collapsed="false">
      <c r="B37" s="34" t="s">
        <v>1031</v>
      </c>
      <c r="C37" s="35" t="s">
        <v>1032</v>
      </c>
      <c r="D37" s="35" t="s">
        <v>757</v>
      </c>
      <c r="E37" s="35" t="s">
        <v>757</v>
      </c>
      <c r="F37" s="35" t="s">
        <v>1033</v>
      </c>
    </row>
    <row r="38" customFormat="false" ht="12.75" hidden="false" customHeight="true" outlineLevel="0" collapsed="false">
      <c r="B38" s="34" t="s">
        <v>1034</v>
      </c>
      <c r="C38" s="35" t="s">
        <v>1032</v>
      </c>
      <c r="D38" s="35" t="s">
        <v>757</v>
      </c>
      <c r="E38" s="35" t="s">
        <v>757</v>
      </c>
      <c r="F38" s="35" t="s">
        <v>1035</v>
      </c>
    </row>
    <row r="39" customFormat="false" ht="12.75" hidden="false" customHeight="true" outlineLevel="0" collapsed="false">
      <c r="B39" s="34" t="s">
        <v>1036</v>
      </c>
      <c r="C39" s="35" t="s">
        <v>1032</v>
      </c>
      <c r="D39" s="35" t="s">
        <v>757</v>
      </c>
      <c r="E39" s="35" t="s">
        <v>757</v>
      </c>
      <c r="F39" s="35" t="s">
        <v>1037</v>
      </c>
    </row>
  </sheetData>
  <mergeCells count="5">
    <mergeCell ref="B1:L1"/>
    <mergeCell ref="B2:L2"/>
    <mergeCell ref="B4:G4"/>
    <mergeCell ref="H4:L4"/>
    <mergeCell ref="B24:L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B1:K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26"/>
    <col collapsed="false" customWidth="true" hidden="false" outlineLevel="0" max="3" min="3" style="1" width="8"/>
    <col collapsed="false" customWidth="true" hidden="false" outlineLevel="0" max="4" min="4" style="1" width="11"/>
    <col collapsed="false" customWidth="true" hidden="false" outlineLevel="0" max="5" min="5" style="1" width="13"/>
    <col collapsed="false" customWidth="true" hidden="false" outlineLevel="0" max="6" min="6" style="1" width="42"/>
    <col collapsed="false" customWidth="true" hidden="false" outlineLevel="0" max="11" min="7" style="1" width="5"/>
  </cols>
  <sheetData>
    <row r="1" customFormat="false" ht="21.75" hidden="false" customHeight="true" outlineLevel="0" collapsed="false">
      <c r="B1" s="16" t="s">
        <v>1038</v>
      </c>
      <c r="C1" s="16"/>
      <c r="D1" s="16"/>
      <c r="E1" s="16"/>
      <c r="F1" s="16"/>
      <c r="G1" s="16"/>
      <c r="H1" s="16"/>
      <c r="I1" s="16"/>
      <c r="J1" s="16"/>
      <c r="K1" s="16"/>
    </row>
    <row r="2" customFormat="false" ht="13.5" hidden="false" customHeight="true" outlineLevel="0" collapsed="false">
      <c r="B2" s="17" t="s">
        <v>1039</v>
      </c>
      <c r="C2" s="17"/>
      <c r="D2" s="17"/>
      <c r="E2" s="17"/>
      <c r="F2" s="17"/>
      <c r="G2" s="17"/>
      <c r="H2" s="17"/>
      <c r="I2" s="17"/>
      <c r="J2" s="17"/>
      <c r="K2" s="17"/>
    </row>
    <row r="3" customFormat="false" ht="6" hidden="false" customHeight="true" outlineLevel="0" collapsed="false"/>
    <row r="4" customFormat="false" ht="15.75" hidden="false" customHeight="true" outlineLevel="0" collapsed="false">
      <c r="B4" s="18" t="s">
        <v>1040</v>
      </c>
      <c r="C4" s="18"/>
      <c r="D4" s="18"/>
      <c r="E4" s="18"/>
      <c r="F4" s="18"/>
      <c r="G4" s="18"/>
      <c r="H4" s="18"/>
      <c r="I4" s="18"/>
      <c r="J4" s="18"/>
      <c r="K4" s="18"/>
    </row>
    <row r="5" customFormat="false" ht="15.75" hidden="false" customHeight="true" outlineLevel="0" collapsed="false">
      <c r="B5" s="22" t="s">
        <v>1041</v>
      </c>
      <c r="C5" s="22" t="s">
        <v>783</v>
      </c>
      <c r="D5" s="22" t="s">
        <v>1042</v>
      </c>
      <c r="E5" s="22" t="s">
        <v>1043</v>
      </c>
      <c r="F5" s="22" t="s">
        <v>1044</v>
      </c>
    </row>
    <row r="6" customFormat="false" ht="12.75" hidden="false" customHeight="true" outlineLevel="0" collapsed="false">
      <c r="B6" s="26" t="s">
        <v>1045</v>
      </c>
      <c r="C6" s="25" t="s">
        <v>1046</v>
      </c>
      <c r="D6" s="25" t="s">
        <v>1047</v>
      </c>
      <c r="E6" s="25" t="s">
        <v>1048</v>
      </c>
      <c r="F6" s="25" t="s">
        <v>1049</v>
      </c>
    </row>
    <row r="7" customFormat="false" ht="12.75" hidden="false" customHeight="true" outlineLevel="0" collapsed="false">
      <c r="B7" s="24" t="s">
        <v>174</v>
      </c>
      <c r="C7" s="23" t="s">
        <v>1050</v>
      </c>
      <c r="D7" s="23" t="s">
        <v>1051</v>
      </c>
      <c r="E7" s="23" t="s">
        <v>1052</v>
      </c>
      <c r="F7" s="23" t="s">
        <v>1053</v>
      </c>
    </row>
    <row r="8" customFormat="false" ht="12.75" hidden="false" customHeight="true" outlineLevel="0" collapsed="false">
      <c r="B8" s="26" t="s">
        <v>1054</v>
      </c>
      <c r="C8" s="25" t="s">
        <v>896</v>
      </c>
      <c r="D8" s="25" t="s">
        <v>1055</v>
      </c>
      <c r="E8" s="25" t="s">
        <v>1056</v>
      </c>
      <c r="F8" s="25" t="s">
        <v>1057</v>
      </c>
    </row>
    <row r="9" customFormat="false" ht="12.75" hidden="false" customHeight="true" outlineLevel="0" collapsed="false">
      <c r="B9" s="24" t="s">
        <v>235</v>
      </c>
      <c r="C9" s="23" t="s">
        <v>902</v>
      </c>
      <c r="D9" s="23" t="s">
        <v>1055</v>
      </c>
      <c r="E9" s="23" t="s">
        <v>1058</v>
      </c>
      <c r="F9" s="23" t="s">
        <v>1059</v>
      </c>
    </row>
    <row r="10" customFormat="false" ht="12.75" hidden="false" customHeight="true" outlineLevel="0" collapsed="false">
      <c r="B10" s="26" t="s">
        <v>1060</v>
      </c>
      <c r="C10" s="25" t="s">
        <v>1046</v>
      </c>
      <c r="D10" s="25" t="s">
        <v>1061</v>
      </c>
      <c r="E10" s="25" t="s">
        <v>1062</v>
      </c>
      <c r="F10" s="25" t="s">
        <v>1063</v>
      </c>
    </row>
    <row r="11" customFormat="false" ht="12.75" hidden="false" customHeight="true" outlineLevel="0" collapsed="false">
      <c r="B11" s="24" t="s">
        <v>1064</v>
      </c>
      <c r="C11" s="23" t="s">
        <v>837</v>
      </c>
      <c r="D11" s="23" t="s">
        <v>1065</v>
      </c>
      <c r="E11" s="23" t="s">
        <v>1066</v>
      </c>
      <c r="F11" s="23" t="s">
        <v>370</v>
      </c>
    </row>
    <row r="12" customFormat="false" ht="12.75" hidden="false" customHeight="true" outlineLevel="0" collapsed="false">
      <c r="B12" s="26" t="s">
        <v>222</v>
      </c>
      <c r="C12" s="25" t="s">
        <v>1046</v>
      </c>
      <c r="D12" s="25" t="s">
        <v>1067</v>
      </c>
      <c r="E12" s="25" t="s">
        <v>1068</v>
      </c>
      <c r="F12" s="25" t="s">
        <v>1069</v>
      </c>
    </row>
    <row r="13" customFormat="false" ht="12.75" hidden="false" customHeight="true" outlineLevel="0" collapsed="false">
      <c r="B13" s="24" t="s">
        <v>1070</v>
      </c>
      <c r="C13" s="23" t="s">
        <v>1046</v>
      </c>
      <c r="D13" s="23" t="s">
        <v>1071</v>
      </c>
      <c r="E13" s="23" t="s">
        <v>1072</v>
      </c>
      <c r="F13" s="23" t="s">
        <v>1073</v>
      </c>
    </row>
    <row r="14" customFormat="false" ht="12.75" hidden="false" customHeight="true" outlineLevel="0" collapsed="false">
      <c r="B14" s="26" t="s">
        <v>1074</v>
      </c>
      <c r="C14" s="25" t="s">
        <v>837</v>
      </c>
      <c r="D14" s="25" t="s">
        <v>1065</v>
      </c>
      <c r="E14" s="25" t="s">
        <v>1075</v>
      </c>
      <c r="F14" s="25" t="s">
        <v>456</v>
      </c>
    </row>
    <row r="15" customFormat="false" ht="12.75" hidden="false" customHeight="true" outlineLevel="0" collapsed="false">
      <c r="B15" s="24" t="s">
        <v>1076</v>
      </c>
      <c r="C15" s="23" t="s">
        <v>837</v>
      </c>
      <c r="D15" s="23" t="s">
        <v>1077</v>
      </c>
      <c r="E15" s="23" t="s">
        <v>1078</v>
      </c>
      <c r="F15" s="23" t="s">
        <v>416</v>
      </c>
    </row>
    <row r="16" customFormat="false" ht="7.5" hidden="false" customHeight="true" outlineLevel="0" collapsed="false"/>
    <row r="17" customFormat="false" ht="15.75" hidden="false" customHeight="true" outlineLevel="0" collapsed="false">
      <c r="B17" s="18" t="s">
        <v>1079</v>
      </c>
      <c r="C17" s="18"/>
      <c r="D17" s="18"/>
      <c r="E17" s="18"/>
      <c r="F17" s="18"/>
      <c r="G17" s="18"/>
      <c r="H17" s="18"/>
      <c r="I17" s="18"/>
      <c r="J17" s="18"/>
      <c r="K17" s="18"/>
    </row>
    <row r="18" customFormat="false" ht="15.75" hidden="false" customHeight="true" outlineLevel="0" collapsed="false">
      <c r="B18" s="22" t="s">
        <v>1080</v>
      </c>
      <c r="C18" s="22" t="s">
        <v>783</v>
      </c>
      <c r="D18" s="22" t="s">
        <v>1081</v>
      </c>
      <c r="E18" s="22" t="s">
        <v>832</v>
      </c>
    </row>
    <row r="19" customFormat="false" ht="15.75" hidden="false" customHeight="true" outlineLevel="0" collapsed="false">
      <c r="B19" s="32" t="s">
        <v>1082</v>
      </c>
      <c r="C19" s="33" t="s">
        <v>1083</v>
      </c>
      <c r="D19" s="33" t="s">
        <v>1084</v>
      </c>
      <c r="E19" s="33" t="s">
        <v>1085</v>
      </c>
    </row>
    <row r="20" customFormat="false" ht="15.75" hidden="false" customHeight="true" outlineLevel="0" collapsed="false">
      <c r="B20" s="32" t="s">
        <v>1086</v>
      </c>
      <c r="C20" s="33" t="s">
        <v>837</v>
      </c>
      <c r="D20" s="33" t="s">
        <v>1087</v>
      </c>
      <c r="E20" s="33" t="s">
        <v>1088</v>
      </c>
    </row>
    <row r="21" customFormat="false" ht="15.75" hidden="false" customHeight="true" outlineLevel="0" collapsed="false">
      <c r="B21" s="36" t="s">
        <v>1089</v>
      </c>
      <c r="C21" s="37" t="s">
        <v>849</v>
      </c>
      <c r="D21" s="37" t="s">
        <v>1090</v>
      </c>
      <c r="E21" s="37" t="s">
        <v>1091</v>
      </c>
    </row>
    <row r="22" customFormat="false" ht="15.75" hidden="false" customHeight="true" outlineLevel="0" collapsed="false">
      <c r="B22" s="36" t="s">
        <v>1092</v>
      </c>
      <c r="C22" s="37" t="s">
        <v>902</v>
      </c>
      <c r="D22" s="37" t="s">
        <v>1093</v>
      </c>
      <c r="E22" s="37" t="s">
        <v>1094</v>
      </c>
    </row>
    <row r="23" customFormat="false" ht="15.75" hidden="false" customHeight="true" outlineLevel="0" collapsed="false">
      <c r="B23" s="32" t="s">
        <v>1095</v>
      </c>
      <c r="C23" s="33" t="s">
        <v>1096</v>
      </c>
      <c r="D23" s="33" t="s">
        <v>1097</v>
      </c>
      <c r="E23" s="33" t="s">
        <v>1098</v>
      </c>
    </row>
    <row r="24" customFormat="false" ht="15.75" hidden="false" customHeight="true" outlineLevel="0" collapsed="false">
      <c r="B24" s="34" t="s">
        <v>1099</v>
      </c>
      <c r="C24" s="35" t="s">
        <v>837</v>
      </c>
      <c r="D24" s="35" t="s">
        <v>1100</v>
      </c>
      <c r="E24" s="35" t="s">
        <v>1101</v>
      </c>
    </row>
    <row r="25" customFormat="false" ht="7.5" hidden="false" customHeight="true" outlineLevel="0" collapsed="false"/>
    <row r="26" customFormat="false" ht="15.75" hidden="false" customHeight="true" outlineLevel="0" collapsed="false">
      <c r="B26" s="18" t="s">
        <v>1102</v>
      </c>
      <c r="C26" s="18"/>
      <c r="D26" s="18"/>
      <c r="E26" s="18"/>
      <c r="F26" s="18"/>
      <c r="G26" s="18"/>
      <c r="H26" s="18"/>
      <c r="I26" s="18"/>
      <c r="J26" s="18"/>
      <c r="K26" s="18"/>
    </row>
    <row r="27" customFormat="false" ht="19.5" hidden="false" customHeight="true" outlineLevel="0" collapsed="false">
      <c r="B27" s="38" t="s">
        <v>1103</v>
      </c>
      <c r="C27" s="38"/>
      <c r="D27" s="38"/>
      <c r="E27" s="38"/>
      <c r="F27" s="38"/>
      <c r="G27" s="38"/>
      <c r="H27" s="38"/>
      <c r="I27" s="38"/>
      <c r="J27" s="38"/>
    </row>
    <row r="28" customFormat="false" ht="19.5" hidden="false" customHeight="true" outlineLevel="0" collapsed="false">
      <c r="B28" s="39" t="s">
        <v>1104</v>
      </c>
      <c r="C28" s="39"/>
      <c r="D28" s="39"/>
      <c r="E28" s="39"/>
      <c r="F28" s="39"/>
      <c r="G28" s="39"/>
      <c r="H28" s="39"/>
      <c r="I28" s="39"/>
      <c r="J28" s="39"/>
    </row>
    <row r="29" customFormat="false" ht="19.5" hidden="false" customHeight="true" outlineLevel="0" collapsed="false">
      <c r="B29" s="40" t="s">
        <v>1105</v>
      </c>
      <c r="C29" s="40"/>
      <c r="D29" s="40"/>
      <c r="E29" s="40"/>
      <c r="F29" s="40"/>
      <c r="G29" s="40"/>
      <c r="H29" s="40"/>
      <c r="I29" s="40"/>
      <c r="J29" s="40"/>
    </row>
    <row r="30" customFormat="false" ht="19.5" hidden="false" customHeight="true" outlineLevel="0" collapsed="false">
      <c r="B30" s="39" t="s">
        <v>1106</v>
      </c>
      <c r="C30" s="39"/>
      <c r="D30" s="39"/>
      <c r="E30" s="39"/>
      <c r="F30" s="39"/>
      <c r="G30" s="39"/>
      <c r="H30" s="39"/>
      <c r="I30" s="39"/>
      <c r="J30" s="39"/>
    </row>
    <row r="31" customFormat="false" ht="19.5" hidden="false" customHeight="true" outlineLevel="0" collapsed="false">
      <c r="B31" s="40" t="s">
        <v>1107</v>
      </c>
      <c r="C31" s="40"/>
      <c r="D31" s="40"/>
      <c r="E31" s="40"/>
      <c r="F31" s="40"/>
      <c r="G31" s="40"/>
      <c r="H31" s="40"/>
      <c r="I31" s="40"/>
      <c r="J31" s="40"/>
    </row>
    <row r="32" customFormat="false" ht="19.5" hidden="false" customHeight="true" outlineLevel="0" collapsed="false">
      <c r="B32" s="39" t="s">
        <v>1108</v>
      </c>
      <c r="C32" s="39"/>
      <c r="D32" s="39"/>
      <c r="E32" s="39"/>
      <c r="F32" s="39"/>
      <c r="G32" s="39"/>
      <c r="H32" s="39"/>
      <c r="I32" s="39"/>
      <c r="J32" s="39"/>
    </row>
  </sheetData>
  <mergeCells count="11">
    <mergeCell ref="B1:K1"/>
    <mergeCell ref="B2:K2"/>
    <mergeCell ref="B4:K4"/>
    <mergeCell ref="B17:K17"/>
    <mergeCell ref="B26:K26"/>
    <mergeCell ref="B27:J27"/>
    <mergeCell ref="B28:J28"/>
    <mergeCell ref="B29:J29"/>
    <mergeCell ref="B30:J30"/>
    <mergeCell ref="B31:J31"/>
    <mergeCell ref="B32:J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E342E"/>
    <pageSetUpPr fitToPage="false"/>
  </sheetPr>
  <dimension ref="B1:L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32"/>
    <col collapsed="false" customWidth="true" hidden="false" outlineLevel="0" max="3" min="3" style="1" width="11"/>
    <col collapsed="false" customWidth="true" hidden="false" outlineLevel="0" max="4" min="4" style="1" width="7"/>
    <col collapsed="false" customWidth="true" hidden="false" outlineLevel="0" max="5" min="5" style="1" width="6"/>
    <col collapsed="false" customWidth="true" hidden="false" outlineLevel="0" max="6" min="6" style="1" width="7"/>
    <col collapsed="false" customWidth="true" hidden="false" outlineLevel="0" max="7" min="7" style="1" width="44"/>
    <col collapsed="false" customWidth="true" hidden="false" outlineLevel="0" max="9" min="8" style="1" width="22"/>
    <col collapsed="false" customWidth="true" hidden="false" outlineLevel="0" max="10" min="10" style="1" width="9"/>
    <col collapsed="false" customWidth="true" hidden="false" outlineLevel="0" max="11" min="11" style="1" width="36"/>
  </cols>
  <sheetData>
    <row r="1" customFormat="false" ht="21.75" hidden="false" customHeight="true" outlineLevel="0" collapsed="false">
      <c r="B1" s="16" t="s">
        <v>1109</v>
      </c>
      <c r="C1" s="16"/>
      <c r="D1" s="16"/>
      <c r="E1" s="16"/>
      <c r="F1" s="16"/>
      <c r="G1" s="16"/>
      <c r="H1" s="16"/>
      <c r="I1" s="16"/>
      <c r="J1" s="16"/>
      <c r="K1" s="16"/>
      <c r="L1" s="16"/>
    </row>
    <row r="2" customFormat="false" ht="13.5" hidden="false" customHeight="true" outlineLevel="0" collapsed="false">
      <c r="B2" s="17" t="s">
        <v>1110</v>
      </c>
      <c r="C2" s="17"/>
      <c r="D2" s="17"/>
      <c r="E2" s="17"/>
      <c r="F2" s="17"/>
      <c r="G2" s="17"/>
      <c r="H2" s="17"/>
      <c r="I2" s="17"/>
      <c r="J2" s="17"/>
      <c r="K2" s="17"/>
      <c r="L2" s="17"/>
    </row>
    <row r="3" customFormat="false" ht="6" hidden="false" customHeight="true" outlineLevel="0" collapsed="false"/>
    <row r="4" customFormat="false" ht="15.75" hidden="false" customHeight="true" outlineLevel="0" collapsed="false">
      <c r="B4" s="18" t="s">
        <v>1111</v>
      </c>
      <c r="C4" s="18"/>
      <c r="D4" s="18"/>
      <c r="E4" s="18"/>
      <c r="F4" s="18"/>
      <c r="G4" s="18"/>
      <c r="H4" s="18"/>
      <c r="I4" s="18"/>
      <c r="J4" s="18"/>
      <c r="K4" s="18"/>
      <c r="L4" s="18"/>
    </row>
    <row r="5" customFormat="false" ht="15.75" hidden="false" customHeight="true" outlineLevel="0" collapsed="false">
      <c r="B5" s="22" t="s">
        <v>1</v>
      </c>
      <c r="C5" s="22" t="s">
        <v>783</v>
      </c>
      <c r="D5" s="22" t="s">
        <v>1112</v>
      </c>
      <c r="E5" s="22" t="s">
        <v>1113</v>
      </c>
      <c r="F5" s="22" t="s">
        <v>1114</v>
      </c>
    </row>
    <row r="6" customFormat="false" ht="12.75" hidden="false" customHeight="true" outlineLevel="0" collapsed="false">
      <c r="B6" s="26" t="s">
        <v>52</v>
      </c>
      <c r="C6" s="25" t="n">
        <f aca="false">COUNTIF('Coffee Audit'!B2:B2000,"*Singapore*")</f>
        <v>59</v>
      </c>
      <c r="D6" s="25" t="s">
        <v>1115</v>
      </c>
      <c r="E6" s="25" t="s">
        <v>1116</v>
      </c>
      <c r="F6" s="25" t="s">
        <v>1117</v>
      </c>
    </row>
    <row r="7" customFormat="false" ht="12.75" hidden="false" customHeight="true" outlineLevel="0" collapsed="false">
      <c r="B7" s="24" t="s">
        <v>24</v>
      </c>
      <c r="C7" s="23" t="n">
        <f aca="false">COUNTIF('Coffee Audit'!B2:B2000,"*Bali*")</f>
        <v>3</v>
      </c>
      <c r="D7" s="23" t="s">
        <v>837</v>
      </c>
      <c r="E7" s="23" t="s">
        <v>826</v>
      </c>
      <c r="F7" s="23" t="s">
        <v>1118</v>
      </c>
    </row>
    <row r="8" customFormat="false" ht="12.75" hidden="false" customHeight="true" outlineLevel="0" collapsed="false">
      <c r="B8" s="26" t="s">
        <v>69</v>
      </c>
      <c r="C8" s="25" t="n">
        <f aca="false">COUNTIF('Coffee Audit'!B2:B2000,"*Mumbai*")</f>
        <v>2</v>
      </c>
      <c r="D8" s="25" t="s">
        <v>1046</v>
      </c>
      <c r="E8" s="25" t="s">
        <v>812</v>
      </c>
      <c r="F8" s="25" t="s">
        <v>1119</v>
      </c>
    </row>
    <row r="9" customFormat="false" ht="12.75" hidden="false" customHeight="true" outlineLevel="0" collapsed="false">
      <c r="B9" s="24" t="s">
        <v>227</v>
      </c>
      <c r="C9" s="23" t="n">
        <f aca="false">COUNTIF('Coffee Audit'!B2:B2000,"*Johor*")</f>
        <v>1</v>
      </c>
      <c r="D9" s="23" t="s">
        <v>837</v>
      </c>
      <c r="E9" s="23" t="s">
        <v>812</v>
      </c>
      <c r="F9" s="23" t="s">
        <v>1120</v>
      </c>
    </row>
    <row r="10" customFormat="false" ht="7.5" hidden="false" customHeight="true" outlineLevel="0" collapsed="false"/>
    <row r="11" customFormat="false" ht="15.75" hidden="false" customHeight="true" outlineLevel="0" collapsed="false">
      <c r="B11" s="18" t="s">
        <v>1121</v>
      </c>
      <c r="C11" s="18"/>
      <c r="D11" s="18"/>
      <c r="E11" s="18"/>
      <c r="F11" s="18"/>
      <c r="G11" s="18"/>
      <c r="H11" s="18"/>
      <c r="I11" s="18"/>
      <c r="J11" s="18"/>
      <c r="K11" s="18"/>
      <c r="L11" s="18"/>
    </row>
    <row r="12" customFormat="false" ht="15.75" hidden="false" customHeight="true" outlineLevel="0" collapsed="false">
      <c r="B12" s="22" t="s">
        <v>739</v>
      </c>
      <c r="C12" s="22" t="s">
        <v>1</v>
      </c>
      <c r="D12" s="22" t="s">
        <v>783</v>
      </c>
      <c r="E12" s="22" t="s">
        <v>171</v>
      </c>
      <c r="F12" s="22" t="s">
        <v>1122</v>
      </c>
      <c r="G12" s="22" t="s">
        <v>1123</v>
      </c>
      <c r="H12" s="22" t="s">
        <v>1124</v>
      </c>
      <c r="I12" s="22" t="s">
        <v>1125</v>
      </c>
      <c r="J12" s="22" t="s">
        <v>1126</v>
      </c>
      <c r="K12" s="22" t="s">
        <v>1127</v>
      </c>
    </row>
    <row r="13" customFormat="false" ht="13.5" hidden="false" customHeight="true" outlineLevel="0" collapsed="false">
      <c r="B13" s="41" t="s">
        <v>251</v>
      </c>
      <c r="C13" s="42" t="s">
        <v>52</v>
      </c>
      <c r="D13" s="42" t="n">
        <f aca="false">COUNTIF('Coffee Audit'!C2:C2000,B13)</f>
        <v>6</v>
      </c>
      <c r="E13" s="42" t="n">
        <f aca="false">SUMPRODUCT(('Coffee Audit'!C2:C2000=B13)*('Coffee Audit'!W2:W2000="⭐ GESHA"))</f>
        <v>0</v>
      </c>
      <c r="F13" s="42" t="str">
        <f aca="false">IFERROR(TEXT(AVERAGEIFS('Coffee Audit'!Q2:Q2000,'Coffee Audit'!C2:C2000,B13,'Coffee Audit'!Q2:Q2000,"&gt;0"),"S$0.00"),"—")</f>
        <v>0$0.00</v>
      </c>
      <c r="G13" s="42" t="s">
        <v>1128</v>
      </c>
      <c r="H13" s="42" t="s">
        <v>1129</v>
      </c>
      <c r="I13" s="42" t="s">
        <v>1130</v>
      </c>
      <c r="J13" s="42" t="s">
        <v>1131</v>
      </c>
      <c r="K13" s="42" t="s">
        <v>1132</v>
      </c>
    </row>
    <row r="14" customFormat="false" ht="13.5" hidden="false" customHeight="true" outlineLevel="0" collapsed="false">
      <c r="B14" s="43" t="s">
        <v>322</v>
      </c>
      <c r="C14" s="44" t="s">
        <v>52</v>
      </c>
      <c r="D14" s="44" t="n">
        <f aca="false">COUNTIF('Coffee Audit'!C2:C2000,B14)</f>
        <v>4</v>
      </c>
      <c r="E14" s="44" t="n">
        <f aca="false">SUMPRODUCT(('Coffee Audit'!C2:C2000=B14)*('Coffee Audit'!W2:W2000="⭐ GESHA"))</f>
        <v>1</v>
      </c>
      <c r="F14" s="44" t="str">
        <f aca="false">IFERROR(TEXT(AVERAGEIFS('Coffee Audit'!Q2:Q2000,'Coffee Audit'!C2:C2000,B14,'Coffee Audit'!Q2:Q2000,"&gt;0"),"S$0.00"),"—")</f>
        <v>0$0.00</v>
      </c>
      <c r="G14" s="44" t="s">
        <v>1133</v>
      </c>
      <c r="H14" s="44" t="s">
        <v>1134</v>
      </c>
      <c r="I14" s="44" t="s">
        <v>757</v>
      </c>
      <c r="J14" s="44" t="s">
        <v>1131</v>
      </c>
      <c r="K14" s="44" t="s">
        <v>1135</v>
      </c>
    </row>
    <row r="15" customFormat="false" ht="13.5" hidden="false" customHeight="true" outlineLevel="0" collapsed="false">
      <c r="B15" s="41" t="s">
        <v>167</v>
      </c>
      <c r="C15" s="42" t="s">
        <v>52</v>
      </c>
      <c r="D15" s="42" t="n">
        <f aca="false">COUNTIF('Coffee Audit'!C2:C2000,B15)</f>
        <v>4</v>
      </c>
      <c r="E15" s="42" t="n">
        <f aca="false">SUMPRODUCT(('Coffee Audit'!C2:C2000=B15)*('Coffee Audit'!W2:W2000="⭐ GESHA"))</f>
        <v>2</v>
      </c>
      <c r="F15" s="42" t="str">
        <f aca="false">IFERROR(TEXT(AVERAGEIFS('Coffee Audit'!Q2:Q2000,'Coffee Audit'!C2:C2000,B15,'Coffee Audit'!Q2:Q2000,"&gt;0"),"S$0.00"),"—")</f>
        <v>0$0.00</v>
      </c>
      <c r="G15" s="42" t="s">
        <v>1136</v>
      </c>
      <c r="H15" s="42" t="s">
        <v>757</v>
      </c>
      <c r="I15" s="42" t="s">
        <v>757</v>
      </c>
      <c r="J15" s="42" t="s">
        <v>1131</v>
      </c>
      <c r="K15" s="42" t="s">
        <v>1137</v>
      </c>
    </row>
    <row r="16" customFormat="false" ht="13.5" hidden="false" customHeight="true" outlineLevel="0" collapsed="false">
      <c r="B16" s="43" t="s">
        <v>370</v>
      </c>
      <c r="C16" s="44" t="s">
        <v>52</v>
      </c>
      <c r="D16" s="44" t="n">
        <f aca="false">COUNTIF('Coffee Audit'!C2:C2000,B16)</f>
        <v>2</v>
      </c>
      <c r="E16" s="44" t="n">
        <f aca="false">SUMPRODUCT(('Coffee Audit'!C2:C2000=B16)*('Coffee Audit'!W2:W2000="⭐ GESHA"))</f>
        <v>0</v>
      </c>
      <c r="F16" s="44" t="str">
        <f aca="false">IFERROR(TEXT(AVERAGEIFS('Coffee Audit'!Q2:Q2000,'Coffee Audit'!C2:C2000,B16,'Coffee Audit'!Q2:Q2000,"&gt;0"),"S$0.00"),"—")</f>
        <v>0$0.00</v>
      </c>
      <c r="G16" s="44" t="s">
        <v>1138</v>
      </c>
      <c r="H16" s="44" t="s">
        <v>1139</v>
      </c>
      <c r="I16" s="44" t="s">
        <v>1140</v>
      </c>
      <c r="J16" s="44" t="s">
        <v>1131</v>
      </c>
      <c r="K16" s="44" t="s">
        <v>1141</v>
      </c>
    </row>
    <row r="17" customFormat="false" ht="13.5" hidden="false" customHeight="true" outlineLevel="0" collapsed="false">
      <c r="B17" s="41" t="s">
        <v>53</v>
      </c>
      <c r="C17" s="42" t="s">
        <v>52</v>
      </c>
      <c r="D17" s="42" t="n">
        <f aca="false">COUNTIF('Coffee Audit'!C2:C2000,B17)</f>
        <v>3</v>
      </c>
      <c r="E17" s="42" t="n">
        <f aca="false">SUMPRODUCT(('Coffee Audit'!C2:C2000=B17)*('Coffee Audit'!W2:W2000="⭐ GESHA"))</f>
        <v>0</v>
      </c>
      <c r="F17" s="42" t="str">
        <f aca="false">IFERROR(TEXT(AVERAGEIFS('Coffee Audit'!Q2:Q2000,'Coffee Audit'!C2:C2000,B17,'Coffee Audit'!Q2:Q2000,"&gt;0"),"S$0.00"),"—")</f>
        <v>0$0.00</v>
      </c>
      <c r="G17" s="42" t="s">
        <v>1142</v>
      </c>
      <c r="H17" s="42" t="s">
        <v>1143</v>
      </c>
      <c r="I17" s="42" t="s">
        <v>1144</v>
      </c>
      <c r="J17" s="42" t="s">
        <v>1131</v>
      </c>
      <c r="K17" s="42" t="s">
        <v>1145</v>
      </c>
    </row>
    <row r="18" customFormat="false" ht="13.5" hidden="false" customHeight="true" outlineLevel="0" collapsed="false">
      <c r="B18" s="43" t="s">
        <v>646</v>
      </c>
      <c r="C18" s="44" t="s">
        <v>52</v>
      </c>
      <c r="D18" s="44" t="n">
        <f aca="false">COUNTIF('Coffee Audit'!C2:C2000,B18)</f>
        <v>1</v>
      </c>
      <c r="E18" s="44" t="n">
        <f aca="false">SUMPRODUCT(('Coffee Audit'!C2:C2000=B18)*('Coffee Audit'!W2:W2000="⭐ GESHA"))</f>
        <v>1</v>
      </c>
      <c r="F18" s="44" t="str">
        <f aca="false">IFERROR(TEXT(AVERAGEIFS('Coffee Audit'!Q2:Q2000,'Coffee Audit'!C2:C2000,B18,'Coffee Audit'!Q2:Q2000,"&gt;0"),"S$0.00"),"—")</f>
        <v>0$0.00</v>
      </c>
      <c r="G18" s="44" t="s">
        <v>1146</v>
      </c>
      <c r="H18" s="44" t="s">
        <v>1147</v>
      </c>
      <c r="I18" s="44" t="s">
        <v>1148</v>
      </c>
      <c r="J18" s="44" t="s">
        <v>1131</v>
      </c>
      <c r="K18" s="44" t="s">
        <v>1149</v>
      </c>
    </row>
    <row r="19" customFormat="false" ht="13.5" hidden="false" customHeight="true" outlineLevel="0" collapsed="false">
      <c r="B19" s="45" t="s">
        <v>540</v>
      </c>
      <c r="C19" s="46" t="s">
        <v>52</v>
      </c>
      <c r="D19" s="46" t="n">
        <f aca="false">COUNTIF('Coffee Audit'!C2:C2000,B19)</f>
        <v>2</v>
      </c>
      <c r="E19" s="46" t="n">
        <f aca="false">SUMPRODUCT(('Coffee Audit'!C2:C2000=B19)*('Coffee Audit'!W2:W2000="⭐ GESHA"))</f>
        <v>0</v>
      </c>
      <c r="F19" s="46" t="str">
        <f aca="false">IFERROR(TEXT(AVERAGEIFS('Coffee Audit'!Q2:Q2000,'Coffee Audit'!C2:C2000,B19,'Coffee Audit'!Q2:Q2000,"&gt;0"),"S$0.00"),"—")</f>
        <v>0$0.00</v>
      </c>
      <c r="G19" s="46" t="s">
        <v>1150</v>
      </c>
      <c r="H19" s="46" t="s">
        <v>1151</v>
      </c>
      <c r="I19" s="46" t="s">
        <v>1152</v>
      </c>
      <c r="J19" s="46" t="s">
        <v>1153</v>
      </c>
      <c r="K19" s="46" t="s">
        <v>1154</v>
      </c>
    </row>
    <row r="20" customFormat="false" ht="13.5" hidden="false" customHeight="true" outlineLevel="0" collapsed="false">
      <c r="B20" s="43" t="s">
        <v>555</v>
      </c>
      <c r="C20" s="44" t="s">
        <v>52</v>
      </c>
      <c r="D20" s="44" t="n">
        <f aca="false">COUNTIF('Coffee Audit'!C2:C2000,B20)</f>
        <v>2</v>
      </c>
      <c r="E20" s="44" t="n">
        <f aca="false">SUMPRODUCT(('Coffee Audit'!C2:C2000=B20)*('Coffee Audit'!W2:W2000="⭐ GESHA"))</f>
        <v>1</v>
      </c>
      <c r="F20" s="44" t="str">
        <f aca="false">IFERROR(TEXT(AVERAGEIFS('Coffee Audit'!Q2:Q2000,'Coffee Audit'!C2:C2000,B20,'Coffee Audit'!Q2:Q2000,"&gt;0"),"S$0.00"),"—")</f>
        <v>0$0.00</v>
      </c>
      <c r="G20" s="44" t="s">
        <v>1155</v>
      </c>
      <c r="H20" s="44" t="s">
        <v>1156</v>
      </c>
      <c r="I20" s="44" t="s">
        <v>1157</v>
      </c>
      <c r="J20" s="44" t="s">
        <v>1131</v>
      </c>
      <c r="K20" s="44" t="s">
        <v>1158</v>
      </c>
    </row>
    <row r="21" customFormat="false" ht="13.5" hidden="false" customHeight="true" outlineLevel="0" collapsed="false">
      <c r="B21" s="41" t="s">
        <v>607</v>
      </c>
      <c r="C21" s="42" t="s">
        <v>52</v>
      </c>
      <c r="D21" s="42" t="n">
        <f aca="false">COUNTIF('Coffee Audit'!C2:C2000,B21)</f>
        <v>1</v>
      </c>
      <c r="E21" s="42" t="n">
        <f aca="false">SUMPRODUCT(('Coffee Audit'!C2:C2000=B21)*('Coffee Audit'!W2:W2000="⭐ GESHA"))</f>
        <v>1</v>
      </c>
      <c r="F21" s="42" t="str">
        <f aca="false">IFERROR(TEXT(AVERAGEIFS('Coffee Audit'!Q2:Q2000,'Coffee Audit'!C2:C2000,B21,'Coffee Audit'!Q2:Q2000,"&gt;0"),"S$0.00"),"—")</f>
        <v>0$0.00</v>
      </c>
      <c r="G21" s="42" t="s">
        <v>1159</v>
      </c>
      <c r="H21" s="42" t="s">
        <v>1160</v>
      </c>
      <c r="I21" s="42" t="s">
        <v>1161</v>
      </c>
      <c r="J21" s="42" t="s">
        <v>1131</v>
      </c>
      <c r="K21" s="42"/>
    </row>
    <row r="22" customFormat="false" ht="13.5" hidden="false" customHeight="true" outlineLevel="0" collapsed="false">
      <c r="B22" s="43" t="s">
        <v>622</v>
      </c>
      <c r="C22" s="44" t="s">
        <v>52</v>
      </c>
      <c r="D22" s="44" t="n">
        <f aca="false">COUNTIF('Coffee Audit'!C2:C2000,B22)</f>
        <v>1</v>
      </c>
      <c r="E22" s="44" t="n">
        <f aca="false">SUMPRODUCT(('Coffee Audit'!C2:C2000=B22)*('Coffee Audit'!W2:W2000="⭐ GESHA"))</f>
        <v>1</v>
      </c>
      <c r="F22" s="44" t="str">
        <f aca="false">IFERROR(TEXT(AVERAGEIFS('Coffee Audit'!Q2:Q2000,'Coffee Audit'!C2:C2000,B22,'Coffee Audit'!Q2:Q2000,"&gt;0"),"S$0.00"),"—")</f>
        <v>0$0.00</v>
      </c>
      <c r="G22" s="44" t="s">
        <v>1162</v>
      </c>
      <c r="H22" s="44" t="s">
        <v>757</v>
      </c>
      <c r="I22" s="44" t="s">
        <v>1163</v>
      </c>
      <c r="J22" s="44" t="s">
        <v>1131</v>
      </c>
      <c r="K22" s="44" t="s">
        <v>1164</v>
      </c>
    </row>
    <row r="23" customFormat="false" ht="13.5" hidden="false" customHeight="true" outlineLevel="0" collapsed="false">
      <c r="B23" s="41" t="s">
        <v>115</v>
      </c>
      <c r="C23" s="42" t="s">
        <v>52</v>
      </c>
      <c r="D23" s="42" t="n">
        <f aca="false">COUNTIF('Coffee Audit'!C2:C2000,B23)</f>
        <v>1</v>
      </c>
      <c r="E23" s="42" t="n">
        <f aca="false">SUMPRODUCT(('Coffee Audit'!C2:C2000=B23)*('Coffee Audit'!W2:W2000="⭐ GESHA"))</f>
        <v>0</v>
      </c>
      <c r="F23" s="42" t="str">
        <f aca="false">IFERROR(TEXT(AVERAGEIFS('Coffee Audit'!Q2:Q2000,'Coffee Audit'!C2:C2000,B23,'Coffee Audit'!Q2:Q2000,"&gt;0"),"S$0.00"),"—")</f>
        <v>—</v>
      </c>
      <c r="G23" s="42" t="s">
        <v>1165</v>
      </c>
      <c r="H23" s="42" t="s">
        <v>1166</v>
      </c>
      <c r="I23" s="42" t="s">
        <v>1167</v>
      </c>
      <c r="J23" s="42" t="s">
        <v>1131</v>
      </c>
      <c r="K23" s="42" t="s">
        <v>1168</v>
      </c>
    </row>
    <row r="24" customFormat="false" ht="13.5" hidden="false" customHeight="true" outlineLevel="0" collapsed="false">
      <c r="B24" s="43" t="s">
        <v>1169</v>
      </c>
      <c r="C24" s="44" t="s">
        <v>52</v>
      </c>
      <c r="D24" s="44" t="n">
        <f aca="false">COUNTIF('Coffee Audit'!C2:C2000,B24)</f>
        <v>0</v>
      </c>
      <c r="E24" s="44" t="n">
        <f aca="false">SUMPRODUCT(('Coffee Audit'!C2:C2000=B24)*('Coffee Audit'!W2:W2000="⭐ GESHA"))</f>
        <v>0</v>
      </c>
      <c r="F24" s="44" t="str">
        <f aca="false">IFERROR(TEXT(AVERAGEIFS('Coffee Audit'!Q2:Q2000,'Coffee Audit'!C2:C2000,B24,'Coffee Audit'!Q2:Q2000,"&gt;0"),"S$0.00"),"—")</f>
        <v>—</v>
      </c>
      <c r="G24" s="44" t="s">
        <v>1170</v>
      </c>
      <c r="H24" s="44" t="s">
        <v>1166</v>
      </c>
      <c r="I24" s="44" t="s">
        <v>1167</v>
      </c>
      <c r="J24" s="44" t="s">
        <v>1131</v>
      </c>
      <c r="K24" s="44" t="s">
        <v>1171</v>
      </c>
    </row>
    <row r="25" customFormat="false" ht="13.5" hidden="false" customHeight="true" outlineLevel="0" collapsed="false">
      <c r="B25" s="41" t="s">
        <v>762</v>
      </c>
      <c r="C25" s="42" t="s">
        <v>52</v>
      </c>
      <c r="D25" s="42" t="n">
        <f aca="false">COUNTIF('Coffee Audit'!C2:C2000,B25)</f>
        <v>2</v>
      </c>
      <c r="E25" s="42" t="n">
        <f aca="false">SUMPRODUCT(('Coffee Audit'!C2:C2000=B25)*('Coffee Audit'!W2:W2000="⭐ GESHA"))</f>
        <v>1</v>
      </c>
      <c r="F25" s="42" t="str">
        <f aca="false">IFERROR(TEXT(AVERAGEIFS('Coffee Audit'!Q2:Q2000,'Coffee Audit'!C2:C2000,B25,'Coffee Audit'!Q2:Q2000,"&gt;0"),"S$0.00"),"—")</f>
        <v>0$0.00</v>
      </c>
      <c r="G25" s="42" t="s">
        <v>1172</v>
      </c>
      <c r="H25" s="42" t="s">
        <v>1173</v>
      </c>
      <c r="I25" s="42" t="s">
        <v>1174</v>
      </c>
      <c r="J25" s="42" t="s">
        <v>1131</v>
      </c>
      <c r="K25" s="42" t="s">
        <v>1175</v>
      </c>
    </row>
    <row r="26" customFormat="false" ht="13.5" hidden="false" customHeight="true" outlineLevel="0" collapsed="false">
      <c r="B26" s="43" t="s">
        <v>179</v>
      </c>
      <c r="C26" s="44" t="s">
        <v>52</v>
      </c>
      <c r="D26" s="44" t="n">
        <f aca="false">COUNTIF('Coffee Audit'!C2:C2000,B26)</f>
        <v>2</v>
      </c>
      <c r="E26" s="44" t="n">
        <f aca="false">SUMPRODUCT(('Coffee Audit'!C2:C2000=B26)*('Coffee Audit'!W2:W2000="⭐ GESHA"))</f>
        <v>0</v>
      </c>
      <c r="F26" s="44" t="str">
        <f aca="false">IFERROR(TEXT(AVERAGEIFS('Coffee Audit'!Q2:Q2000,'Coffee Audit'!C2:C2000,B26,'Coffee Audit'!Q2:Q2000,"&gt;0"),"S$0.00"),"—")</f>
        <v>0$0.00</v>
      </c>
      <c r="G26" s="44" t="s">
        <v>1176</v>
      </c>
      <c r="H26" s="44" t="s">
        <v>757</v>
      </c>
      <c r="I26" s="44" t="s">
        <v>1177</v>
      </c>
      <c r="J26" s="44" t="s">
        <v>1131</v>
      </c>
      <c r="K26" s="44" t="s">
        <v>1178</v>
      </c>
    </row>
    <row r="27" customFormat="false" ht="13.5" hidden="false" customHeight="true" outlineLevel="0" collapsed="false">
      <c r="B27" s="41" t="s">
        <v>332</v>
      </c>
      <c r="C27" s="42" t="s">
        <v>52</v>
      </c>
      <c r="D27" s="42" t="n">
        <f aca="false">COUNTIF('Coffee Audit'!C2:C2000,B27)</f>
        <v>1</v>
      </c>
      <c r="E27" s="42" t="n">
        <f aca="false">SUMPRODUCT(('Coffee Audit'!C2:C2000=B27)*('Coffee Audit'!W2:W2000="⭐ GESHA"))</f>
        <v>1</v>
      </c>
      <c r="F27" s="42" t="str">
        <f aca="false">IFERROR(TEXT(AVERAGEIFS('Coffee Audit'!Q2:Q2000,'Coffee Audit'!C2:C2000,B27,'Coffee Audit'!Q2:Q2000,"&gt;0"),"S$0.00"),"—")</f>
        <v>0$0.00</v>
      </c>
      <c r="G27" s="42" t="s">
        <v>1179</v>
      </c>
      <c r="H27" s="42" t="s">
        <v>1180</v>
      </c>
      <c r="I27" s="42" t="s">
        <v>757</v>
      </c>
      <c r="J27" s="42" t="s">
        <v>1131</v>
      </c>
      <c r="K27" s="42" t="s">
        <v>1181</v>
      </c>
    </row>
    <row r="28" customFormat="false" ht="13.5" hidden="false" customHeight="true" outlineLevel="0" collapsed="false">
      <c r="B28" s="43" t="s">
        <v>104</v>
      </c>
      <c r="C28" s="44" t="s">
        <v>52</v>
      </c>
      <c r="D28" s="44" t="n">
        <f aca="false">COUNTIF('Coffee Audit'!C2:C2000,B28)</f>
        <v>2</v>
      </c>
      <c r="E28" s="44" t="n">
        <f aca="false">SUMPRODUCT(('Coffee Audit'!C2:C2000=B28)*('Coffee Audit'!W2:W2000="⭐ GESHA"))</f>
        <v>0</v>
      </c>
      <c r="F28" s="44" t="str">
        <f aca="false">IFERROR(TEXT(AVERAGEIFS('Coffee Audit'!Q2:Q2000,'Coffee Audit'!C2:C2000,B28,'Coffee Audit'!Q2:Q2000,"&gt;0"),"S$0.00"),"—")</f>
        <v>0$0.00</v>
      </c>
      <c r="G28" s="44" t="s">
        <v>1182</v>
      </c>
      <c r="H28" s="44" t="s">
        <v>1183</v>
      </c>
      <c r="I28" s="44" t="s">
        <v>757</v>
      </c>
      <c r="J28" s="44" t="s">
        <v>1131</v>
      </c>
      <c r="K28" s="44" t="s">
        <v>1184</v>
      </c>
    </row>
    <row r="29" customFormat="false" ht="13.5" hidden="false" customHeight="true" outlineLevel="0" collapsed="false">
      <c r="B29" s="41" t="s">
        <v>132</v>
      </c>
      <c r="C29" s="42" t="s">
        <v>52</v>
      </c>
      <c r="D29" s="42" t="n">
        <f aca="false">COUNTIF('Coffee Audit'!C2:C2000,B29)</f>
        <v>3</v>
      </c>
      <c r="E29" s="42" t="n">
        <f aca="false">SUMPRODUCT(('Coffee Audit'!C2:C2000=B29)*('Coffee Audit'!W2:W2000="⭐ GESHA"))</f>
        <v>0</v>
      </c>
      <c r="F29" s="42" t="str">
        <f aca="false">IFERROR(TEXT(AVERAGEIFS('Coffee Audit'!Q2:Q2000,'Coffee Audit'!C2:C2000,B29,'Coffee Audit'!Q2:Q2000,"&gt;0"),"S$0.00"),"—")</f>
        <v>—</v>
      </c>
      <c r="G29" s="42" t="s">
        <v>1185</v>
      </c>
      <c r="H29" s="42" t="s">
        <v>1186</v>
      </c>
      <c r="I29" s="42" t="s">
        <v>757</v>
      </c>
      <c r="J29" s="42" t="s">
        <v>1131</v>
      </c>
      <c r="K29" s="42" t="s">
        <v>1187</v>
      </c>
    </row>
    <row r="30" customFormat="false" ht="13.5" hidden="false" customHeight="true" outlineLevel="0" collapsed="false">
      <c r="B30" s="43" t="s">
        <v>704</v>
      </c>
      <c r="C30" s="44" t="s">
        <v>52</v>
      </c>
      <c r="D30" s="44" t="n">
        <f aca="false">COUNTIF('Coffee Audit'!C2:C2000,B30)</f>
        <v>1</v>
      </c>
      <c r="E30" s="44" t="n">
        <f aca="false">SUMPRODUCT(('Coffee Audit'!C2:C2000=B30)*('Coffee Audit'!W2:W2000="⭐ GESHA"))</f>
        <v>1</v>
      </c>
      <c r="F30" s="44" t="str">
        <f aca="false">IFERROR(TEXT(AVERAGEIFS('Coffee Audit'!Q2:Q2000,'Coffee Audit'!C2:C2000,B30,'Coffee Audit'!Q2:Q2000,"&gt;0"),"S$0.00"),"—")</f>
        <v>0$0.00</v>
      </c>
      <c r="G30" s="44" t="s">
        <v>1188</v>
      </c>
      <c r="H30" s="44" t="s">
        <v>1189</v>
      </c>
      <c r="I30" s="44" t="s">
        <v>1190</v>
      </c>
      <c r="J30" s="44" t="s">
        <v>1131</v>
      </c>
      <c r="K30" s="44"/>
    </row>
    <row r="31" customFormat="false" ht="13.5" hidden="false" customHeight="true" outlineLevel="0" collapsed="false">
      <c r="B31" s="41" t="s">
        <v>577</v>
      </c>
      <c r="C31" s="42" t="s">
        <v>52</v>
      </c>
      <c r="D31" s="42" t="n">
        <f aca="false">COUNTIF('Coffee Audit'!C2:C2000,B31)</f>
        <v>1</v>
      </c>
      <c r="E31" s="42" t="n">
        <f aca="false">SUMPRODUCT(('Coffee Audit'!C2:C2000=B31)*('Coffee Audit'!W2:W2000="⭐ GESHA"))</f>
        <v>1</v>
      </c>
      <c r="F31" s="42" t="str">
        <f aca="false">IFERROR(TEXT(AVERAGEIFS('Coffee Audit'!Q2:Q2000,'Coffee Audit'!C2:C2000,B31,'Coffee Audit'!Q2:Q2000,"&gt;0"),"S$0.00"),"—")</f>
        <v>0$0.00</v>
      </c>
      <c r="G31" s="42" t="s">
        <v>1191</v>
      </c>
      <c r="H31" s="42" t="s">
        <v>1192</v>
      </c>
      <c r="I31" s="42" t="s">
        <v>1193</v>
      </c>
      <c r="J31" s="42" t="s">
        <v>1131</v>
      </c>
      <c r="K31" s="42" t="s">
        <v>1194</v>
      </c>
    </row>
    <row r="32" customFormat="false" ht="13.5" hidden="false" customHeight="true" outlineLevel="0" collapsed="false">
      <c r="B32" s="43" t="s">
        <v>278</v>
      </c>
      <c r="C32" s="44" t="s">
        <v>52</v>
      </c>
      <c r="D32" s="44" t="n">
        <f aca="false">COUNTIF('Coffee Audit'!C2:C2000,B32)</f>
        <v>2</v>
      </c>
      <c r="E32" s="44" t="n">
        <f aca="false">SUMPRODUCT(('Coffee Audit'!C2:C2000=B32)*('Coffee Audit'!W2:W2000="⭐ GESHA"))</f>
        <v>0</v>
      </c>
      <c r="F32" s="44" t="str">
        <f aca="false">IFERROR(TEXT(AVERAGEIFS('Coffee Audit'!Q2:Q2000,'Coffee Audit'!C2:C2000,B32,'Coffee Audit'!Q2:Q2000,"&gt;0"),"S$0.00"),"—")</f>
        <v>0$0.00</v>
      </c>
      <c r="G32" s="44" t="s">
        <v>1195</v>
      </c>
      <c r="H32" s="44" t="s">
        <v>1196</v>
      </c>
      <c r="I32" s="44" t="s">
        <v>1197</v>
      </c>
      <c r="J32" s="44" t="s">
        <v>1131</v>
      </c>
      <c r="K32" s="44" t="s">
        <v>1198</v>
      </c>
    </row>
    <row r="33" customFormat="false" ht="13.5" hidden="false" customHeight="true" outlineLevel="0" collapsed="false">
      <c r="B33" s="41" t="s">
        <v>1199</v>
      </c>
      <c r="C33" s="42" t="s">
        <v>52</v>
      </c>
      <c r="D33" s="42" t="n">
        <f aca="false">COUNTIF('Coffee Audit'!C2:C2000,B33)</f>
        <v>0</v>
      </c>
      <c r="E33" s="42" t="n">
        <f aca="false">SUMPRODUCT(('Coffee Audit'!C2:C2000=B33)*('Coffee Audit'!W2:W2000="⭐ GESHA"))</f>
        <v>0</v>
      </c>
      <c r="F33" s="42" t="str">
        <f aca="false">IFERROR(TEXT(AVERAGEIFS('Coffee Audit'!Q2:Q2000,'Coffee Audit'!C2:C2000,B33,'Coffee Audit'!Q2:Q2000,"&gt;0"),"S$0.00"),"—")</f>
        <v>—</v>
      </c>
      <c r="G33" s="42" t="s">
        <v>1200</v>
      </c>
      <c r="H33" s="42" t="s">
        <v>1196</v>
      </c>
      <c r="I33" s="42" t="s">
        <v>1197</v>
      </c>
      <c r="J33" s="42" t="s">
        <v>1131</v>
      </c>
      <c r="K33" s="42" t="s">
        <v>1201</v>
      </c>
    </row>
    <row r="34" customFormat="false" ht="13.5" hidden="false" customHeight="true" outlineLevel="0" collapsed="false">
      <c r="B34" s="43" t="s">
        <v>192</v>
      </c>
      <c r="C34" s="44" t="s">
        <v>52</v>
      </c>
      <c r="D34" s="44" t="n">
        <f aca="false">COUNTIF('Coffee Audit'!C2:C2000,B34)</f>
        <v>1</v>
      </c>
      <c r="E34" s="44" t="n">
        <f aca="false">SUMPRODUCT(('Coffee Audit'!C2:C2000=B34)*('Coffee Audit'!W2:W2000="⭐ GESHA"))</f>
        <v>1</v>
      </c>
      <c r="F34" s="44" t="str">
        <f aca="false">IFERROR(TEXT(AVERAGEIFS('Coffee Audit'!Q2:Q2000,'Coffee Audit'!C2:C2000,B34,'Coffee Audit'!Q2:Q2000,"&gt;0"),"S$0.00"),"—")</f>
        <v>0$0.00</v>
      </c>
      <c r="G34" s="44" t="s">
        <v>1202</v>
      </c>
      <c r="H34" s="44" t="s">
        <v>1203</v>
      </c>
      <c r="I34" s="44" t="s">
        <v>1204</v>
      </c>
      <c r="J34" s="44" t="s">
        <v>1131</v>
      </c>
      <c r="K34" s="44" t="s">
        <v>1205</v>
      </c>
    </row>
    <row r="35" customFormat="false" ht="13.5" hidden="false" customHeight="true" outlineLevel="0" collapsed="false">
      <c r="B35" s="41" t="s">
        <v>153</v>
      </c>
      <c r="C35" s="42" t="s">
        <v>52</v>
      </c>
      <c r="D35" s="42" t="n">
        <f aca="false">COUNTIF('Coffee Audit'!C2:C2000,B35)</f>
        <v>2</v>
      </c>
      <c r="E35" s="42" t="n">
        <f aca="false">SUMPRODUCT(('Coffee Audit'!C2:C2000=B35)*('Coffee Audit'!W2:W2000="⭐ GESHA"))</f>
        <v>0</v>
      </c>
      <c r="F35" s="42" t="str">
        <f aca="false">IFERROR(TEXT(AVERAGEIFS('Coffee Audit'!Q2:Q2000,'Coffee Audit'!C2:C2000,B35,'Coffee Audit'!Q2:Q2000,"&gt;0"),"S$0.00"),"—")</f>
        <v>0$0.00</v>
      </c>
      <c r="G35" s="42" t="s">
        <v>1206</v>
      </c>
      <c r="H35" s="42" t="s">
        <v>757</v>
      </c>
      <c r="I35" s="42" t="s">
        <v>1207</v>
      </c>
      <c r="J35" s="42" t="s">
        <v>1131</v>
      </c>
      <c r="K35" s="42" t="s">
        <v>1208</v>
      </c>
    </row>
    <row r="36" customFormat="false" ht="13.5" hidden="false" customHeight="true" outlineLevel="0" collapsed="false">
      <c r="B36" s="43" t="s">
        <v>289</v>
      </c>
      <c r="C36" s="44" t="s">
        <v>52</v>
      </c>
      <c r="D36" s="44" t="n">
        <f aca="false">COUNTIF('Coffee Audit'!C2:C2000,B36)</f>
        <v>2</v>
      </c>
      <c r="E36" s="44" t="n">
        <f aca="false">SUMPRODUCT(('Coffee Audit'!C2:C2000=B36)*('Coffee Audit'!W2:W2000="⭐ GESHA"))</f>
        <v>0</v>
      </c>
      <c r="F36" s="44" t="str">
        <f aca="false">IFERROR(TEXT(AVERAGEIFS('Coffee Audit'!Q2:Q2000,'Coffee Audit'!C2:C2000,B36,'Coffee Audit'!Q2:Q2000,"&gt;0"),"S$0.00"),"—")</f>
        <v>24$0.00</v>
      </c>
      <c r="G36" s="44" t="s">
        <v>1209</v>
      </c>
      <c r="H36" s="44" t="s">
        <v>1210</v>
      </c>
      <c r="I36" s="44" t="s">
        <v>1211</v>
      </c>
      <c r="J36" s="44" t="s">
        <v>1131</v>
      </c>
      <c r="K36" s="44" t="s">
        <v>1212</v>
      </c>
    </row>
    <row r="37" customFormat="false" ht="13.5" hidden="false" customHeight="true" outlineLevel="0" collapsed="false">
      <c r="B37" s="41" t="s">
        <v>416</v>
      </c>
      <c r="C37" s="42" t="s">
        <v>52</v>
      </c>
      <c r="D37" s="42" t="n">
        <f aca="false">COUNTIF('Coffee Audit'!C2:C2000,B37)</f>
        <v>1</v>
      </c>
      <c r="E37" s="42" t="n">
        <f aca="false">SUMPRODUCT(('Coffee Audit'!C2:C2000=B37)*('Coffee Audit'!W2:W2000="⭐ GESHA"))</f>
        <v>0</v>
      </c>
      <c r="F37" s="42" t="str">
        <f aca="false">IFERROR(TEXT(AVERAGEIFS('Coffee Audit'!Q2:Q2000,'Coffee Audit'!C2:C2000,B37,'Coffee Audit'!Q2:Q2000,"&gt;0"),"S$0.00"),"—")</f>
        <v>0$0.00</v>
      </c>
      <c r="G37" s="42" t="s">
        <v>1213</v>
      </c>
      <c r="H37" s="42" t="s">
        <v>1214</v>
      </c>
      <c r="I37" s="42" t="s">
        <v>757</v>
      </c>
      <c r="J37" s="42" t="s">
        <v>1131</v>
      </c>
      <c r="K37" s="42" t="s">
        <v>1215</v>
      </c>
    </row>
    <row r="38" customFormat="false" ht="13.5" hidden="false" customHeight="true" outlineLevel="0" collapsed="false">
      <c r="B38" s="43" t="s">
        <v>502</v>
      </c>
      <c r="C38" s="44" t="s">
        <v>52</v>
      </c>
      <c r="D38" s="44" t="n">
        <f aca="false">COUNTIF('Coffee Audit'!C2:C2000,B38)</f>
        <v>1</v>
      </c>
      <c r="E38" s="44" t="n">
        <f aca="false">SUMPRODUCT(('Coffee Audit'!C2:C2000=B38)*('Coffee Audit'!W2:W2000="⭐ GESHA"))</f>
        <v>0</v>
      </c>
      <c r="F38" s="44" t="str">
        <f aca="false">IFERROR(TEXT(AVERAGEIFS('Coffee Audit'!Q2:Q2000,'Coffee Audit'!C2:C2000,B38,'Coffee Audit'!Q2:Q2000,"&gt;0"),"S$0.00"),"—")</f>
        <v>0$0.00</v>
      </c>
      <c r="G38" s="44" t="s">
        <v>1216</v>
      </c>
      <c r="H38" s="44" t="s">
        <v>1217</v>
      </c>
      <c r="I38" s="44" t="s">
        <v>757</v>
      </c>
      <c r="J38" s="44" t="s">
        <v>1131</v>
      </c>
      <c r="K38" s="44" t="s">
        <v>1218</v>
      </c>
    </row>
    <row r="39" customFormat="false" ht="13.5" hidden="false" customHeight="true" outlineLevel="0" collapsed="false">
      <c r="B39" s="41" t="s">
        <v>456</v>
      </c>
      <c r="C39" s="42" t="s">
        <v>52</v>
      </c>
      <c r="D39" s="42" t="n">
        <f aca="false">COUNTIF('Coffee Audit'!C2:C2000,B39)</f>
        <v>1</v>
      </c>
      <c r="E39" s="42" t="n">
        <f aca="false">SUMPRODUCT(('Coffee Audit'!C2:C2000=B39)*('Coffee Audit'!W2:W2000="⭐ GESHA"))</f>
        <v>0</v>
      </c>
      <c r="F39" s="42" t="str">
        <f aca="false">IFERROR(TEXT(AVERAGEIFS('Coffee Audit'!Q2:Q2000,'Coffee Audit'!C2:C2000,B39,'Coffee Audit'!Q2:Q2000,"&gt;0"),"S$0.00"),"—")</f>
        <v>0$0.00</v>
      </c>
      <c r="G39" s="42" t="s">
        <v>1219</v>
      </c>
      <c r="H39" s="42" t="s">
        <v>757</v>
      </c>
      <c r="I39" s="42" t="s">
        <v>757</v>
      </c>
      <c r="J39" s="42" t="s">
        <v>1131</v>
      </c>
      <c r="K39" s="42" t="s">
        <v>1220</v>
      </c>
    </row>
    <row r="40" customFormat="false" ht="13.5" hidden="false" customHeight="true" outlineLevel="0" collapsed="false">
      <c r="B40" s="47" t="s">
        <v>302</v>
      </c>
      <c r="C40" s="48" t="s">
        <v>52</v>
      </c>
      <c r="D40" s="48" t="n">
        <f aca="false">COUNTIF('Coffee Audit'!C2:C2000,B40)</f>
        <v>1</v>
      </c>
      <c r="E40" s="48" t="n">
        <f aca="false">SUMPRODUCT(('Coffee Audit'!C2:C2000=B40)*('Coffee Audit'!W2:W2000="⭐ GESHA"))</f>
        <v>0</v>
      </c>
      <c r="F40" s="48" t="str">
        <f aca="false">IFERROR(TEXT(AVERAGEIFS('Coffee Audit'!Q2:Q2000,'Coffee Audit'!C2:C2000,B40,'Coffee Audit'!Q2:Q2000,"&gt;0"),"S$0.00"),"—")</f>
        <v>0$0.00</v>
      </c>
      <c r="G40" s="48" t="s">
        <v>1221</v>
      </c>
      <c r="H40" s="48" t="s">
        <v>757</v>
      </c>
      <c r="I40" s="48" t="s">
        <v>757</v>
      </c>
      <c r="J40" s="48" t="s">
        <v>1222</v>
      </c>
      <c r="K40" s="48" t="s">
        <v>1223</v>
      </c>
    </row>
    <row r="41" customFormat="false" ht="13.5" hidden="false" customHeight="true" outlineLevel="0" collapsed="false">
      <c r="B41" s="47" t="s">
        <v>88</v>
      </c>
      <c r="C41" s="48" t="s">
        <v>52</v>
      </c>
      <c r="D41" s="48" t="n">
        <f aca="false">COUNTIF('Coffee Audit'!C2:C2000,B41)</f>
        <v>2</v>
      </c>
      <c r="E41" s="48" t="n">
        <f aca="false">SUMPRODUCT(('Coffee Audit'!C2:C2000=B41)*('Coffee Audit'!W2:W2000="⭐ GESHA"))</f>
        <v>0</v>
      </c>
      <c r="F41" s="48" t="str">
        <f aca="false">IFERROR(TEXT(AVERAGEIFS('Coffee Audit'!Q2:Q2000,'Coffee Audit'!C2:C2000,B41,'Coffee Audit'!Q2:Q2000,"&gt;0"),"S$0.00"),"—")</f>
        <v>—</v>
      </c>
      <c r="G41" s="48" t="s">
        <v>1224</v>
      </c>
      <c r="H41" s="48" t="s">
        <v>757</v>
      </c>
      <c r="I41" s="48" t="s">
        <v>757</v>
      </c>
      <c r="J41" s="48" t="s">
        <v>1222</v>
      </c>
      <c r="K41" s="48" t="s">
        <v>1225</v>
      </c>
    </row>
    <row r="42" customFormat="false" ht="13.5" hidden="false" customHeight="true" outlineLevel="0" collapsed="false">
      <c r="B42" s="41" t="s">
        <v>25</v>
      </c>
      <c r="C42" s="42" t="s">
        <v>24</v>
      </c>
      <c r="D42" s="42" t="n">
        <f aca="false">COUNTIF('Coffee Audit'!C2:C2000,B42)</f>
        <v>3</v>
      </c>
      <c r="E42" s="42" t="n">
        <f aca="false">SUMPRODUCT(('Coffee Audit'!C2:C2000=B42)*('Coffee Audit'!W2:W2000="⭐ GESHA"))</f>
        <v>0</v>
      </c>
      <c r="F42" s="42" t="str">
        <f aca="false">IFERROR(TEXT(AVERAGEIFS('Coffee Audit'!Q2:Q2000,'Coffee Audit'!C2:C2000,B42,'Coffee Audit'!Q2:Q2000,"&gt;0"),"S$0.00"),"—")</f>
        <v>—</v>
      </c>
      <c r="G42" s="42" t="s">
        <v>1226</v>
      </c>
      <c r="H42" s="42" t="s">
        <v>1227</v>
      </c>
      <c r="I42" s="42" t="s">
        <v>1228</v>
      </c>
      <c r="J42" s="42" t="s">
        <v>1229</v>
      </c>
      <c r="K42" s="42" t="s">
        <v>1230</v>
      </c>
    </row>
    <row r="43" customFormat="false" ht="13.5" hidden="false" customHeight="true" outlineLevel="0" collapsed="false">
      <c r="B43" s="41" t="s">
        <v>70</v>
      </c>
      <c r="C43" s="42" t="s">
        <v>69</v>
      </c>
      <c r="D43" s="42" t="n">
        <f aca="false">COUNTIF('Coffee Audit'!C2:C2000,B43)</f>
        <v>1</v>
      </c>
      <c r="E43" s="42" t="n">
        <f aca="false">SUMPRODUCT(('Coffee Audit'!C2:C2000=B43)*('Coffee Audit'!W2:W2000="⭐ GESHA"))</f>
        <v>0</v>
      </c>
      <c r="F43" s="42" t="str">
        <f aca="false">IFERROR(TEXT(AVERAGEIFS('Coffee Audit'!Q2:Q2000,'Coffee Audit'!C2:C2000,B43,'Coffee Audit'!Q2:Q2000,"&gt;0"),"S$0.00"),"—")</f>
        <v>—</v>
      </c>
      <c r="G43" s="42" t="s">
        <v>1231</v>
      </c>
      <c r="H43" s="42" t="s">
        <v>1232</v>
      </c>
      <c r="I43" s="42" t="s">
        <v>1233</v>
      </c>
      <c r="J43" s="42" t="s">
        <v>1229</v>
      </c>
      <c r="K43" s="42" t="s">
        <v>1234</v>
      </c>
    </row>
    <row r="44" customFormat="false" ht="13.5" hidden="false" customHeight="true" outlineLevel="0" collapsed="false">
      <c r="B44" s="41" t="s">
        <v>80</v>
      </c>
      <c r="C44" s="42" t="s">
        <v>69</v>
      </c>
      <c r="D44" s="42" t="n">
        <f aca="false">COUNTIF('Coffee Audit'!C2:C2000,B44)</f>
        <v>1</v>
      </c>
      <c r="E44" s="42" t="n">
        <f aca="false">SUMPRODUCT(('Coffee Audit'!C2:C2000=B44)*('Coffee Audit'!W2:W2000="⭐ GESHA"))</f>
        <v>0</v>
      </c>
      <c r="F44" s="42" t="str">
        <f aca="false">IFERROR(TEXT(AVERAGEIFS('Coffee Audit'!Q2:Q2000,'Coffee Audit'!C2:C2000,B44,'Coffee Audit'!Q2:Q2000,"&gt;0"),"S$0.00"),"—")</f>
        <v>—</v>
      </c>
      <c r="G44" s="42" t="s">
        <v>1235</v>
      </c>
      <c r="H44" s="42" t="s">
        <v>1236</v>
      </c>
      <c r="I44" s="42" t="s">
        <v>757</v>
      </c>
      <c r="J44" s="42" t="s">
        <v>1229</v>
      </c>
      <c r="K44" s="42" t="s">
        <v>1234</v>
      </c>
    </row>
    <row r="45" customFormat="false" ht="13.5" hidden="false" customHeight="true" outlineLevel="0" collapsed="false">
      <c r="B45" s="45" t="s">
        <v>228</v>
      </c>
      <c r="C45" s="46" t="s">
        <v>227</v>
      </c>
      <c r="D45" s="46" t="n">
        <f aca="false">COUNTIF('Coffee Audit'!C2:C2000,B45)</f>
        <v>1</v>
      </c>
      <c r="E45" s="46" t="n">
        <f aca="false">SUMPRODUCT(('Coffee Audit'!C2:C2000=B45)*('Coffee Audit'!W2:W2000="⭐ GESHA"))</f>
        <v>0</v>
      </c>
      <c r="F45" s="46" t="str">
        <f aca="false">IFERROR(TEXT(AVERAGEIFS('Coffee Audit'!Q2:Q2000,'Coffee Audit'!C2:C2000,B45,'Coffee Audit'!Q2:Q2000,"&gt;0"),"S$0.00"),"—")</f>
        <v>12$0.00</v>
      </c>
      <c r="G45" s="46" t="s">
        <v>1237</v>
      </c>
      <c r="H45" s="46" t="s">
        <v>757</v>
      </c>
      <c r="I45" s="46" t="s">
        <v>757</v>
      </c>
      <c r="J45" s="46" t="s">
        <v>1153</v>
      </c>
      <c r="K45" s="46" t="s">
        <v>1238</v>
      </c>
    </row>
    <row r="46" customFormat="false" ht="7.5" hidden="false" customHeight="true" outlineLevel="0" collapsed="false"/>
    <row r="47" customFormat="false" ht="15.75" hidden="false" customHeight="true" outlineLevel="0" collapsed="false">
      <c r="B47" s="18" t="s">
        <v>1239</v>
      </c>
      <c r="C47" s="18"/>
      <c r="D47" s="18"/>
      <c r="E47" s="18"/>
      <c r="F47" s="18"/>
      <c r="G47" s="18"/>
      <c r="H47" s="18"/>
      <c r="I47" s="18"/>
      <c r="J47" s="18"/>
      <c r="K47" s="18"/>
      <c r="L47" s="18"/>
    </row>
    <row r="48" customFormat="false" ht="15.75" hidden="false" customHeight="true" outlineLevel="0" collapsed="false">
      <c r="B48" s="22" t="s">
        <v>1240</v>
      </c>
      <c r="C48" s="22" t="s">
        <v>1241</v>
      </c>
      <c r="D48" s="22" t="s">
        <v>1242</v>
      </c>
    </row>
    <row r="49" customFormat="false" ht="12.75" hidden="false" customHeight="true" outlineLevel="0" collapsed="false">
      <c r="B49" s="32" t="s">
        <v>1153</v>
      </c>
      <c r="C49" s="33" t="s">
        <v>1243</v>
      </c>
      <c r="D49" s="33" t="s">
        <v>1244</v>
      </c>
    </row>
    <row r="50" customFormat="false" ht="12.75" hidden="false" customHeight="true" outlineLevel="0" collapsed="false">
      <c r="B50" s="26" t="s">
        <v>1131</v>
      </c>
      <c r="C50" s="25" t="s">
        <v>1245</v>
      </c>
      <c r="D50" s="25" t="s">
        <v>1246</v>
      </c>
    </row>
    <row r="51" customFormat="false" ht="12.75" hidden="false" customHeight="true" outlineLevel="0" collapsed="false">
      <c r="B51" s="24" t="s">
        <v>1229</v>
      </c>
      <c r="C51" s="23" t="s">
        <v>1247</v>
      </c>
      <c r="D51" s="23" t="s">
        <v>1248</v>
      </c>
    </row>
    <row r="52" customFormat="false" ht="12.75" hidden="false" customHeight="true" outlineLevel="0" collapsed="false">
      <c r="B52" s="36" t="s">
        <v>1222</v>
      </c>
      <c r="C52" s="37" t="s">
        <v>1249</v>
      </c>
      <c r="D52" s="37" t="s">
        <v>1250</v>
      </c>
    </row>
  </sheetData>
  <mergeCells count="5">
    <mergeCell ref="B1:L1"/>
    <mergeCell ref="B2:L2"/>
    <mergeCell ref="B4:L4"/>
    <mergeCell ref="B11:L11"/>
    <mergeCell ref="B47:L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6E7A"/>
    <pageSetUpPr fitToPage="false"/>
  </sheetPr>
  <dimension ref="B1:J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5"/>
    <col collapsed="false" customWidth="true" hidden="false" outlineLevel="0" max="3" min="3" style="1" width="65"/>
  </cols>
  <sheetData>
    <row r="1" customFormat="false" ht="21.75" hidden="false" customHeight="true" outlineLevel="0" collapsed="false">
      <c r="B1" s="16" t="s">
        <v>1251</v>
      </c>
      <c r="C1" s="16"/>
      <c r="D1" s="16"/>
      <c r="E1" s="16"/>
      <c r="F1" s="16"/>
      <c r="G1" s="16"/>
      <c r="H1" s="16"/>
      <c r="I1" s="16"/>
      <c r="J1" s="16"/>
    </row>
    <row r="2" customFormat="false" ht="13.5" hidden="false" customHeight="true" outlineLevel="0" collapsed="false">
      <c r="B2" s="17" t="s">
        <v>1252</v>
      </c>
      <c r="C2" s="17"/>
      <c r="D2" s="17"/>
      <c r="E2" s="17"/>
      <c r="F2" s="17"/>
      <c r="G2" s="17"/>
      <c r="H2" s="17"/>
      <c r="I2" s="17"/>
      <c r="J2" s="17"/>
    </row>
    <row r="3" customFormat="false" ht="6" hidden="false" customHeight="true" outlineLevel="0" collapsed="false"/>
    <row r="4" customFormat="false" ht="15.75" hidden="false" customHeight="true" outlineLevel="0" collapsed="false">
      <c r="B4" s="18" t="s">
        <v>1253</v>
      </c>
      <c r="C4" s="18"/>
      <c r="D4" s="18"/>
      <c r="E4" s="18"/>
      <c r="F4" s="18"/>
      <c r="G4" s="18"/>
      <c r="H4" s="18"/>
      <c r="I4" s="18"/>
      <c r="J4" s="18"/>
    </row>
    <row r="5" customFormat="false" ht="15.75" hidden="false" customHeight="true" outlineLevel="0" collapsed="false">
      <c r="B5" s="22" t="s">
        <v>1254</v>
      </c>
      <c r="C5" s="22" t="s">
        <v>1241</v>
      </c>
    </row>
    <row r="6" customFormat="false" ht="12.75" hidden="false" customHeight="true" outlineLevel="0" collapsed="false">
      <c r="B6" s="49"/>
      <c r="C6" s="50" t="s">
        <v>1255</v>
      </c>
    </row>
    <row r="7" customFormat="false" ht="12.75" hidden="false" customHeight="true" outlineLevel="0" collapsed="false">
      <c r="B7" s="51"/>
      <c r="C7" s="50" t="s">
        <v>1256</v>
      </c>
    </row>
    <row r="8" customFormat="false" ht="12.75" hidden="false" customHeight="true" outlineLevel="0" collapsed="false">
      <c r="B8" s="52"/>
      <c r="C8" s="50" t="s">
        <v>1257</v>
      </c>
    </row>
    <row r="9" customFormat="false" ht="12.75" hidden="false" customHeight="true" outlineLevel="0" collapsed="false">
      <c r="B9" s="53"/>
      <c r="C9" s="50" t="s">
        <v>1258</v>
      </c>
    </row>
    <row r="10" customFormat="false" ht="7.5" hidden="false" customHeight="true" outlineLevel="0" collapsed="false"/>
    <row r="11" customFormat="false" ht="15.75" hidden="false" customHeight="true" outlineLevel="0" collapsed="false">
      <c r="B11" s="18" t="s">
        <v>1259</v>
      </c>
      <c r="C11" s="18"/>
      <c r="D11" s="18"/>
      <c r="E11" s="18"/>
      <c r="F11" s="18"/>
      <c r="G11" s="18"/>
      <c r="H11" s="18"/>
      <c r="I11" s="18"/>
      <c r="J11" s="18"/>
    </row>
    <row r="12" customFormat="false" ht="19.5" hidden="false" customHeight="true" outlineLevel="0" collapsed="false">
      <c r="B12" s="39" t="s">
        <v>1260</v>
      </c>
      <c r="C12" s="39"/>
      <c r="D12" s="39"/>
      <c r="E12" s="39"/>
      <c r="F12" s="39"/>
      <c r="G12" s="39"/>
      <c r="H12" s="39"/>
      <c r="I12" s="39"/>
    </row>
    <row r="13" customFormat="false" ht="19.5" hidden="false" customHeight="true" outlineLevel="0" collapsed="false">
      <c r="B13" s="40" t="s">
        <v>1261</v>
      </c>
      <c r="C13" s="40"/>
      <c r="D13" s="40"/>
      <c r="E13" s="40"/>
      <c r="F13" s="40"/>
      <c r="G13" s="40"/>
      <c r="H13" s="40"/>
      <c r="I13" s="40"/>
    </row>
    <row r="14" customFormat="false" ht="19.5" hidden="false" customHeight="true" outlineLevel="0" collapsed="false">
      <c r="B14" s="39" t="s">
        <v>1262</v>
      </c>
      <c r="C14" s="39"/>
      <c r="D14" s="39"/>
      <c r="E14" s="39"/>
      <c r="F14" s="39"/>
      <c r="G14" s="39"/>
      <c r="H14" s="39"/>
      <c r="I14" s="39"/>
    </row>
    <row r="15" customFormat="false" ht="19.5" hidden="false" customHeight="true" outlineLevel="0" collapsed="false">
      <c r="B15" s="40" t="s">
        <v>1263</v>
      </c>
      <c r="C15" s="40"/>
      <c r="D15" s="40"/>
      <c r="E15" s="40"/>
      <c r="F15" s="40"/>
      <c r="G15" s="40"/>
      <c r="H15" s="40"/>
      <c r="I15" s="40"/>
    </row>
    <row r="16" customFormat="false" ht="19.5" hidden="false" customHeight="true" outlineLevel="0" collapsed="false">
      <c r="B16" s="39" t="s">
        <v>1264</v>
      </c>
      <c r="C16" s="39"/>
      <c r="D16" s="39"/>
      <c r="E16" s="39"/>
      <c r="F16" s="39"/>
      <c r="G16" s="39"/>
      <c r="H16" s="39"/>
      <c r="I16" s="39"/>
    </row>
    <row r="17" customFormat="false" ht="19.5" hidden="false" customHeight="true" outlineLevel="0" collapsed="false">
      <c r="B17" s="40" t="s">
        <v>1265</v>
      </c>
      <c r="C17" s="40"/>
      <c r="D17" s="40"/>
      <c r="E17" s="40"/>
      <c r="F17" s="40"/>
      <c r="G17" s="40"/>
      <c r="H17" s="40"/>
      <c r="I17" s="40"/>
    </row>
    <row r="18" customFormat="false" ht="19.5" hidden="false" customHeight="true" outlineLevel="0" collapsed="false">
      <c r="B18" s="39" t="s">
        <v>1266</v>
      </c>
      <c r="C18" s="39"/>
      <c r="D18" s="39"/>
      <c r="E18" s="39"/>
      <c r="F18" s="39"/>
      <c r="G18" s="39"/>
      <c r="H18" s="39"/>
      <c r="I18" s="39"/>
    </row>
    <row r="19" customFormat="false" ht="7.5" hidden="false" customHeight="true" outlineLevel="0" collapsed="false"/>
    <row r="20" customFormat="false" ht="15.75" hidden="false" customHeight="true" outlineLevel="0" collapsed="false">
      <c r="B20" s="18" t="s">
        <v>1267</v>
      </c>
      <c r="C20" s="18"/>
      <c r="D20" s="18"/>
      <c r="E20" s="18"/>
      <c r="F20" s="18"/>
      <c r="G20" s="18"/>
      <c r="H20" s="18"/>
      <c r="I20" s="18"/>
      <c r="J20" s="18"/>
    </row>
    <row r="21" customFormat="false" ht="18" hidden="false" customHeight="true" outlineLevel="0" collapsed="false">
      <c r="B21" s="54" t="s">
        <v>1268</v>
      </c>
      <c r="C21" s="54"/>
      <c r="D21" s="54"/>
      <c r="E21" s="54"/>
      <c r="F21" s="54"/>
      <c r="G21" s="54"/>
      <c r="H21" s="54"/>
      <c r="I21" s="54"/>
    </row>
    <row r="22" customFormat="false" ht="18" hidden="false" customHeight="true" outlineLevel="0" collapsed="false">
      <c r="B22" s="55" t="s">
        <v>1269</v>
      </c>
      <c r="C22" s="55"/>
      <c r="D22" s="55"/>
      <c r="E22" s="55"/>
      <c r="F22" s="55"/>
      <c r="G22" s="55"/>
      <c r="H22" s="55"/>
      <c r="I22" s="55"/>
    </row>
    <row r="23" customFormat="false" ht="18" hidden="false" customHeight="true" outlineLevel="0" collapsed="false">
      <c r="B23" s="54" t="s">
        <v>1270</v>
      </c>
      <c r="C23" s="54"/>
      <c r="D23" s="54"/>
      <c r="E23" s="54"/>
      <c r="F23" s="54"/>
      <c r="G23" s="54"/>
      <c r="H23" s="54"/>
      <c r="I23" s="54"/>
    </row>
    <row r="24" customFormat="false" ht="18" hidden="false" customHeight="true" outlineLevel="0" collapsed="false">
      <c r="B24" s="55" t="s">
        <v>1271</v>
      </c>
      <c r="C24" s="55"/>
      <c r="D24" s="55"/>
      <c r="E24" s="55"/>
      <c r="F24" s="55"/>
      <c r="G24" s="55"/>
      <c r="H24" s="55"/>
      <c r="I24" s="55"/>
    </row>
    <row r="25" customFormat="false" ht="18" hidden="false" customHeight="true" outlineLevel="0" collapsed="false">
      <c r="B25" s="54" t="s">
        <v>1272</v>
      </c>
      <c r="C25" s="54"/>
      <c r="D25" s="54"/>
      <c r="E25" s="54"/>
      <c r="F25" s="54"/>
      <c r="G25" s="54"/>
      <c r="H25" s="54"/>
      <c r="I25" s="54"/>
    </row>
    <row r="26" customFormat="false" ht="18" hidden="false" customHeight="true" outlineLevel="0" collapsed="false">
      <c r="B26" s="55" t="s">
        <v>1273</v>
      </c>
      <c r="C26" s="55"/>
      <c r="D26" s="55"/>
      <c r="E26" s="55"/>
      <c r="F26" s="55"/>
      <c r="G26" s="55"/>
      <c r="H26" s="55"/>
      <c r="I26" s="55"/>
    </row>
    <row r="27" customFormat="false" ht="18" hidden="false" customHeight="true" outlineLevel="0" collapsed="false">
      <c r="B27" s="54" t="s">
        <v>1274</v>
      </c>
      <c r="C27" s="54"/>
      <c r="D27" s="54"/>
      <c r="E27" s="54"/>
      <c r="F27" s="54"/>
      <c r="G27" s="54"/>
      <c r="H27" s="54"/>
      <c r="I27" s="54"/>
    </row>
    <row r="28" customFormat="false" ht="18" hidden="false" customHeight="true" outlineLevel="0" collapsed="false">
      <c r="B28" s="55" t="s">
        <v>1275</v>
      </c>
      <c r="C28" s="55"/>
      <c r="D28" s="55"/>
      <c r="E28" s="55"/>
      <c r="F28" s="55"/>
      <c r="G28" s="55"/>
      <c r="H28" s="55"/>
      <c r="I28" s="55"/>
    </row>
    <row r="29" customFormat="false" ht="18" hidden="false" customHeight="true" outlineLevel="0" collapsed="false">
      <c r="B29" s="54" t="s">
        <v>1276</v>
      </c>
      <c r="C29" s="54"/>
      <c r="D29" s="54"/>
      <c r="E29" s="54"/>
      <c r="F29" s="54"/>
      <c r="G29" s="54"/>
      <c r="H29" s="54"/>
      <c r="I29" s="54"/>
    </row>
  </sheetData>
  <mergeCells count="21">
    <mergeCell ref="B1:J1"/>
    <mergeCell ref="B2:J2"/>
    <mergeCell ref="B4:J4"/>
    <mergeCell ref="B11:J11"/>
    <mergeCell ref="B12:I12"/>
    <mergeCell ref="B13:I13"/>
    <mergeCell ref="B14:I14"/>
    <mergeCell ref="B15:I15"/>
    <mergeCell ref="B16:I16"/>
    <mergeCell ref="B17:I17"/>
    <mergeCell ref="B18:I18"/>
    <mergeCell ref="B20:J20"/>
    <mergeCell ref="B21:I21"/>
    <mergeCell ref="B22:I22"/>
    <mergeCell ref="B23:I23"/>
    <mergeCell ref="B24:I24"/>
    <mergeCell ref="B25:I25"/>
    <mergeCell ref="B26:I26"/>
    <mergeCell ref="B27:I27"/>
    <mergeCell ref="B28:I28"/>
    <mergeCell ref="B29:I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E9E9E"/>
    <pageSetUpPr fitToPage="false"/>
  </sheetPr>
  <dimension ref="A2:B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36"/>
  </cols>
  <sheetData>
    <row r="2" customFormat="false" ht="15" hidden="false" customHeight="true" outlineLevel="0" collapsed="false">
      <c r="A2" s="56" t="s">
        <v>1277</v>
      </c>
    </row>
    <row r="3" customFormat="false" ht="15" hidden="false" customHeight="true" outlineLevel="0" collapsed="false">
      <c r="A3" s="56" t="s">
        <v>1278</v>
      </c>
      <c r="B3" s="57" t="n">
        <f aca="false">COUNTA('Coffee Audit'!A2:A2000)</f>
        <v>65</v>
      </c>
    </row>
    <row r="4" customFormat="false" ht="15" hidden="false" customHeight="true" outlineLevel="0" collapsed="false">
      <c r="A4" s="56" t="s">
        <v>1279</v>
      </c>
      <c r="B4" s="57" t="n">
        <v>15</v>
      </c>
    </row>
    <row r="5" customFormat="false" ht="15" hidden="false" customHeight="true" outlineLevel="0" collapsed="false">
      <c r="A5" s="56" t="s">
        <v>1280</v>
      </c>
      <c r="B5" s="57" t="n">
        <v>8</v>
      </c>
    </row>
    <row r="6" customFormat="false" ht="15" hidden="false" customHeight="true" outlineLevel="0" collapsed="false">
      <c r="A6" s="56" t="s">
        <v>1281</v>
      </c>
      <c r="B6" s="57" t="n">
        <v>5</v>
      </c>
    </row>
    <row r="7" customFormat="false" ht="15" hidden="false" customHeight="true" outlineLevel="0" collapsed="false">
      <c r="A7" s="56" t="s">
        <v>1282</v>
      </c>
      <c r="B7" s="57" t="n">
        <f aca="false">SUMPRODUCT(('Coffee Audit'!B2:B2000&lt;&gt;"")/COUNTIF('Coffee Audit'!B2:B2000,'Coffee Audit'!B2:B2000&amp;""))</f>
        <v>4</v>
      </c>
    </row>
    <row r="8" customFormat="false" ht="15" hidden="false" customHeight="true" outlineLevel="0" collapsed="false">
      <c r="A8" s="56" t="s">
        <v>1283</v>
      </c>
      <c r="B8" s="57" t="n">
        <f aca="false">SUMPRODUCT(('Coffee Audit'!C2:C2000&lt;&gt;"")/COUNTIF('Coffee Audit'!C2:C2000,'Coffee Audit'!C2:C2000&amp;""))</f>
        <v>35</v>
      </c>
    </row>
    <row r="9" customFormat="false" ht="15" hidden="false" customHeight="true" outlineLevel="0" collapsed="false">
      <c r="A9" s="56" t="s">
        <v>1284</v>
      </c>
      <c r="B9" s="57" t="str">
        <f aca="false">TEXT(MIN('Coffee Audit'!A2:A2000),"YYYY-MM-DD")&amp;"  →  "&amp;TEXT(MAX('Coffee Audit'!A2:A2000),"YYYY-MM-DD")</f>
        <v>2026-01-03  →  2026-07-15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2026-07-11T00:12:35Z</dcterms:created>
  <dc:creator>openpyxl</dc:creator>
  <dc:description/>
  <dc:language>en-US</dc:language>
  <cp:lastModifiedBy/>
  <dcterms:modified xsi:type="dcterms:W3CDTF">2026-07-15T06:50:02Z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