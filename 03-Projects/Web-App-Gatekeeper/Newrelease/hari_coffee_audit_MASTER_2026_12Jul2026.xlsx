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ffee Audit" sheetId="1" state="visible" r:id="rId1"/>
    <sheet xmlns:r="http://schemas.openxmlformats.org/officeDocument/2006/relationships" name="☕ Dashboard" sheetId="2" state="visible" r:id="rId2"/>
    <sheet xmlns:r="http://schemas.openxmlformats.org/officeDocument/2006/relationships" name="🧬 Palate DNA" sheetId="3" state="visible" r:id="rId3"/>
    <sheet xmlns:r="http://schemas.openxmlformats.org/officeDocument/2006/relationships" name="🌍 Origin &amp; Terroir" sheetId="4" state="visible" r:id="rId4"/>
    <sheet xmlns:r="http://schemas.openxmlformats.org/officeDocument/2006/relationships" name="⚙️ Hardware" sheetId="5" state="visible" r:id="rId5"/>
    <sheet xmlns:r="http://schemas.openxmlformats.org/officeDocument/2006/relationships" name="🏙️ Café Directory" sheetId="6" state="visible" r:id="rId6"/>
    <sheet xmlns:r="http://schemas.openxmlformats.org/officeDocument/2006/relationships" name="📖 Legend" sheetId="7" state="visible" r:id="rId7"/>
    <sheet xmlns:r="http://schemas.openxmlformats.org/officeDocument/2006/relationships" name="Stats"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3">
    <numFmt numFmtId="164" formatCode="yyyy\-mm\-dd"/>
    <numFmt numFmtId="165" formatCode="&quot;S$&quot;0.00"/>
    <numFmt numFmtId="166" formatCode="yyyy\-mm\-dd\ h:mm:ss"/>
  </numFmts>
  <fonts count="25">
    <font>
      <name val="Calibri"/>
      <charset val="1"/>
      <family val="2"/>
      <color theme="1"/>
      <sz val="11"/>
    </font>
    <font>
      <name val="Arial"/>
      <family val="0"/>
      <sz val="10"/>
    </font>
    <font>
      <name val="Arial"/>
      <family val="0"/>
      <sz val="10"/>
    </font>
    <font>
      <name val="Arial"/>
      <family val="0"/>
      <sz val="10"/>
    </font>
    <font>
      <name val="Calibri"/>
      <charset val="1"/>
      <family val="0"/>
      <b val="1"/>
      <color rgb="FFFDF8EE"/>
      <sz val="8"/>
    </font>
    <font>
      <name val="Calibri"/>
      <charset val="1"/>
      <family val="0"/>
      <color rgb="FF2D1F0F"/>
      <sz val="8"/>
    </font>
    <font>
      <name val="Calibri"/>
      <charset val="1"/>
      <family val="0"/>
      <b val="1"/>
      <color rgb="FF6A1B9A"/>
      <sz val="8"/>
    </font>
    <font>
      <name val="Arial"/>
      <family val="2"/>
      <sz val="10"/>
    </font>
    <font>
      <name val="Calibri"/>
      <charset val="1"/>
      <family val="0"/>
      <b val="1"/>
      <color rgb="FFFDF8EE"/>
      <sz val="18"/>
    </font>
    <font>
      <name val="Calibri"/>
      <charset val="1"/>
      <family val="0"/>
      <i val="1"/>
      <color rgb="FFC9902A"/>
      <sz val="9"/>
    </font>
    <font>
      <name val="Calibri"/>
      <charset val="1"/>
      <family val="0"/>
      <b val="1"/>
      <color rgb="FFFDF8EE"/>
      <sz val="10"/>
    </font>
    <font>
      <name val="Calibri"/>
      <charset val="1"/>
      <family val="0"/>
      <b val="1"/>
      <color rgb="FFC9902A"/>
      <sz val="7"/>
    </font>
    <font>
      <name val="Calibri"/>
      <charset val="1"/>
      <family val="0"/>
      <b val="1"/>
      <color rgb="FFC9902A"/>
      <sz val="20"/>
    </font>
    <font>
      <name val="Calibri"/>
      <charset val="1"/>
      <family val="0"/>
      <i val="1"/>
      <color rgb="FFCCB48A"/>
      <sz val="7"/>
    </font>
    <font>
      <name val="Calibri"/>
      <charset val="1"/>
      <family val="0"/>
      <b val="1"/>
      <color rgb="FF2D1F0F"/>
      <sz val="8"/>
    </font>
    <font>
      <name val="Calibri"/>
      <charset val="1"/>
      <family val="0"/>
      <i val="1"/>
      <color rgb="FF2D1F0F"/>
      <sz val="7.5"/>
    </font>
    <font>
      <name val="Calibri"/>
      <charset val="1"/>
      <family val="0"/>
      <i val="1"/>
      <color rgb="FF2D1F0F"/>
      <sz val="9"/>
    </font>
    <font>
      <name val="Calibri"/>
      <charset val="1"/>
      <family val="0"/>
      <b val="1"/>
      <color rgb="FF2D1F0F"/>
      <sz val="8.5"/>
    </font>
    <font>
      <name val="Calibri"/>
      <charset val="1"/>
      <family val="0"/>
      <color rgb="FF2D1F0F"/>
      <sz val="8.5"/>
    </font>
    <font>
      <name val="Calibri"/>
      <charset val="1"/>
      <family val="0"/>
      <b val="1"/>
      <color rgb="FF2D1F0F"/>
      <sz val="7.5"/>
    </font>
    <font>
      <name val="Calibri"/>
      <charset val="1"/>
      <family val="0"/>
      <color rgb="FF2D1F0F"/>
      <sz val="7.5"/>
    </font>
    <font>
      <name val="Calibri"/>
      <charset val="1"/>
      <family val="0"/>
      <i val="1"/>
      <color rgb="FF2D1F0F"/>
      <sz val="8.5"/>
    </font>
    <font>
      <name val="Calibri"/>
      <charset val="1"/>
      <family val="0"/>
      <sz val="10"/>
    </font>
    <font>
      <name val="Calibri"/>
      <charset val="1"/>
      <family val="0"/>
      <b val="1"/>
      <sz val="10"/>
    </font>
    <font>
      <name val="Calibri"/>
      <sz val="8"/>
    </font>
  </fonts>
  <fills count="14">
    <fill>
      <patternFill/>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9">
    <border>
      <left/>
      <right/>
      <top/>
      <bottom/>
      <diagonal/>
    </border>
    <border>
      <left style="thin">
        <color rgb="FF9E8060"/>
      </left>
      <right style="thin">
        <color rgb="FF9E8060"/>
      </right>
      <top style="thin">
        <color rgb="FF9E8060"/>
      </top>
      <bottom style="thin">
        <color rgb="FF9E8060"/>
      </bottom>
      <diagonal/>
    </border>
    <border>
      <left style="thin">
        <color rgb="FF9E8060"/>
      </left>
      <right/>
      <top style="thin">
        <color rgb="FF9E8060"/>
      </top>
      <bottom style="thin">
        <color rgb="FF9E8060"/>
      </bottom>
      <diagonal/>
    </border>
    <border>
      <left style="medium">
        <color rgb="FF6B4428"/>
      </left>
      <right/>
      <top style="medium">
        <color rgb="FF6B4428"/>
      </top>
      <bottom/>
      <diagonal/>
    </border>
    <border>
      <left/>
      <right/>
      <top style="thin">
        <color rgb="FF9E8060"/>
      </top>
      <bottom/>
      <diagonal/>
    </border>
    <border>
      <left/>
      <right/>
      <top style="thin">
        <color rgb="FF9E8060"/>
      </top>
      <bottom style="thin">
        <color rgb="FF9E8060"/>
      </bottom>
      <diagonal/>
    </border>
    <border>
      <left/>
      <right/>
      <top style="medium">
        <color rgb="FF6B4428"/>
      </top>
      <bottom/>
      <diagonal/>
    </border>
    <border>
      <left style="medium">
        <color rgb="FF6B4428"/>
      </left>
      <right/>
      <top/>
      <bottom/>
      <diagonal/>
    </border>
    <border>
      <left style="thin"/>
      <right style="thin"/>
      <top style="thin"/>
      <bottom style="thin"/>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164" fontId="5"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center" vertical="center" wrapText="1"/>
    </xf>
    <xf numFmtId="165" fontId="5" fillId="0" borderId="1" applyAlignment="1" pivotButton="0" quotePrefix="0" xfId="0">
      <alignment horizontal="general" vertical="top" wrapText="1"/>
    </xf>
    <xf numFmtId="166" fontId="5" fillId="0" borderId="1" applyAlignment="1" pivotButton="0" quotePrefix="0" xfId="0">
      <alignment horizontal="general" vertical="top" wrapText="1"/>
    </xf>
    <xf numFmtId="164"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0" fillId="3" borderId="0" applyAlignment="1" pivotButton="0" quotePrefix="0" xfId="0">
      <alignment horizontal="left" vertical="center" wrapText="1"/>
    </xf>
    <xf numFmtId="0" fontId="11" fillId="2"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general" vertical="top" wrapText="1"/>
    </xf>
    <xf numFmtId="0" fontId="14" fillId="5" borderId="1" applyAlignment="1" pivotButton="0" quotePrefix="0" xfId="0">
      <alignment horizontal="general" vertical="top" wrapText="1"/>
    </xf>
    <xf numFmtId="0" fontId="5" fillId="6" borderId="1" applyAlignment="1" pivotButton="0" quotePrefix="0" xfId="0">
      <alignment horizontal="general" vertical="top" wrapText="1"/>
    </xf>
    <xf numFmtId="0" fontId="14" fillId="6" borderId="1" applyAlignment="1" pivotButton="0" quotePrefix="0" xfId="0">
      <alignment horizontal="general" vertical="top" wrapText="1"/>
    </xf>
    <xf numFmtId="0" fontId="0" fillId="7" borderId="0" applyAlignment="1" pivotButton="0" quotePrefix="0" xfId="0">
      <alignment horizontal="general" vertical="bottom"/>
    </xf>
    <xf numFmtId="0" fontId="15" fillId="7" borderId="2" applyAlignment="1" pivotButton="0" quotePrefix="0" xfId="0">
      <alignment horizontal="general" vertical="top" wrapText="1"/>
    </xf>
    <xf numFmtId="0" fontId="16" fillId="7" borderId="3" applyAlignment="1" pivotButton="0" quotePrefix="0" xfId="0">
      <alignment horizontal="general" vertical="top" wrapText="1"/>
    </xf>
    <xf numFmtId="0" fontId="5" fillId="8" borderId="1" applyAlignment="1" pivotButton="0" quotePrefix="0" xfId="0">
      <alignment horizontal="general" vertical="top" wrapText="1"/>
    </xf>
    <xf numFmtId="0" fontId="5" fillId="9" borderId="1" applyAlignment="1" pivotButton="0" quotePrefix="0" xfId="0">
      <alignment horizontal="general" vertical="top" wrapText="1"/>
    </xf>
    <xf numFmtId="0" fontId="14" fillId="10" borderId="1" applyAlignment="1" pivotButton="0" quotePrefix="0" xfId="0">
      <alignment horizontal="general" vertical="top" wrapText="1"/>
    </xf>
    <xf numFmtId="0" fontId="5" fillId="10" borderId="1" applyAlignment="1" pivotButton="0" quotePrefix="0" xfId="0">
      <alignment horizontal="general" vertical="top" wrapText="1"/>
    </xf>
    <xf numFmtId="0" fontId="14" fillId="11" borderId="1" applyAlignment="1" pivotButton="0" quotePrefix="0" xfId="0">
      <alignment horizontal="general" vertical="top" wrapText="1"/>
    </xf>
    <xf numFmtId="0" fontId="5" fillId="11" borderId="1" applyAlignment="1" pivotButton="0" quotePrefix="0" xfId="0">
      <alignment horizontal="general" vertical="top" wrapText="1"/>
    </xf>
    <xf numFmtId="0" fontId="14" fillId="12" borderId="1" applyAlignment="1" pivotButton="0" quotePrefix="0" xfId="0">
      <alignment horizontal="general" vertical="top" wrapText="1"/>
    </xf>
    <xf numFmtId="0" fontId="5" fillId="12" borderId="1" applyAlignment="1" pivotButton="0" quotePrefix="0" xfId="0">
      <alignment horizontal="general" vertical="top" wrapText="1"/>
    </xf>
    <xf numFmtId="0" fontId="17" fillId="7" borderId="2" applyAlignment="1" pivotButton="0" quotePrefix="0" xfId="0">
      <alignment horizontal="general" vertical="top" wrapText="1"/>
    </xf>
    <xf numFmtId="0" fontId="18" fillId="6" borderId="2" applyAlignment="1" pivotButton="0" quotePrefix="0" xfId="0">
      <alignment horizontal="general" vertical="top" wrapText="1"/>
    </xf>
    <xf numFmtId="0" fontId="18" fillId="7" borderId="2" applyAlignment="1" pivotButton="0" quotePrefix="0" xfId="0">
      <alignment horizontal="general" vertical="top" wrapText="1"/>
    </xf>
    <xf numFmtId="0" fontId="19" fillId="5" borderId="1" applyAlignment="1" pivotButton="0" quotePrefix="0" xfId="0">
      <alignment horizontal="general" vertical="top" wrapText="1"/>
    </xf>
    <xf numFmtId="0" fontId="20" fillId="5" borderId="1" applyAlignment="1" pivotButton="0" quotePrefix="0" xfId="0">
      <alignment horizontal="general" vertical="top" wrapText="1"/>
    </xf>
    <xf numFmtId="0" fontId="19" fillId="6" borderId="1" applyAlignment="1" pivotButton="0" quotePrefix="0" xfId="0">
      <alignment horizontal="general" vertical="top" wrapText="1"/>
    </xf>
    <xf numFmtId="0" fontId="20" fillId="6" borderId="1" applyAlignment="1" pivotButton="0" quotePrefix="0" xfId="0">
      <alignment horizontal="general" vertical="top" wrapText="1"/>
    </xf>
    <xf numFmtId="0" fontId="19" fillId="10" borderId="1" applyAlignment="1" pivotButton="0" quotePrefix="0" xfId="0">
      <alignment horizontal="general" vertical="top" wrapText="1"/>
    </xf>
    <xf numFmtId="0" fontId="20" fillId="10" borderId="1" applyAlignment="1" pivotButton="0" quotePrefix="0" xfId="0">
      <alignment horizontal="general" vertical="top" wrapText="1"/>
    </xf>
    <xf numFmtId="0" fontId="19" fillId="12" borderId="1" applyAlignment="1" pivotButton="0" quotePrefix="0" xfId="0">
      <alignment horizontal="general" vertical="top" wrapText="1"/>
    </xf>
    <xf numFmtId="0" fontId="20" fillId="12" borderId="1" applyAlignment="1" pivotButton="0" quotePrefix="0" xfId="0">
      <alignment horizontal="general" vertical="top" wrapText="1"/>
    </xf>
    <xf numFmtId="0" fontId="0" fillId="13" borderId="1" applyAlignment="1" pivotButton="0" quotePrefix="0" xfId="0">
      <alignment horizontal="general" vertical="bottom"/>
    </xf>
    <xf numFmtId="0" fontId="5" fillId="7" borderId="1" applyAlignment="1" pivotButton="0" quotePrefix="0" xfId="0">
      <alignment horizontal="general" vertical="top" wrapText="1"/>
    </xf>
    <xf numFmtId="0" fontId="0" fillId="5" borderId="1" applyAlignment="1" pivotButton="0" quotePrefix="0" xfId="0">
      <alignment horizontal="general" vertical="bottom"/>
    </xf>
    <xf numFmtId="0" fontId="0" fillId="8" borderId="1" applyAlignment="1" pivotButton="0" quotePrefix="0" xfId="0">
      <alignment horizontal="general" vertical="bottom"/>
    </xf>
    <xf numFmtId="0" fontId="0" fillId="2" borderId="1" applyAlignment="1" pivotButton="0" quotePrefix="0" xfId="0">
      <alignment horizontal="general" vertical="bottom"/>
    </xf>
    <xf numFmtId="0" fontId="21" fillId="7" borderId="2" applyAlignment="1" pivotButton="0" quotePrefix="0" xfId="0">
      <alignment horizontal="general" vertical="top" wrapText="1"/>
    </xf>
    <xf numFmtId="0" fontId="21" fillId="6" borderId="2"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164" fontId="5" fillId="0" borderId="1" applyAlignment="1" pivotButton="0" quotePrefix="0" xfId="0">
      <alignment horizontal="general" vertical="top" wrapText="1"/>
    </xf>
    <xf numFmtId="0" fontId="5" fillId="0" borderId="1" applyAlignment="1" pivotButton="0" quotePrefix="0" xfId="0">
      <alignment horizontal="general" vertical="top" wrapText="1"/>
    </xf>
    <xf numFmtId="0" fontId="6" fillId="0" borderId="1" applyAlignment="1" pivotButton="0" quotePrefix="0" xfId="0">
      <alignment horizontal="center" vertical="center" wrapText="1"/>
    </xf>
    <xf numFmtId="165" fontId="5" fillId="0" borderId="1" applyAlignment="1" pivotButton="0" quotePrefix="0" xfId="0">
      <alignment horizontal="general" vertical="top" wrapText="1"/>
    </xf>
    <xf numFmtId="166" fontId="5" fillId="0" borderId="1" applyAlignment="1" pivotButton="0" quotePrefix="0" xfId="0">
      <alignment horizontal="general" vertical="top" wrapText="1"/>
    </xf>
    <xf numFmtId="164" fontId="5"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center" vertical="center" wrapText="1"/>
    </xf>
    <xf numFmtId="0" fontId="24" fillId="0" borderId="8" applyAlignment="1" pivotButton="0" quotePrefix="0" xfId="0">
      <alignment vertical="top" wrapText="1"/>
    </xf>
    <xf numFmtId="0" fontId="8" fillId="2" borderId="0" applyAlignment="1" pivotButton="0" quotePrefix="0" xfId="0">
      <alignment horizontal="center" vertical="center" wrapText="1"/>
    </xf>
    <xf numFmtId="0" fontId="9" fillId="3" borderId="0" applyAlignment="1" pivotButton="0" quotePrefix="0" xfId="0">
      <alignment horizontal="center" vertical="center" wrapText="1"/>
    </xf>
    <xf numFmtId="0" fontId="10" fillId="3" borderId="0" applyAlignment="1" pivotButton="0" quotePrefix="0" xfId="0">
      <alignment horizontal="left" vertical="center" wrapText="1"/>
    </xf>
    <xf numFmtId="0" fontId="11" fillId="2" borderId="1" applyAlignment="1" pivotButton="0" quotePrefix="0" xfId="0">
      <alignment horizontal="center" vertical="center" wrapText="1"/>
    </xf>
    <xf numFmtId="0" fontId="12" fillId="3" borderId="1" applyAlignment="1" pivotButton="0" quotePrefix="0" xfId="0">
      <alignment horizontal="center" vertical="center" wrapText="1"/>
    </xf>
    <xf numFmtId="0" fontId="13"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5" borderId="1" applyAlignment="1" pivotButton="0" quotePrefix="0" xfId="0">
      <alignment horizontal="general" vertical="top" wrapText="1"/>
    </xf>
    <xf numFmtId="0" fontId="14" fillId="5" borderId="1" applyAlignment="1" pivotButton="0" quotePrefix="0" xfId="0">
      <alignment horizontal="general" vertical="top" wrapText="1"/>
    </xf>
    <xf numFmtId="0" fontId="5" fillId="6" borderId="1" applyAlignment="1" pivotButton="0" quotePrefix="0" xfId="0">
      <alignment horizontal="general" vertical="top" wrapText="1"/>
    </xf>
    <xf numFmtId="0" fontId="14" fillId="6" borderId="1" applyAlignment="1" pivotButton="0" quotePrefix="0" xfId="0">
      <alignment horizontal="general" vertical="top" wrapText="1"/>
    </xf>
    <xf numFmtId="0" fontId="0" fillId="7" borderId="0" applyAlignment="1" pivotButton="0" quotePrefix="0" xfId="0">
      <alignment horizontal="general" vertical="bottom"/>
    </xf>
    <xf numFmtId="0" fontId="15" fillId="7" borderId="2" applyAlignment="1" pivotButton="0" quotePrefix="0" xfId="0">
      <alignment horizontal="general" vertical="top" wrapText="1"/>
    </xf>
    <xf numFmtId="0" fontId="0" fillId="0" borderId="5" pivotButton="0" quotePrefix="0" xfId="0"/>
    <xf numFmtId="0" fontId="16" fillId="7" borderId="3" applyAlignment="1" pivotButton="0" quotePrefix="0" xfId="0">
      <alignment horizontal="general" vertical="top" wrapText="1"/>
    </xf>
    <xf numFmtId="0" fontId="0" fillId="0" borderId="6" pivotButton="0" quotePrefix="0" xfId="0"/>
    <xf numFmtId="0" fontId="0" fillId="0" borderId="7" pivotButton="0" quotePrefix="0" xfId="0"/>
    <xf numFmtId="0" fontId="5" fillId="8" borderId="1" applyAlignment="1" pivotButton="0" quotePrefix="0" xfId="0">
      <alignment horizontal="general" vertical="top" wrapText="1"/>
    </xf>
    <xf numFmtId="0" fontId="5" fillId="9" borderId="1" applyAlignment="1" pivotButton="0" quotePrefix="0" xfId="0">
      <alignment horizontal="general" vertical="top" wrapText="1"/>
    </xf>
    <xf numFmtId="0" fontId="14" fillId="10" borderId="1" applyAlignment="1" pivotButton="0" quotePrefix="0" xfId="0">
      <alignment horizontal="general" vertical="top" wrapText="1"/>
    </xf>
    <xf numFmtId="0" fontId="5" fillId="10" borderId="1" applyAlignment="1" pivotButton="0" quotePrefix="0" xfId="0">
      <alignment horizontal="general" vertical="top" wrapText="1"/>
    </xf>
    <xf numFmtId="0" fontId="14" fillId="11" borderId="1" applyAlignment="1" pivotButton="0" quotePrefix="0" xfId="0">
      <alignment horizontal="general" vertical="top" wrapText="1"/>
    </xf>
    <xf numFmtId="0" fontId="5" fillId="11" borderId="1" applyAlignment="1" pivotButton="0" quotePrefix="0" xfId="0">
      <alignment horizontal="general" vertical="top" wrapText="1"/>
    </xf>
    <xf numFmtId="0" fontId="14" fillId="12" borderId="1" applyAlignment="1" pivotButton="0" quotePrefix="0" xfId="0">
      <alignment horizontal="general" vertical="top" wrapText="1"/>
    </xf>
    <xf numFmtId="0" fontId="5" fillId="12" borderId="1" applyAlignment="1" pivotButton="0" quotePrefix="0" xfId="0">
      <alignment horizontal="general" vertical="top" wrapText="1"/>
    </xf>
    <xf numFmtId="0" fontId="17" fillId="7" borderId="2" applyAlignment="1" pivotButton="0" quotePrefix="0" xfId="0">
      <alignment horizontal="general" vertical="top" wrapText="1"/>
    </xf>
    <xf numFmtId="0" fontId="18" fillId="6" borderId="2" applyAlignment="1" pivotButton="0" quotePrefix="0" xfId="0">
      <alignment horizontal="general" vertical="top" wrapText="1"/>
    </xf>
    <xf numFmtId="0" fontId="18" fillId="7" borderId="2" applyAlignment="1" pivotButton="0" quotePrefix="0" xfId="0">
      <alignment horizontal="general" vertical="top" wrapText="1"/>
    </xf>
    <xf numFmtId="0" fontId="19" fillId="5" borderId="1" applyAlignment="1" pivotButton="0" quotePrefix="0" xfId="0">
      <alignment horizontal="general" vertical="top" wrapText="1"/>
    </xf>
    <xf numFmtId="0" fontId="20" fillId="5" borderId="1" applyAlignment="1" pivotButton="0" quotePrefix="0" xfId="0">
      <alignment horizontal="general" vertical="top" wrapText="1"/>
    </xf>
    <xf numFmtId="0" fontId="19" fillId="6" borderId="1" applyAlignment="1" pivotButton="0" quotePrefix="0" xfId="0">
      <alignment horizontal="general" vertical="top" wrapText="1"/>
    </xf>
    <xf numFmtId="0" fontId="20" fillId="6" borderId="1" applyAlignment="1" pivotButton="0" quotePrefix="0" xfId="0">
      <alignment horizontal="general" vertical="top" wrapText="1"/>
    </xf>
    <xf numFmtId="0" fontId="19" fillId="10" borderId="1" applyAlignment="1" pivotButton="0" quotePrefix="0" xfId="0">
      <alignment horizontal="general" vertical="top" wrapText="1"/>
    </xf>
    <xf numFmtId="0" fontId="20" fillId="10" borderId="1" applyAlignment="1" pivotButton="0" quotePrefix="0" xfId="0">
      <alignment horizontal="general" vertical="top" wrapText="1"/>
    </xf>
    <xf numFmtId="0" fontId="19" fillId="12" borderId="1" applyAlignment="1" pivotButton="0" quotePrefix="0" xfId="0">
      <alignment horizontal="general" vertical="top" wrapText="1"/>
    </xf>
    <xf numFmtId="0" fontId="20" fillId="12" borderId="1" applyAlignment="1" pivotButton="0" quotePrefix="0" xfId="0">
      <alignment horizontal="general" vertical="top" wrapText="1"/>
    </xf>
    <xf numFmtId="0" fontId="0" fillId="13" borderId="1" applyAlignment="1" pivotButton="0" quotePrefix="0" xfId="0">
      <alignment horizontal="general" vertical="bottom"/>
    </xf>
    <xf numFmtId="0" fontId="5" fillId="7" borderId="1" applyAlignment="1" pivotButton="0" quotePrefix="0" xfId="0">
      <alignment horizontal="general" vertical="top" wrapText="1"/>
    </xf>
    <xf numFmtId="0" fontId="0" fillId="5" borderId="1" applyAlignment="1" pivotButton="0" quotePrefix="0" xfId="0">
      <alignment horizontal="general" vertical="bottom"/>
    </xf>
    <xf numFmtId="0" fontId="0" fillId="8" borderId="1" applyAlignment="1" pivotButton="0" quotePrefix="0" xfId="0">
      <alignment horizontal="general" vertical="bottom"/>
    </xf>
    <xf numFmtId="0" fontId="0" fillId="2" borderId="1" applyAlignment="1" pivotButton="0" quotePrefix="0" xfId="0">
      <alignment horizontal="general" vertical="bottom"/>
    </xf>
    <xf numFmtId="0" fontId="21" fillId="7" borderId="2" applyAlignment="1" pivotButton="0" quotePrefix="0" xfId="0">
      <alignment horizontal="general" vertical="top" wrapText="1"/>
    </xf>
    <xf numFmtId="0" fontId="21" fillId="6" borderId="2" applyAlignment="1" pivotButton="0" quotePrefix="0" xfId="0">
      <alignment horizontal="general" vertical="top" wrapText="1"/>
    </xf>
    <xf numFmtId="0" fontId="22" fillId="0" borderId="0" applyAlignment="1" pivotButton="0" quotePrefix="0" xfId="0">
      <alignment horizontal="general" vertical="bottom"/>
    </xf>
    <xf numFmtId="0" fontId="23"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Unknown Author</author>
  </authors>
  <commentList>
    <comment ref="C30" authorId="0" shapeId="0">
      <text>
        <t>Corrected: user confirms only ever visited the OFC outlet. 'Raffles Place' was a mislabel. Now matches row 32/34 (same venue). 11Jul2026 audit.</t>
      </text>
    </comment>
    <comment ref="C41" authorId="0" shapeId="0">
      <text>
        <t>Capitalization standardized to Google's canonical listing. 11Jul2026 audit.</t>
      </text>
    </comment>
    <comment ref="C44" authorId="0" shapeId="0">
      <text>
        <t>Renamed per user instruction to distinguish from Apartment (Selegie Rd). 11Jul2026 audit.</t>
      </text>
    </comment>
    <comment ref="C46" authorId="0" shapeId="0">
      <text>
        <t>Renamed per user instruction to distinguish from Apartment (Selegie Rd). 11Jul2026 audit.</t>
      </text>
    </comment>
    <comment ref="C47" authorId="0" shapeId="0">
      <text>
        <t>Capitalization standardized to Google's canonical listing. 11Jul2026 audit.</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2D1F0F"/>
    <outlinePr summaryBelow="1" summaryRight="1"/>
    <pageSetUpPr fitToPage="0"/>
  </sheetPr>
  <dimension ref="A1:X64"/>
  <sheetViews>
    <sheetView showFormulas="0" showGridLines="0" showRowColHeaders="1" showZeros="1" rightToLeft="0" tabSelected="1"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1" customWidth="1" style="53" min="1" max="2"/>
    <col width="22" customWidth="1" style="53" min="3" max="3"/>
    <col width="26" customWidth="1" style="53" min="4" max="4"/>
    <col width="20" customWidth="1" style="53" min="5" max="5"/>
    <col width="16" customWidth="1" style="53" min="6" max="7"/>
    <col width="20" customWidth="1" style="53" min="8" max="8"/>
    <col width="11" customWidth="1" style="53" min="9" max="9"/>
    <col width="24" customWidth="1" style="53" min="10" max="10"/>
    <col width="7" customWidth="1" style="53" min="11" max="12"/>
    <col width="8" customWidth="1" style="53" min="13" max="13"/>
    <col width="12" customWidth="1" style="53" min="14" max="14"/>
    <col width="20" customWidth="1" style="53" min="15" max="15"/>
    <col width="26" customWidth="1" style="53" min="16" max="16"/>
    <col width="8" customWidth="1" style="53" min="17" max="17"/>
    <col width="26" customWidth="1" style="53" min="18" max="18"/>
    <col width="50" customWidth="1" style="53" min="19" max="20"/>
    <col width="40" customWidth="1" style="53" min="21" max="21"/>
    <col width="24" customWidth="1" style="53" min="22" max="22"/>
    <col width="10" customWidth="1" style="53" min="23" max="23"/>
    <col width="46" customWidth="1" style="53" min="24" max="24"/>
  </cols>
  <sheetData>
    <row r="1" ht="18" customHeight="1" s="54">
      <c r="A1" s="55" t="inlineStr">
        <is>
          <t>Date</t>
        </is>
      </c>
      <c r="B1" s="55" t="inlineStr">
        <is>
          <t>City</t>
        </is>
      </c>
      <c r="C1" s="55" t="inlineStr">
        <is>
          <t>Cafe_Name</t>
        </is>
      </c>
      <c r="D1" s="55" t="inlineStr">
        <is>
          <t>Coffee_Name</t>
        </is>
      </c>
      <c r="E1" s="55" t="inlineStr">
        <is>
          <t>Producer_Farm</t>
        </is>
      </c>
      <c r="F1" s="55" t="inlineStr">
        <is>
          <t>Origin</t>
        </is>
      </c>
      <c r="G1" s="55" t="inlineStr">
        <is>
          <t>Varietal</t>
        </is>
      </c>
      <c r="H1" s="55" t="inlineStr">
        <is>
          <t>Process</t>
        </is>
      </c>
      <c r="I1" s="55" t="inlineStr">
        <is>
          <t>Roast_Level</t>
        </is>
      </c>
      <c r="J1" s="55" t="inlineStr">
        <is>
          <t>Brew_Method</t>
        </is>
      </c>
      <c r="K1" s="55" t="inlineStr">
        <is>
          <t>Dose_g</t>
        </is>
      </c>
      <c r="L1" s="55" t="inlineStr">
        <is>
          <t>Yield_g</t>
        </is>
      </c>
      <c r="M1" s="55" t="inlineStr">
        <is>
          <t>Ratio</t>
        </is>
      </c>
      <c r="N1" s="55" t="inlineStr">
        <is>
          <t>Water_Temp_C</t>
        </is>
      </c>
      <c r="O1" s="55" t="inlineStr">
        <is>
          <t>Bloom</t>
        </is>
      </c>
      <c r="P1" s="55" t="inlineStr">
        <is>
          <t>Grinder</t>
        </is>
      </c>
      <c r="Q1" s="55" t="inlineStr">
        <is>
          <t>Price_SGD</t>
        </is>
      </c>
      <c r="R1" s="55" t="inlineStr">
        <is>
          <t>Official_Notes</t>
        </is>
      </c>
      <c r="S1" s="55" t="inlineStr">
        <is>
          <t>Your_Verdict</t>
        </is>
      </c>
      <c r="T1" s="55" t="inlineStr">
        <is>
          <t>Technical_Enrichment</t>
        </is>
      </c>
      <c r="U1" s="55" t="inlineStr">
        <is>
          <t>Visit_Context</t>
        </is>
      </c>
      <c r="V1" s="55" t="inlineStr">
        <is>
          <t>Source</t>
        </is>
      </c>
      <c r="W1" s="55" t="inlineStr">
        <is>
          <t>Gesha_Alert</t>
        </is>
      </c>
      <c r="X1" s="55" t="inlineStr">
        <is>
          <t>Address</t>
        </is>
      </c>
    </row>
    <row r="2" ht="20.25" customHeight="1" s="54">
      <c r="A2" s="56" t="n">
        <v>46025</v>
      </c>
      <c r="B2" s="57" t="inlineStr">
        <is>
          <t>Ubud, Bali</t>
        </is>
      </c>
      <c r="C2" s="57" t="inlineStr">
        <is>
          <t>Seniman Coffee Studio</t>
        </is>
      </c>
      <c r="D2" s="57" t="inlineStr">
        <is>
          <t>Bali Karana Kintamanis</t>
        </is>
      </c>
      <c r="E2" s="57" t="inlineStr">
        <is>
          <t>Unknown</t>
        </is>
      </c>
      <c r="F2" s="57" t="inlineStr">
        <is>
          <t>Kintamani, Bali</t>
        </is>
      </c>
      <c r="G2" s="57" t="inlineStr">
        <is>
          <t>Unknown</t>
        </is>
      </c>
      <c r="H2" s="57" t="inlineStr">
        <is>
          <t>Natural</t>
        </is>
      </c>
      <c r="I2" s="57" t="inlineStr">
        <is>
          <t>Light</t>
        </is>
      </c>
      <c r="J2" s="57" t="inlineStr">
        <is>
          <t>Filter</t>
        </is>
      </c>
      <c r="K2" s="57" t="inlineStr">
        <is>
          <t>Unknown</t>
        </is>
      </c>
      <c r="L2" s="57" t="inlineStr">
        <is>
          <t>Unknown</t>
        </is>
      </c>
      <c r="M2" s="57" t="inlineStr">
        <is>
          <t>Unknown</t>
        </is>
      </c>
      <c r="N2" s="57" t="inlineStr">
        <is>
          <t>Unknown</t>
        </is>
      </c>
      <c r="O2" s="57" t="inlineStr">
        <is>
          <t>Unknown</t>
        </is>
      </c>
      <c r="P2" s="57" t="inlineStr">
        <is>
          <t>Unknown</t>
        </is>
      </c>
      <c r="Q2" s="57" t="inlineStr">
        <is>
          <t>Unknown</t>
        </is>
      </c>
      <c r="R2" s="57" t="inlineStr">
        <is>
          <t>Clean citrus; floral</t>
        </is>
      </c>
      <c r="S2" s="57" t="inlineStr">
        <is>
          <t>Excellent clarity for a natural process; clean citrus and floral notes.</t>
        </is>
      </c>
      <c r="T2" s="57" t="inlineStr">
        <is>
          <t>Natural processing contributed mild fruit-forward esters with relatively clean finish; foundational exposure to local Indonesian origins.</t>
        </is>
      </c>
      <c r="U2" s="57" t="inlineStr">
        <is>
          <t>Bali family trip</t>
        </is>
      </c>
      <c r="V2" s="57" t="inlineStr">
        <is>
          <t>Merged (Gemini + ChatGPT)</t>
        </is>
      </c>
      <c r="W2" s="58">
        <f>IF(OR(ISNUMBER(SEARCH("gesha",G2)),ISNUMBER(SEARCH("geisha",G2))),"⭐ GESHA","")</f>
        <v/>
      </c>
      <c r="X2" s="57" t="inlineStr">
        <is>
          <t>Jl. Sri Wedari No.5, Ubud, Gianyar, Bali 80571, Indonesia</t>
        </is>
      </c>
    </row>
    <row r="3" ht="20.25" customHeight="1" s="54">
      <c r="A3" s="56" t="n">
        <v>46026</v>
      </c>
      <c r="B3" s="57" t="inlineStr">
        <is>
          <t>Ubud, Bali</t>
        </is>
      </c>
      <c r="C3" s="57" t="inlineStr">
        <is>
          <t>Seniman Coffee Studio</t>
        </is>
      </c>
      <c r="D3" s="57" t="inlineStr">
        <is>
          <t>Sulawesi Toraja</t>
        </is>
      </c>
      <c r="E3" s="57" t="inlineStr">
        <is>
          <t>Unknown</t>
        </is>
      </c>
      <c r="F3" s="57" t="inlineStr">
        <is>
          <t>Sulawesi, Indonesia</t>
        </is>
      </c>
      <c r="G3" s="57" t="inlineStr">
        <is>
          <t>Unknown</t>
        </is>
      </c>
      <c r="H3" s="57" t="inlineStr">
        <is>
          <t>Wet-Hulled</t>
        </is>
      </c>
      <c r="I3" s="57" t="inlineStr">
        <is>
          <t>Medium</t>
        </is>
      </c>
      <c r="J3" s="57" t="inlineStr">
        <is>
          <t>Pour-over</t>
        </is>
      </c>
      <c r="K3" s="57" t="inlineStr">
        <is>
          <t>Unknown</t>
        </is>
      </c>
      <c r="L3" s="57" t="inlineStr">
        <is>
          <t>Unknown</t>
        </is>
      </c>
      <c r="M3" s="57" t="inlineStr">
        <is>
          <t>Unknown</t>
        </is>
      </c>
      <c r="N3" s="57" t="inlineStr">
        <is>
          <t>Unknown</t>
        </is>
      </c>
      <c r="O3" s="57" t="inlineStr">
        <is>
          <t>Unknown</t>
        </is>
      </c>
      <c r="P3" s="57" t="inlineStr">
        <is>
          <t>Unknown</t>
        </is>
      </c>
      <c r="Q3" s="57" t="inlineStr">
        <is>
          <t>Unknown</t>
        </is>
      </c>
      <c r="R3" s="57" t="inlineStr">
        <is>
          <t>Cocoa; earthy structures</t>
        </is>
      </c>
      <c r="S3" s="57" t="inlineStr">
        <is>
          <t>Heavy body with rich cocoa and earthy notes; low acidity; dense mouthfeel.</t>
        </is>
      </c>
      <c r="T3" s="57" t="inlineStr">
        <is>
          <t>Classic Giling Basah wet-hulled process emphasized earthy compounds and syrupy mouthfeel; structural density confirmed.</t>
        </is>
      </c>
      <c r="U3" s="57" t="inlineStr">
        <is>
          <t>Bali family trip</t>
        </is>
      </c>
      <c r="V3" s="57" t="inlineStr">
        <is>
          <t>Merged (Gemini + ChatGPT)</t>
        </is>
      </c>
      <c r="W3" s="58">
        <f>IF(OR(ISNUMBER(SEARCH("gesha",G3)),ISNUMBER(SEARCH("geisha",G3))),"⭐ GESHA","")</f>
        <v/>
      </c>
      <c r="X3" s="57" t="inlineStr">
        <is>
          <t>Jl. Sri Wedari No.5, Ubud, Gianyar, Bali 80571, Indonesia</t>
        </is>
      </c>
    </row>
    <row r="4" ht="20.25" customHeight="1" s="54">
      <c r="A4" s="56" t="n">
        <v>46026</v>
      </c>
      <c r="B4" s="57" t="inlineStr">
        <is>
          <t>Ubud, Bali</t>
        </is>
      </c>
      <c r="C4" s="57" t="inlineStr">
        <is>
          <t>Seniman Coffee Studio</t>
        </is>
      </c>
      <c r="D4" s="57" t="inlineStr">
        <is>
          <t>House Blend</t>
        </is>
      </c>
      <c r="E4" s="57" t="inlineStr">
        <is>
          <t>Unknown</t>
        </is>
      </c>
      <c r="F4" s="57" t="inlineStr">
        <is>
          <t>Unknown</t>
        </is>
      </c>
      <c r="G4" s="57" t="inlineStr">
        <is>
          <t>Unknown</t>
        </is>
      </c>
      <c r="H4" s="57" t="inlineStr">
        <is>
          <t>Unknown</t>
        </is>
      </c>
      <c r="I4" s="57" t="inlineStr">
        <is>
          <t>Espresso Roast</t>
        </is>
      </c>
      <c r="J4" s="57" t="inlineStr">
        <is>
          <t>Piccolo</t>
        </is>
      </c>
      <c r="K4" s="57" t="inlineStr">
        <is>
          <t>Unknown</t>
        </is>
      </c>
      <c r="L4" s="57" t="inlineStr">
        <is>
          <t>Unknown</t>
        </is>
      </c>
      <c r="M4" s="57" t="inlineStr">
        <is>
          <t>Unknown</t>
        </is>
      </c>
      <c r="N4" s="57" t="inlineStr">
        <is>
          <t>Unknown</t>
        </is>
      </c>
      <c r="O4" s="57" t="inlineStr">
        <is>
          <t>Unknown</t>
        </is>
      </c>
      <c r="P4" s="57" t="inlineStr">
        <is>
          <t>Unknown</t>
        </is>
      </c>
      <c r="Q4" s="57" t="inlineStr">
        <is>
          <t>Unknown</t>
        </is>
      </c>
      <c r="R4" s="57" t="inlineStr">
        <is>
          <t>Balanced</t>
        </is>
      </c>
      <c r="S4" s="57" t="inlineStr">
        <is>
          <t>Great milk integration; standard espresso + milk calibration.</t>
        </is>
      </c>
      <c r="T4" s="57" t="inlineStr">
        <is>
          <t>Baseline milk pairing; milk fats softened acidity and amplified sweetness and body.</t>
        </is>
      </c>
      <c r="U4" s="57" t="inlineStr">
        <is>
          <t>Bali family trip</t>
        </is>
      </c>
      <c r="V4" s="57" t="inlineStr">
        <is>
          <t>Merged (Gemini + ChatGPT)</t>
        </is>
      </c>
      <c r="W4" s="58">
        <f>IF(OR(ISNUMBER(SEARCH("gesha",G4)),ISNUMBER(SEARCH("geisha",G4))),"⭐ GESHA","")</f>
        <v/>
      </c>
      <c r="X4" s="57" t="inlineStr">
        <is>
          <t>Jl. Sri Wedari No.5, Ubud, Gianyar, Bali 80571, Indonesia</t>
        </is>
      </c>
    </row>
    <row r="5" ht="69" customHeight="1" s="54">
      <c r="A5" s="56" t="n">
        <v>46063</v>
      </c>
      <c r="B5" s="57" t="inlineStr">
        <is>
          <t>Singapore</t>
        </is>
      </c>
      <c r="C5" s="57" t="inlineStr">
        <is>
          <t>Kyuukei Coffee</t>
        </is>
      </c>
      <c r="D5" s="57" t="inlineStr">
        <is>
          <t>Kenya Kiamugumo AA</t>
        </is>
      </c>
      <c r="E5" s="57" t="inlineStr">
        <is>
          <t>New Ngariama Farmer's Cooperative Society</t>
        </is>
      </c>
      <c r="F5" s="57" t="inlineStr">
        <is>
          <t>Kiamugumo, Murang'a County, Kenya</t>
        </is>
      </c>
      <c r="G5" s="57" t="inlineStr">
        <is>
          <t>SL28 / SL34</t>
        </is>
      </c>
      <c r="H5" s="57" t="inlineStr">
        <is>
          <t>Washed</t>
        </is>
      </c>
      <c r="I5" s="57" t="inlineStr">
        <is>
          <t>Unknown</t>
        </is>
      </c>
      <c r="J5" s="57" t="inlineStr">
        <is>
          <t>Pour-over (Flat-Bottom)</t>
        </is>
      </c>
      <c r="K5" s="57" t="n">
        <v>15</v>
      </c>
      <c r="L5" s="57" t="n">
        <v>240</v>
      </c>
      <c r="M5" s="57" t="inlineStr">
        <is>
          <t>1:16</t>
        </is>
      </c>
      <c r="N5" s="57" t="inlineStr">
        <is>
          <t>93</t>
        </is>
      </c>
      <c r="O5" s="57" t="inlineStr">
        <is>
          <t>Unknown</t>
        </is>
      </c>
      <c r="P5" s="57" t="inlineStr">
        <is>
          <t>120mm Hybrid Burr</t>
        </is>
      </c>
      <c r="Q5" s="59" t="n">
        <v>8</v>
      </c>
      <c r="R5" s="57" t="inlineStr">
        <is>
          <t>Blackcurrant, Lemon, Citrus Zest, Mineral Finish</t>
        </is>
      </c>
      <c r="S5" s="57" t="inlineStr">
        <is>
          <t>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is>
      </c>
      <c r="T5" s="57" t="inlineStr">
        <is>
          <t>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is>
      </c>
      <c r="U5" s="57" t="inlineStr">
        <is>
          <t>Solo visit — early archive period, first Kyūkei filter audit</t>
        </is>
      </c>
      <c r="V5" s="57" t="inlineStr">
        <is>
          <t>Direct observation + infographic + Google review (10 Feb 2026)</t>
        </is>
      </c>
      <c r="W5" s="58">
        <f>IF(OR(ISNUMBER(SEARCH("gesha",G5)),ISNUMBER(SEARCH("geisha",G5))),"⭐ GESHA","")</f>
        <v/>
      </c>
      <c r="X5" s="57" t="inlineStr">
        <is>
          <t>121 Bukit Merah Lane 1, #01-06, Singapore 150121</t>
        </is>
      </c>
    </row>
    <row r="6" ht="20.25" customHeight="1" s="54">
      <c r="A6" s="56" t="n">
        <v>46082</v>
      </c>
      <c r="B6" s="57" t="inlineStr">
        <is>
          <t>Mumbai</t>
        </is>
      </c>
      <c r="C6" s="57" t="inlineStr">
        <is>
          <t>Subko Coffee Roasters</t>
        </is>
      </c>
      <c r="D6" s="57" t="inlineStr">
        <is>
          <t>Project Pearl Ratnagiri</t>
        </is>
      </c>
      <c r="E6" s="57" t="inlineStr">
        <is>
          <t>Ratnagiri Estate</t>
        </is>
      </c>
      <c r="F6" s="57" t="inlineStr">
        <is>
          <t>India</t>
        </is>
      </c>
      <c r="G6" s="57" t="inlineStr">
        <is>
          <t>Unknown</t>
        </is>
      </c>
      <c r="H6" s="57" t="inlineStr">
        <is>
          <t>Anaerobic Natural</t>
        </is>
      </c>
      <c r="I6" s="57" t="inlineStr">
        <is>
          <t>Light (Agtron 89)</t>
        </is>
      </c>
      <c r="J6" s="57" t="inlineStr">
        <is>
          <t>Filter</t>
        </is>
      </c>
      <c r="K6" s="57" t="inlineStr">
        <is>
          <t>Unknown</t>
        </is>
      </c>
      <c r="L6" s="57" t="inlineStr">
        <is>
          <t>Unknown</t>
        </is>
      </c>
      <c r="M6" s="57" t="inlineStr">
        <is>
          <t>Unknown</t>
        </is>
      </c>
      <c r="N6" s="57" t="inlineStr">
        <is>
          <t>Unknown</t>
        </is>
      </c>
      <c r="O6" s="57" t="inlineStr">
        <is>
          <t>Unknown</t>
        </is>
      </c>
      <c r="P6" s="57" t="inlineStr">
        <is>
          <t>Unknown</t>
        </is>
      </c>
      <c r="Q6" s="57" t="inlineStr">
        <is>
          <t>Unknown</t>
        </is>
      </c>
      <c r="R6" s="57" t="inlineStr">
        <is>
          <t>Unknown</t>
        </is>
      </c>
      <c r="S6" s="57" t="inlineStr">
        <is>
          <t>Clean and balanced; interesting but restrained anaerobic expression.</t>
        </is>
      </c>
      <c r="T6" s="57" t="inlineStr">
        <is>
          <t>Very light roast (Agtron 89) suppressed ester development despite anaerobic process; muted expected fermented intensity.</t>
        </is>
      </c>
      <c r="U6" s="57" t="inlineStr">
        <is>
          <t>Mumbai café exploration</t>
        </is>
      </c>
      <c r="V6" s="57" t="inlineStr">
        <is>
          <t>Merged (Gemini + ChatGPT)</t>
        </is>
      </c>
      <c r="W6" s="58">
        <f>IF(OR(ISNUMBER(SEARCH("gesha",G6)),ISNUMBER(SEARCH("geisha",G6))),"⭐ GESHA","")</f>
        <v/>
      </c>
      <c r="X6" s="57" t="inlineStr">
        <is>
          <t>Mary Lodge, 21A Chapel Rd, Ranwar, Bandra West, Mumbai 400050, India</t>
        </is>
      </c>
    </row>
    <row r="7" ht="20.25" customHeight="1" s="54">
      <c r="A7" s="56" t="n">
        <v>46089</v>
      </c>
      <c r="B7" s="57" t="inlineStr">
        <is>
          <t>Mumbai</t>
        </is>
      </c>
      <c r="C7" s="57" t="inlineStr">
        <is>
          <t>Grey Soul Coffee Roasters</t>
        </is>
      </c>
      <c r="D7" s="57" t="inlineStr">
        <is>
          <t>Raspberry in Loop - Zoya Estate</t>
        </is>
      </c>
      <c r="E7" s="57" t="inlineStr">
        <is>
          <t>Zoya Estate</t>
        </is>
      </c>
      <c r="F7" s="57" t="inlineStr">
        <is>
          <t>India</t>
        </is>
      </c>
      <c r="G7" s="57" t="inlineStr">
        <is>
          <t>Unknown</t>
        </is>
      </c>
      <c r="H7" s="57" t="inlineStr">
        <is>
          <t>Multi-stage Anaerobic</t>
        </is>
      </c>
      <c r="I7" s="57" t="inlineStr">
        <is>
          <t>Medium</t>
        </is>
      </c>
      <c r="J7" s="57" t="inlineStr">
        <is>
          <t>Filter</t>
        </is>
      </c>
      <c r="K7" s="57" t="inlineStr">
        <is>
          <t>Unknown</t>
        </is>
      </c>
      <c r="L7" s="57" t="inlineStr">
        <is>
          <t>Unknown</t>
        </is>
      </c>
      <c r="M7" s="57" t="inlineStr">
        <is>
          <t>Unknown</t>
        </is>
      </c>
      <c r="N7" s="57" t="inlineStr">
        <is>
          <t>Unknown</t>
        </is>
      </c>
      <c r="O7" s="57" t="inlineStr">
        <is>
          <t>Unknown</t>
        </is>
      </c>
      <c r="P7" s="57" t="inlineStr">
        <is>
          <t>Unknown</t>
        </is>
      </c>
      <c r="Q7" s="57" t="inlineStr">
        <is>
          <t>Unknown</t>
        </is>
      </c>
      <c r="R7" s="57" t="inlineStr">
        <is>
          <t>Chocolate</t>
        </is>
      </c>
      <c r="S7" s="57" t="inlineStr">
        <is>
          <t>Heavy body; over-smoothed expression muted brightness and terroir.</t>
        </is>
      </c>
      <c r="T7" s="57" t="inlineStr">
        <is>
          <t>Higher development in medium roast reduced aggressive fruit acidity; heavy multi-stage fermentation suppressed terroir expression.</t>
        </is>
      </c>
      <c r="U7" s="57" t="inlineStr">
        <is>
          <t>Mumbai café exploration</t>
        </is>
      </c>
      <c r="V7" s="57" t="inlineStr">
        <is>
          <t>Merged (Gemini + ChatGPT)</t>
        </is>
      </c>
      <c r="W7" s="58">
        <f>IF(OR(ISNUMBER(SEARCH("gesha",G7)),ISNUMBER(SEARCH("geisha",G7))),"⭐ GESHA","")</f>
        <v/>
      </c>
      <c r="X7" s="57" t="inlineStr">
        <is>
          <t>Dr Ambedkar Rd, Pali Village, Bandra West, Mumbai 400050, India</t>
        </is>
      </c>
    </row>
    <row r="8" ht="20.25" customHeight="1" s="54">
      <c r="A8" s="56" t="n">
        <v>46099</v>
      </c>
      <c r="B8" s="57" t="inlineStr">
        <is>
          <t>Singapore</t>
        </is>
      </c>
      <c r="C8" s="57" t="inlineStr">
        <is>
          <t>Narrative Coffee Stand</t>
        </is>
      </c>
      <c r="D8" s="57" t="inlineStr">
        <is>
          <t>Finca La Siberia</t>
        </is>
      </c>
      <c r="E8" s="57" t="inlineStr">
        <is>
          <t>Unknown</t>
        </is>
      </c>
      <c r="F8" s="57" t="inlineStr">
        <is>
          <t>El Salvador</t>
        </is>
      </c>
      <c r="G8" s="57" t="inlineStr">
        <is>
          <t>Pacamara</t>
        </is>
      </c>
      <c r="H8" s="57" t="inlineStr">
        <is>
          <t>Natural</t>
        </is>
      </c>
      <c r="I8" s="57" t="inlineStr">
        <is>
          <t>Light</t>
        </is>
      </c>
      <c r="J8" s="57" t="inlineStr">
        <is>
          <t>Pour-over</t>
        </is>
      </c>
      <c r="K8" s="57" t="inlineStr">
        <is>
          <t>Unknown</t>
        </is>
      </c>
      <c r="L8" s="57" t="inlineStr">
        <is>
          <t>Unknown</t>
        </is>
      </c>
      <c r="M8" s="57" t="inlineStr">
        <is>
          <t>Unknown</t>
        </is>
      </c>
      <c r="N8" s="57" t="inlineStr">
        <is>
          <t>Unknown</t>
        </is>
      </c>
      <c r="O8" s="57" t="inlineStr">
        <is>
          <t>Unknown</t>
        </is>
      </c>
      <c r="P8" s="57" t="inlineStr">
        <is>
          <t>Unknown</t>
        </is>
      </c>
      <c r="Q8" s="57" t="inlineStr">
        <is>
          <t>Unknown</t>
        </is>
      </c>
      <c r="R8" s="57" t="inlineStr">
        <is>
          <t>Unknown</t>
        </is>
      </c>
      <c r="S8" s="57" t="inlineStr">
        <is>
          <t>Stewed apples; Apricot; Pu'er tea — Aanya's first specialty filter experience.</t>
        </is>
      </c>
      <c r="T8" s="57" t="inlineStr">
        <is>
          <t>Natural Pacamara generated beginner-friendly fruit esters and approachable sweetness; large Pacamara bean size aided even extraction.</t>
        </is>
      </c>
      <c r="U8" s="57" t="inlineStr">
        <is>
          <t>Father-daughter coffee exploration</t>
        </is>
      </c>
      <c r="V8" s="57" t="inlineStr">
        <is>
          <t>ChatGPT only</t>
        </is>
      </c>
      <c r="W8" s="58">
        <f>IF(OR(ISNUMBER(SEARCH("gesha",G8)),ISNUMBER(SEARCH("geisha",G8))),"⭐ GESHA","")</f>
        <v/>
      </c>
      <c r="X8" s="57" t="inlineStr">
        <is>
          <t>Blk 231 Bain St, #01-05, Singapore 180231</t>
        </is>
      </c>
    </row>
    <row r="9" ht="20.25" customHeight="1" s="54">
      <c r="A9" s="56" t="n">
        <v>46099</v>
      </c>
      <c r="B9" s="57" t="inlineStr">
        <is>
          <t>Singapore</t>
        </is>
      </c>
      <c r="C9" s="57" t="inlineStr">
        <is>
          <t>Narrative Coffee Stand</t>
        </is>
      </c>
      <c r="D9" s="57" t="inlineStr">
        <is>
          <t>El Puente</t>
        </is>
      </c>
      <c r="E9" s="57" t="inlineStr">
        <is>
          <t>Unknown</t>
        </is>
      </c>
      <c r="F9" s="57" t="inlineStr">
        <is>
          <t>Honduras</t>
        </is>
      </c>
      <c r="G9" s="57" t="inlineStr">
        <is>
          <t>Catuai</t>
        </is>
      </c>
      <c r="H9" s="57" t="inlineStr">
        <is>
          <t>Washed</t>
        </is>
      </c>
      <c r="I9" s="57" t="inlineStr">
        <is>
          <t>Medium-Light</t>
        </is>
      </c>
      <c r="J9" s="57" t="inlineStr">
        <is>
          <t>Espresso</t>
        </is>
      </c>
      <c r="K9" s="57" t="inlineStr">
        <is>
          <t>Unknown</t>
        </is>
      </c>
      <c r="L9" s="57" t="inlineStr">
        <is>
          <t>Unknown</t>
        </is>
      </c>
      <c r="M9" s="57" t="inlineStr">
        <is>
          <t>Unknown</t>
        </is>
      </c>
      <c r="N9" s="57" t="inlineStr">
        <is>
          <t>Unknown</t>
        </is>
      </c>
      <c r="O9" s="57" t="inlineStr">
        <is>
          <t>Unknown</t>
        </is>
      </c>
      <c r="P9" s="57" t="inlineStr">
        <is>
          <t>Unknown</t>
        </is>
      </c>
      <c r="Q9" s="57" t="inlineStr">
        <is>
          <t>Unknown</t>
        </is>
      </c>
      <c r="R9" s="57" t="inlineStr">
        <is>
          <t>Unknown</t>
        </is>
      </c>
      <c r="S9" s="57" t="inlineStr">
        <is>
          <t>Black cherry; Apricot; Pecan — ordered for espresso contrast.</t>
        </is>
      </c>
      <c r="T9" s="57" t="inlineStr">
        <is>
          <t>Washed Central American espresso balanced nutty sweetness and fruit acidity; Catuai's consistent cell structure aided uniform extraction.</t>
        </is>
      </c>
      <c r="U9" s="57" t="inlineStr">
        <is>
          <t>Father-daughter coffee exploration</t>
        </is>
      </c>
      <c r="V9" s="57" t="inlineStr">
        <is>
          <t>ChatGPT only</t>
        </is>
      </c>
      <c r="W9" s="58">
        <f>IF(OR(ISNUMBER(SEARCH("gesha",G9)),ISNUMBER(SEARCH("geisha",G9))),"⭐ GESHA","")</f>
        <v/>
      </c>
      <c r="X9" s="57" t="inlineStr">
        <is>
          <t>Blk 231 Bain St, #01-05, Singapore 180231</t>
        </is>
      </c>
    </row>
    <row r="10" ht="20.25" customHeight="1" s="54">
      <c r="A10" s="56" t="n">
        <v>46099</v>
      </c>
      <c r="B10" s="57" t="inlineStr">
        <is>
          <t>Singapore</t>
        </is>
      </c>
      <c r="C10" s="57" t="inlineStr">
        <is>
          <t>ASK Coffee Roastery</t>
        </is>
      </c>
      <c r="D10" s="57" t="inlineStr">
        <is>
          <t>Honduras Masaguara (S13)</t>
        </is>
      </c>
      <c r="E10" s="57" t="inlineStr">
        <is>
          <t>Unknown</t>
        </is>
      </c>
      <c r="F10" s="57" t="inlineStr">
        <is>
          <t>Honduras</t>
        </is>
      </c>
      <c r="G10" s="57" t="inlineStr">
        <is>
          <t>Catuai / Caturra</t>
        </is>
      </c>
      <c r="H10" s="57" t="inlineStr">
        <is>
          <t>Washed Co-Ferment</t>
        </is>
      </c>
      <c r="I10" s="57" t="inlineStr">
        <is>
          <t>Light</t>
        </is>
      </c>
      <c r="J10" s="57" t="inlineStr">
        <is>
          <t>Pour-over</t>
        </is>
      </c>
      <c r="K10" s="57" t="inlineStr">
        <is>
          <t>Unknown</t>
        </is>
      </c>
      <c r="L10" s="57" t="inlineStr">
        <is>
          <t>Unknown</t>
        </is>
      </c>
      <c r="M10" s="57" t="inlineStr">
        <is>
          <t>Unknown</t>
        </is>
      </c>
      <c r="N10" s="57" t="inlineStr">
        <is>
          <t>Unknown</t>
        </is>
      </c>
      <c r="O10" s="57" t="inlineStr">
        <is>
          <t>Unknown</t>
        </is>
      </c>
      <c r="P10" s="57" t="inlineStr">
        <is>
          <t>Unknown</t>
        </is>
      </c>
      <c r="Q10" s="59" t="n">
        <v>15</v>
      </c>
      <c r="R10" s="57" t="inlineStr">
        <is>
          <t>Lychee; Brandy; Honeydew; Milk Chocolate</t>
        </is>
      </c>
      <c r="S10" s="57" t="inlineStr">
        <is>
          <t>Premium but memorable; highly complex tropical profile.</t>
        </is>
      </c>
      <c r="T10" s="57" t="inlineStr">
        <is>
          <t>Co-fermentation amplified tropical ester complexity; co-ferment substrates introduced lychee lactones and brandy-like ethyl esters.</t>
        </is>
      </c>
      <c r="U10" s="57" t="inlineStr">
        <is>
          <t>Father-daughter coffee exploration</t>
        </is>
      </c>
      <c r="V10" s="57" t="inlineStr">
        <is>
          <t>ChatGPT only</t>
        </is>
      </c>
      <c r="W10" s="58">
        <f>IF(OR(ISNUMBER(SEARCH("gesha",G10)),ISNUMBER(SEARCH("geisha",G10))),"⭐ GESHA","")</f>
        <v/>
      </c>
      <c r="X10" s="57" t="inlineStr">
        <is>
          <t>32 Seah St, Singapore 188388</t>
        </is>
      </c>
    </row>
    <row r="11" ht="20.25" customHeight="1" s="54">
      <c r="A11" s="56" t="n">
        <v>46099</v>
      </c>
      <c r="B11" s="57" t="inlineStr">
        <is>
          <t>Singapore</t>
        </is>
      </c>
      <c r="C11" s="57" t="inlineStr">
        <is>
          <t>ASK Coffee Roastery</t>
        </is>
      </c>
      <c r="D11" s="57" t="inlineStr">
        <is>
          <t>House Blend</t>
        </is>
      </c>
      <c r="E11" s="57" t="inlineStr">
        <is>
          <t>Unknown</t>
        </is>
      </c>
      <c r="F11" s="57" t="inlineStr">
        <is>
          <t>Unknown</t>
        </is>
      </c>
      <c r="G11" s="57" t="inlineStr">
        <is>
          <t>Unknown</t>
        </is>
      </c>
      <c r="H11" s="57" t="inlineStr">
        <is>
          <t>Unknown</t>
        </is>
      </c>
      <c r="I11" s="57" t="inlineStr">
        <is>
          <t>Unknown</t>
        </is>
      </c>
      <c r="J11" s="57" t="inlineStr">
        <is>
          <t>Magic (Ristretto Milk)</t>
        </is>
      </c>
      <c r="K11" s="57" t="inlineStr">
        <is>
          <t>Unknown</t>
        </is>
      </c>
      <c r="L11" s="57" t="inlineStr">
        <is>
          <t>Unknown</t>
        </is>
      </c>
      <c r="M11" s="57" t="inlineStr">
        <is>
          <t>Unknown</t>
        </is>
      </c>
      <c r="N11" s="57" t="inlineStr">
        <is>
          <t>Unknown</t>
        </is>
      </c>
      <c r="O11" s="57" t="inlineStr">
        <is>
          <t>Unknown</t>
        </is>
      </c>
      <c r="P11" s="57" t="inlineStr">
        <is>
          <t>Unknown</t>
        </is>
      </c>
      <c r="Q11" s="57" t="inlineStr">
        <is>
          <t>Unknown</t>
        </is>
      </c>
      <c r="R11" s="57" t="inlineStr">
        <is>
          <t>Unknown</t>
        </is>
      </c>
      <c r="S11" s="57" t="inlineStr">
        <is>
          <t>Contrast milk calibration; excellent concentrated cocoa expression.</t>
        </is>
      </c>
      <c r="T11" s="57" t="inlineStr">
        <is>
          <t>Ristretto milk extraction increased sweetness density and concentrated cocoa compounds through reduced water content.</t>
        </is>
      </c>
      <c r="U11" s="57" t="inlineStr">
        <is>
          <t>Father-daughter coffee exploration</t>
        </is>
      </c>
      <c r="V11" s="57" t="inlineStr">
        <is>
          <t>ChatGPT only</t>
        </is>
      </c>
      <c r="W11" s="58">
        <f>IF(OR(ISNUMBER(SEARCH("gesha",G11)),ISNUMBER(SEARCH("geisha",G11))),"⭐ GESHA","")</f>
        <v/>
      </c>
      <c r="X11" s="57" t="inlineStr">
        <is>
          <t>32 Seah St, Singapore 188388</t>
        </is>
      </c>
    </row>
    <row r="12" ht="20.25" customHeight="1" s="54">
      <c r="A12" s="56" t="n">
        <v>46103</v>
      </c>
      <c r="B12" s="57" t="inlineStr">
        <is>
          <t>Singapore</t>
        </is>
      </c>
      <c r="C12" s="57" t="inlineStr">
        <is>
          <t>Apartment (Selegie Rd)</t>
        </is>
      </c>
      <c r="D12" s="57" t="inlineStr">
        <is>
          <t>Colombia Don Gallego - Wush Wush</t>
        </is>
      </c>
      <c r="E12" s="57" t="inlineStr">
        <is>
          <t>Don Gallego</t>
        </is>
      </c>
      <c r="F12" s="57" t="inlineStr">
        <is>
          <t>Colombia</t>
        </is>
      </c>
      <c r="G12" s="57" t="inlineStr">
        <is>
          <t>Wush Wush</t>
        </is>
      </c>
      <c r="H12" s="57" t="inlineStr">
        <is>
          <t>Washed</t>
        </is>
      </c>
      <c r="I12" s="57" t="inlineStr">
        <is>
          <t>Light</t>
        </is>
      </c>
      <c r="J12" s="57" t="inlineStr">
        <is>
          <t>Pour-over (Flat-Bottom)</t>
        </is>
      </c>
      <c r="K12" s="57" t="inlineStr">
        <is>
          <t>Unknown</t>
        </is>
      </c>
      <c r="L12" s="57" t="inlineStr">
        <is>
          <t>Unknown</t>
        </is>
      </c>
      <c r="M12" s="57" t="inlineStr">
        <is>
          <t>1:17</t>
        </is>
      </c>
      <c r="N12" s="57" t="inlineStr">
        <is>
          <t>Unknown</t>
        </is>
      </c>
      <c r="O12" s="57" t="inlineStr">
        <is>
          <t>Unknown</t>
        </is>
      </c>
      <c r="P12" s="57" t="inlineStr">
        <is>
          <t>Unknown</t>
        </is>
      </c>
      <c r="Q12" s="57" t="inlineStr">
        <is>
          <t>Unknown</t>
        </is>
      </c>
      <c r="R12" s="57" t="inlineStr">
        <is>
          <t>Tea-like</t>
        </is>
      </c>
      <c r="S12" s="57" t="inlineStr">
        <is>
          <t>Incredible tea-like clarity; transparent floral expression.</t>
        </is>
      </c>
      <c r="T12" s="57" t="inlineStr">
        <is>
          <t>Lean 1:17 ratio maximized aromatic separation; Wush Wush's Ethiopian-lineage genetics produced delicate phenolic and floral complexity.</t>
        </is>
      </c>
      <c r="U12" s="57" t="inlineStr">
        <is>
          <t>Solo specialty calibration</t>
        </is>
      </c>
      <c r="V12" s="57" t="inlineStr">
        <is>
          <t>Merged (Gemini + ChatGPT)</t>
        </is>
      </c>
      <c r="W12" s="58">
        <f>IF(OR(ISNUMBER(SEARCH("gesha",G12)),ISNUMBER(SEARCH("geisha",G12))),"⭐ GESHA","")</f>
        <v/>
      </c>
      <c r="X12" s="57" t="inlineStr">
        <is>
          <t>139 Selegie Rd, #01-01, Singapore 188309</t>
        </is>
      </c>
    </row>
    <row r="13" ht="20.25" customHeight="1" s="54">
      <c r="A13" s="56" t="n">
        <v>46105</v>
      </c>
      <c r="B13" s="57" t="inlineStr">
        <is>
          <t>Singapore</t>
        </is>
      </c>
      <c r="C13" s="57" t="inlineStr">
        <is>
          <t>Kyuukei Coffee</t>
        </is>
      </c>
      <c r="D13" s="57" t="inlineStr">
        <is>
          <t>Kenya Ndiaini AA</t>
        </is>
      </c>
      <c r="E13" s="57" t="inlineStr">
        <is>
          <t>Unknown</t>
        </is>
      </c>
      <c r="F13" s="57" t="inlineStr">
        <is>
          <t>Kenya</t>
        </is>
      </c>
      <c r="G13" s="57" t="inlineStr">
        <is>
          <t>SL28 / SL34 / Ruiru 11</t>
        </is>
      </c>
      <c r="H13" s="57" t="inlineStr">
        <is>
          <t>Washed</t>
        </is>
      </c>
      <c r="I13" s="57" t="inlineStr">
        <is>
          <t>Unknown</t>
        </is>
      </c>
      <c r="J13" s="57" t="inlineStr">
        <is>
          <t>Pour-over</t>
        </is>
      </c>
      <c r="K13" s="57" t="inlineStr">
        <is>
          <t>Unknown</t>
        </is>
      </c>
      <c r="L13" s="57" t="inlineStr">
        <is>
          <t>Unknown</t>
        </is>
      </c>
      <c r="M13" s="57" t="inlineStr">
        <is>
          <t>Unknown</t>
        </is>
      </c>
      <c r="N13" s="57" t="inlineStr">
        <is>
          <t>Unknown</t>
        </is>
      </c>
      <c r="O13" s="57" t="inlineStr">
        <is>
          <t>Unknown</t>
        </is>
      </c>
      <c r="P13" s="57" t="inlineStr">
        <is>
          <t>Unknown</t>
        </is>
      </c>
      <c r="Q13" s="59" t="n">
        <v>9</v>
      </c>
      <c r="R13" s="57" t="inlineStr">
        <is>
          <t>Redcurrant; Elderflower; Lemon; Apricot</t>
        </is>
      </c>
      <c r="S13" s="57" t="inlineStr">
        <is>
          <t>Acidic and interesting; well balanced; high clarity.</t>
        </is>
      </c>
      <c r="T13" s="57" t="inlineStr">
        <is>
          <t>Ruiru 11 introduced structural body alongside classic SL28/SL34 brightness; further Kenyan terroir depth confirmed.</t>
        </is>
      </c>
      <c r="U13" s="57" t="inlineStr">
        <is>
          <t>Solo specialty calibration</t>
        </is>
      </c>
      <c r="V13" s="57" t="inlineStr">
        <is>
          <t>Merged (Gemini + ChatGPT)</t>
        </is>
      </c>
      <c r="W13" s="58">
        <f>IF(OR(ISNUMBER(SEARCH("gesha",G13)),ISNUMBER(SEARCH("geisha",G13))),"⭐ GESHA","")</f>
        <v/>
      </c>
      <c r="X13" s="57" t="inlineStr">
        <is>
          <t>121 Bukit Merah Lane 1, #01-06, Singapore 150121</t>
        </is>
      </c>
    </row>
    <row r="14" ht="20.25" customHeight="1" s="54">
      <c r="A14" s="56" t="n">
        <v>46106</v>
      </c>
      <c r="B14" s="57" t="inlineStr">
        <is>
          <t>Singapore</t>
        </is>
      </c>
      <c r="C14" s="57" t="inlineStr">
        <is>
          <t>Agora Coffee</t>
        </is>
      </c>
      <c r="D14" s="57" t="inlineStr">
        <is>
          <t>Nicaragua Matagalpa - Finca La Virgen</t>
        </is>
      </c>
      <c r="E14" s="57" t="inlineStr">
        <is>
          <t>Finca La Virgen</t>
        </is>
      </c>
      <c r="F14" s="57" t="inlineStr">
        <is>
          <t>Nicaragua</t>
        </is>
      </c>
      <c r="G14" s="57" t="inlineStr">
        <is>
          <t>Unknown</t>
        </is>
      </c>
      <c r="H14" s="57" t="inlineStr">
        <is>
          <t>Fully Washed</t>
        </is>
      </c>
      <c r="I14" s="57" t="inlineStr">
        <is>
          <t>Espresso Roast</t>
        </is>
      </c>
      <c r="J14" s="57" t="inlineStr">
        <is>
          <t>Flat White</t>
        </is>
      </c>
      <c r="K14" s="57" t="inlineStr">
        <is>
          <t>Unknown</t>
        </is>
      </c>
      <c r="L14" s="57" t="inlineStr">
        <is>
          <t>Unknown</t>
        </is>
      </c>
      <c r="M14" s="57" t="inlineStr">
        <is>
          <t>Unknown</t>
        </is>
      </c>
      <c r="N14" s="57" t="inlineStr">
        <is>
          <t>Unknown</t>
        </is>
      </c>
      <c r="O14" s="57" t="inlineStr">
        <is>
          <t>Unknown</t>
        </is>
      </c>
      <c r="P14" s="57" t="inlineStr">
        <is>
          <t>Unknown</t>
        </is>
      </c>
      <c r="Q14" s="57" t="inlineStr">
        <is>
          <t>Unknown</t>
        </is>
      </c>
      <c r="R14" s="57" t="inlineStr">
        <is>
          <t>Caramel; Chocolate; Red Apple</t>
        </is>
      </c>
      <c r="S14" s="57" t="inlineStr">
        <is>
          <t>Solid milk beverage; clean apple acidity preserved in milk integration.</t>
        </is>
      </c>
      <c r="T14" s="57" t="inlineStr">
        <is>
          <t>Fully washed Central American profile preserved clean malic acidity in milk; espresso roast development amplified caramel Maillard notes.</t>
        </is>
      </c>
      <c r="U14" s="57" t="inlineStr">
        <is>
          <t>Solo specialty calibration</t>
        </is>
      </c>
      <c r="V14" s="57" t="inlineStr">
        <is>
          <t>Merged (Gemini + ChatGPT)</t>
        </is>
      </c>
      <c r="W14" s="58">
        <f>IF(OR(ISNUMBER(SEARCH("gesha",G14)),ISNUMBER(SEARCH("geisha",G14))),"⭐ GESHA","")</f>
        <v/>
      </c>
      <c r="X14" s="57" t="inlineStr">
        <is>
          <t>31 Club St, #01-02, Singapore 069468</t>
        </is>
      </c>
    </row>
    <row r="15" ht="20.25" customHeight="1" s="54">
      <c r="A15" s="56" t="n">
        <v>46108</v>
      </c>
      <c r="B15" s="57" t="inlineStr">
        <is>
          <t>Singapore</t>
        </is>
      </c>
      <c r="C15" s="57" t="inlineStr">
        <is>
          <t>Agora Coffee</t>
        </is>
      </c>
      <c r="D15" s="57" t="inlineStr">
        <is>
          <t>Ethiopia Yirgacheffe Beloya</t>
        </is>
      </c>
      <c r="E15" s="57" t="inlineStr">
        <is>
          <t>Beloya</t>
        </is>
      </c>
      <c r="F15" s="57" t="inlineStr">
        <is>
          <t>Yirgacheffe, Ethiopia</t>
        </is>
      </c>
      <c r="G15" s="57" t="inlineStr">
        <is>
          <t>Heirloom</t>
        </is>
      </c>
      <c r="H15" s="57" t="inlineStr">
        <is>
          <t>Natural</t>
        </is>
      </c>
      <c r="I15" s="57" t="inlineStr">
        <is>
          <t>Filter Roast</t>
        </is>
      </c>
      <c r="J15" s="57" t="inlineStr">
        <is>
          <t>V60</t>
        </is>
      </c>
      <c r="K15" s="57" t="n">
        <v>15</v>
      </c>
      <c r="L15" s="57" t="n">
        <v>220</v>
      </c>
      <c r="M15" s="57" t="inlineStr">
        <is>
          <t>1:14.6</t>
        </is>
      </c>
      <c r="N15" s="57" t="inlineStr">
        <is>
          <t>Unknown</t>
        </is>
      </c>
      <c r="O15" s="57" t="inlineStr">
        <is>
          <t>Unknown</t>
        </is>
      </c>
      <c r="P15" s="57" t="inlineStr">
        <is>
          <t>Mahlkönig EK43</t>
        </is>
      </c>
      <c r="Q15" s="57" t="inlineStr">
        <is>
          <t>Unknown</t>
        </is>
      </c>
      <c r="R15" s="57" t="inlineStr">
        <is>
          <t>Blackcurrant; Strawberry; White Floral</t>
        </is>
      </c>
      <c r="S15" s="57" t="inlineStr">
        <is>
          <t>Bright, floral, and distinct strawberry; classic natural Ethiopian profile.</t>
        </is>
      </c>
      <c r="T15" s="57" t="inlineStr">
        <is>
          <t>EK43 98mm flat burrs reduced fines and preserved clarity despite natural processing; 1:14.6 ratio retained fruity body.</t>
        </is>
      </c>
      <c r="U15" s="57" t="inlineStr">
        <is>
          <t>Solo specialty calibration</t>
        </is>
      </c>
      <c r="V15" s="57" t="inlineStr">
        <is>
          <t>Merged (Gemini + ChatGPT)</t>
        </is>
      </c>
      <c r="W15" s="58">
        <f>IF(OR(ISNUMBER(SEARCH("gesha",G15)),ISNUMBER(SEARCH("geisha",G15))),"⭐ GESHA","")</f>
        <v/>
      </c>
      <c r="X15" s="57" t="inlineStr">
        <is>
          <t>31 Club St, #01-02, Singapore 069468</t>
        </is>
      </c>
    </row>
    <row r="16" ht="20.25" customHeight="1" s="54">
      <c r="A16" s="56" t="n">
        <v>46109</v>
      </c>
      <c r="B16" s="57" t="inlineStr">
        <is>
          <t>Singapore</t>
        </is>
      </c>
      <c r="C16" s="57" t="inlineStr">
        <is>
          <t>Tiong Hoe Specialty Coffee</t>
        </is>
      </c>
      <c r="D16" s="57" t="inlineStr">
        <is>
          <t>Brazil Mogiana</t>
        </is>
      </c>
      <c r="E16" s="57" t="inlineStr">
        <is>
          <t>Unknown</t>
        </is>
      </c>
      <c r="F16" s="57" t="inlineStr">
        <is>
          <t>Mogiana, Brazil</t>
        </is>
      </c>
      <c r="G16" s="57" t="inlineStr">
        <is>
          <t>Unknown</t>
        </is>
      </c>
      <c r="H16" s="57" t="inlineStr">
        <is>
          <t>Natural</t>
        </is>
      </c>
      <c r="I16" s="57" t="inlineStr">
        <is>
          <t>Medium</t>
        </is>
      </c>
      <c r="J16" s="57" t="inlineStr">
        <is>
          <t>Pour-over</t>
        </is>
      </c>
      <c r="K16" s="57" t="n">
        <v>15</v>
      </c>
      <c r="L16" s="57" t="n">
        <v>225</v>
      </c>
      <c r="M16" s="57" t="inlineStr">
        <is>
          <t>1:15</t>
        </is>
      </c>
      <c r="N16" s="57" t="inlineStr">
        <is>
          <t>Unknown</t>
        </is>
      </c>
      <c r="O16" s="57" t="inlineStr">
        <is>
          <t>Unknown</t>
        </is>
      </c>
      <c r="P16" s="57" t="inlineStr">
        <is>
          <t>Unknown</t>
        </is>
      </c>
      <c r="Q16" s="59" t="n">
        <v>8</v>
      </c>
      <c r="R16" s="57" t="inlineStr">
        <is>
          <t>Red Dates; Chocolates; Honey</t>
        </is>
      </c>
      <c r="S16" s="57" t="inlineStr">
        <is>
          <t>Chocolate-heavy and satisfying; classic dense Brazilian profile.</t>
        </is>
      </c>
      <c r="T16" s="57" t="inlineStr">
        <is>
          <t>Tighter 1:15 ratio increased body and amplified Maillard-derived caramel sweetness; medium roast caramelized sugars without losing origin character.</t>
        </is>
      </c>
      <c r="U16" s="57" t="inlineStr">
        <is>
          <t>Solo specialty calibration</t>
        </is>
      </c>
      <c r="V16" s="57" t="inlineStr">
        <is>
          <t>Merged (Gemini + ChatGPT)</t>
        </is>
      </c>
      <c r="W16" s="58">
        <f>IF(OR(ISNUMBER(SEARCH("gesha",G16)),ISNUMBER(SEARCH("geisha",G16))),"⭐ GESHA","")</f>
        <v/>
      </c>
      <c r="X16" s="57" t="inlineStr">
        <is>
          <t>1 Harbourfront Walk, VivoCity Fairprice Xtra, #B2-23, Singapore 098585</t>
        </is>
      </c>
    </row>
    <row r="17" ht="20.25" customHeight="1" s="54">
      <c r="A17" s="56" t="n">
        <v>46109</v>
      </c>
      <c r="B17" s="57" t="inlineStr">
        <is>
          <t>Singapore</t>
        </is>
      </c>
      <c r="C17" s="57" t="inlineStr">
        <is>
          <t>Tiong Hoe Specialty Coffee</t>
        </is>
      </c>
      <c r="D17" s="57" t="inlineStr">
        <is>
          <t>Smoky Quartz Blend</t>
        </is>
      </c>
      <c r="E17" s="57" t="inlineStr">
        <is>
          <t>Unknown</t>
        </is>
      </c>
      <c r="F17" s="57" t="inlineStr">
        <is>
          <t>Brazil + India</t>
        </is>
      </c>
      <c r="G17" s="57" t="inlineStr">
        <is>
          <t>Unknown</t>
        </is>
      </c>
      <c r="H17" s="57" t="inlineStr">
        <is>
          <t>Unknown</t>
        </is>
      </c>
      <c r="I17" s="57" t="inlineStr">
        <is>
          <t>Unknown</t>
        </is>
      </c>
      <c r="J17" s="57" t="inlineStr">
        <is>
          <t>Piccolo Latte</t>
        </is>
      </c>
      <c r="K17" s="57" t="inlineStr">
        <is>
          <t>Unknown</t>
        </is>
      </c>
      <c r="L17" s="57" t="inlineStr">
        <is>
          <t>Unknown</t>
        </is>
      </c>
      <c r="M17" s="57" t="inlineStr">
        <is>
          <t>Unknown</t>
        </is>
      </c>
      <c r="N17" s="57" t="inlineStr">
        <is>
          <t>Unknown</t>
        </is>
      </c>
      <c r="O17" s="57" t="inlineStr">
        <is>
          <t>Unknown</t>
        </is>
      </c>
      <c r="P17" s="57" t="inlineStr">
        <is>
          <t>Unknown</t>
        </is>
      </c>
      <c r="Q17" s="59" t="n">
        <v>5.1</v>
      </c>
      <c r="R17" s="57" t="inlineStr">
        <is>
          <t>Dark Chocolates; Hazelnut; Smoky</t>
        </is>
      </c>
      <c r="S17" s="57" t="inlineStr">
        <is>
          <t>Strong milk side calibration; excellent concentrated cocoa expression.</t>
        </is>
      </c>
      <c r="T17" s="57" t="inlineStr">
        <is>
          <t>Low milk volume in piccolo format concentrated cocoa and hazelnut compounds; cross-origin blend leveraged Indian robusta structural density.</t>
        </is>
      </c>
      <c r="U17" s="57" t="inlineStr">
        <is>
          <t>Solo specialty calibration</t>
        </is>
      </c>
      <c r="V17" s="57" t="inlineStr">
        <is>
          <t>ChatGPT only</t>
        </is>
      </c>
      <c r="W17" s="58">
        <f>IF(OR(ISNUMBER(SEARCH("gesha",G17)),ISNUMBER(SEARCH("geisha",G17))),"⭐ GESHA","")</f>
        <v/>
      </c>
      <c r="X17" s="57" t="inlineStr">
        <is>
          <t>1 Harbourfront Walk, VivoCity Fairprice Xtra, #B2-23, Singapore 098585</t>
        </is>
      </c>
    </row>
    <row r="18" ht="20.25" customHeight="1" s="54">
      <c r="A18" s="56" t="n">
        <v>46110</v>
      </c>
      <c r="B18" s="57" t="inlineStr">
        <is>
          <t>Singapore</t>
        </is>
      </c>
      <c r="C18" s="57" t="inlineStr">
        <is>
          <t>Asylum Coffeehouse</t>
        </is>
      </c>
      <c r="D18" s="57" t="inlineStr">
        <is>
          <t>Peru Cajamarca Gesha (Iced)</t>
        </is>
      </c>
      <c r="E18" s="57" t="inlineStr">
        <is>
          <t>Wilder Garcia</t>
        </is>
      </c>
      <c r="F18" s="57" t="inlineStr">
        <is>
          <t>Cajamarca, Peru</t>
        </is>
      </c>
      <c r="G18" s="57" t="inlineStr">
        <is>
          <t>Gesha</t>
        </is>
      </c>
      <c r="H18" s="57" t="inlineStr">
        <is>
          <t>Washed</t>
        </is>
      </c>
      <c r="I18" s="57" t="inlineStr">
        <is>
          <t>Medium</t>
        </is>
      </c>
      <c r="J18" s="57" t="inlineStr">
        <is>
          <t>Iced Pour-over</t>
        </is>
      </c>
      <c r="K18" s="57" t="n">
        <v>15</v>
      </c>
      <c r="L18" s="57" t="n">
        <v>240</v>
      </c>
      <c r="M18" s="57" t="inlineStr">
        <is>
          <t>1:16</t>
        </is>
      </c>
      <c r="N18" s="57" t="inlineStr">
        <is>
          <t>92.5</t>
        </is>
      </c>
      <c r="O18" s="57" t="inlineStr">
        <is>
          <t>Unknown</t>
        </is>
      </c>
      <c r="P18" s="57" t="inlineStr">
        <is>
          <t>Option-O Lagom P64</t>
        </is>
      </c>
      <c r="Q18" s="59" t="n">
        <v>11</v>
      </c>
      <c r="R18" s="57" t="inlineStr">
        <is>
          <t>Jasmine; Caramel; Lime; Cacao Nibs</t>
        </is>
      </c>
      <c r="S18" s="57" t="inlineStr">
        <is>
          <t>Super floral and elegant; flash-chilled expression of Gesha purity.</t>
        </is>
      </c>
      <c r="T18" s="57" t="inlineStr">
        <is>
          <t>Flash-chilled extraction via Option-O Lagom P64 preserved volatile floral monoterpenes (linalool); cold dilution stabilized aromatic compounds.</t>
        </is>
      </c>
      <c r="U18" s="57" t="inlineStr">
        <is>
          <t>Solo specialty calibration</t>
        </is>
      </c>
      <c r="V18" s="57" t="inlineStr">
        <is>
          <t>ChatGPT only</t>
        </is>
      </c>
      <c r="W18" s="58">
        <f>IF(OR(ISNUMBER(SEARCH("gesha",G18)),ISNUMBER(SEARCH("geisha",G18))),"⭐ GESHA","")</f>
        <v/>
      </c>
      <c r="X18" s="57" t="inlineStr">
        <is>
          <t>311 Jln Besar, Singapore 208970</t>
        </is>
      </c>
    </row>
    <row r="19" ht="30" customHeight="1" s="54">
      <c r="A19" s="56" t="n">
        <v>46113</v>
      </c>
      <c r="B19" s="57" t="inlineStr">
        <is>
          <t>Singapore</t>
        </is>
      </c>
      <c r="C19" s="57" t="inlineStr">
        <is>
          <t>Maxi Coffee Bar</t>
        </is>
      </c>
      <c r="D19" s="57" t="inlineStr">
        <is>
          <t>La Laja</t>
        </is>
      </c>
      <c r="E19" s="57" t="inlineStr">
        <is>
          <t>James Fernandez</t>
        </is>
      </c>
      <c r="F19" s="57" t="inlineStr">
        <is>
          <t>Cauca, Colombia</t>
        </is>
      </c>
      <c r="G19" s="57" t="inlineStr">
        <is>
          <t>Sudan Rume</t>
        </is>
      </c>
      <c r="H19" s="57" t="inlineStr">
        <is>
          <t>Washed</t>
        </is>
      </c>
      <c r="I19" s="57" t="inlineStr">
        <is>
          <t>Light</t>
        </is>
      </c>
      <c r="J19" s="57" t="inlineStr">
        <is>
          <t>Pour-over (Flat-Bottom)</t>
        </is>
      </c>
      <c r="K19" s="57" t="n">
        <v>15</v>
      </c>
      <c r="L19" s="57" t="n">
        <v>230</v>
      </c>
      <c r="M19" s="57" t="inlineStr">
        <is>
          <t>1:15.3</t>
        </is>
      </c>
      <c r="N19" s="57" t="inlineStr">
        <is>
          <t>90-92</t>
        </is>
      </c>
      <c r="O19" s="57" t="inlineStr">
        <is>
          <t>Unknown</t>
        </is>
      </c>
      <c r="P19" s="57" t="inlineStr">
        <is>
          <t>FM Grinder 120mm Flat Burr / Timemore Sculptor 078</t>
        </is>
      </c>
      <c r="Q19" s="59" t="n">
        <v>9</v>
      </c>
      <c r="R19" s="57" t="inlineStr">
        <is>
          <t>Raspberry; Nectarine; Floral</t>
        </is>
      </c>
      <c r="S19" s="57" t="inlineStr">
        <is>
          <t>Nectarine and raspberry extremely clear; barista sophistication superb; technical milestone.</t>
        </is>
      </c>
      <c r="T19" s="57" t="inlineStr">
        <is>
          <t>120mm flat burr geometry maximized uniform particle distribution; flat-bottom brewer enhanced sweetness while preserving Sudan Rume's rare genetic clarity.</t>
        </is>
      </c>
      <c r="U19" s="57" t="inlineStr">
        <is>
          <t>CBD lunch calibration</t>
        </is>
      </c>
      <c r="V19" s="57" t="inlineStr">
        <is>
          <t>Merged (Gemini + ChatGPT)</t>
        </is>
      </c>
      <c r="W19" s="58">
        <f>IF(OR(ISNUMBER(SEARCH("gesha",G19)),ISNUMBER(SEARCH("geisha",G19))),"⭐ GESHA","")</f>
        <v/>
      </c>
      <c r="X19" s="57" t="inlineStr">
        <is>
          <t>64 Club St, Back Entrance, Singapore 069438</t>
        </is>
      </c>
    </row>
    <row r="20" ht="20.25" customHeight="1" s="54">
      <c r="A20" s="56" t="n">
        <v>46113</v>
      </c>
      <c r="B20" s="57" t="inlineStr">
        <is>
          <t>Singapore</t>
        </is>
      </c>
      <c r="C20" s="57" t="inlineStr">
        <is>
          <t>Lume Café</t>
        </is>
      </c>
      <c r="D20" s="57" t="inlineStr">
        <is>
          <t>Corpachi Panama Geisha</t>
        </is>
      </c>
      <c r="E20" s="57" t="inlineStr">
        <is>
          <t>Corpachi</t>
        </is>
      </c>
      <c r="F20" s="57" t="inlineStr">
        <is>
          <t>Boquerón, Chiriquí, Panama</t>
        </is>
      </c>
      <c r="G20" s="57" t="inlineStr">
        <is>
          <t>Geisha</t>
        </is>
      </c>
      <c r="H20" s="57" t="inlineStr">
        <is>
          <t>Red Honey</t>
        </is>
      </c>
      <c r="I20" s="57" t="inlineStr">
        <is>
          <t>Filter Roast</t>
        </is>
      </c>
      <c r="J20" s="57" t="inlineStr">
        <is>
          <t>V60</t>
        </is>
      </c>
      <c r="K20" s="57" t="inlineStr">
        <is>
          <t>Unknown</t>
        </is>
      </c>
      <c r="L20" s="57" t="inlineStr">
        <is>
          <t>Unknown</t>
        </is>
      </c>
      <c r="M20" s="57" t="inlineStr">
        <is>
          <t>1:15</t>
        </is>
      </c>
      <c r="N20" s="57" t="inlineStr">
        <is>
          <t>90 + 70</t>
        </is>
      </c>
      <c r="O20" s="57" t="inlineStr">
        <is>
          <t>Unknown</t>
        </is>
      </c>
      <c r="P20" s="57" t="inlineStr">
        <is>
          <t>Mahlkönig EK43</t>
        </is>
      </c>
      <c r="Q20" s="59" t="n">
        <v>12</v>
      </c>
      <c r="R20" s="57" t="inlineStr">
        <is>
          <t>Mandarin Candy; Jasmine; Apricot</t>
        </is>
      </c>
      <c r="S20" s="57" t="inlineStr">
        <is>
          <t>Clearly perceived apricot and structured sweetness.</t>
        </is>
      </c>
      <c r="T20" s="57" t="inlineStr">
        <is>
          <t>Dual-temperature extraction balanced aromatics and body in honey-process Geisha; red honey partial mucilage retention amplified structured sweetness.</t>
        </is>
      </c>
      <c r="U20" s="57" t="inlineStr">
        <is>
          <t>Rainy CBD lunch calibration</t>
        </is>
      </c>
      <c r="V20" s="57" t="inlineStr">
        <is>
          <t>ChatGPT only</t>
        </is>
      </c>
      <c r="W20" s="58">
        <f>IF(OR(ISNUMBER(SEARCH("gesha",G20)),ISNUMBER(SEARCH("geisha",G20))),"⭐ GESHA","")</f>
        <v/>
      </c>
      <c r="X20" s="57" t="inlineStr">
        <is>
          <t>108 Robinson Rd, #01-01, Singapore 068900</t>
        </is>
      </c>
    </row>
    <row r="21" ht="20.25" customHeight="1" s="54">
      <c r="A21" s="56" t="n">
        <v>46117</v>
      </c>
      <c r="B21" s="57" t="inlineStr">
        <is>
          <t>Singapore</t>
        </is>
      </c>
      <c r="C21" s="57" t="inlineStr">
        <is>
          <t>Asylum Coffeehouse</t>
        </is>
      </c>
      <c r="D21" s="57" t="inlineStr">
        <is>
          <t>Castillo Watermelon (Jairo Arcila)</t>
        </is>
      </c>
      <c r="E21" s="57" t="inlineStr">
        <is>
          <t>Jairo Arcila</t>
        </is>
      </c>
      <c r="F21" s="57" t="inlineStr">
        <is>
          <t>Armenia, Quindío, Colombia</t>
        </is>
      </c>
      <c r="G21" s="57" t="inlineStr">
        <is>
          <t>Castillo</t>
        </is>
      </c>
      <c r="H21" s="57" t="inlineStr">
        <is>
          <t>Washed Co-Ferment (Watermelon Anaerobic)</t>
        </is>
      </c>
      <c r="I21" s="57" t="inlineStr">
        <is>
          <t>Unknown</t>
        </is>
      </c>
      <c r="J21" s="57" t="inlineStr">
        <is>
          <t>Pour-over (V60)</t>
        </is>
      </c>
      <c r="K21" s="57" t="n">
        <v>15</v>
      </c>
      <c r="L21" s="57" t="n">
        <v>225</v>
      </c>
      <c r="M21" s="57" t="inlineStr">
        <is>
          <t>1:15</t>
        </is>
      </c>
      <c r="N21" s="57" t="inlineStr">
        <is>
          <t>90 + 70</t>
        </is>
      </c>
      <c r="O21" s="57" t="inlineStr">
        <is>
          <t>Unknown</t>
        </is>
      </c>
      <c r="P21" s="57" t="inlineStr">
        <is>
          <t>Mahlkönig EK43</t>
        </is>
      </c>
      <c r="Q21" s="59" t="n">
        <v>12.5</v>
      </c>
      <c r="R21" s="57" t="inlineStr">
        <is>
          <t>Watermelon; Mint; Lime; Chocolate</t>
        </is>
      </c>
      <c r="S21" s="57" t="inlineStr">
        <is>
          <t>Distinct fruit-forward expression; sweetness layered rather than sharp; experimental but controlled.</t>
        </is>
      </c>
      <c r="T21" s="57" t="inlineStr">
        <is>
          <t>Watermelon co-fermentation enhanced volatile ester complexity; dual-temperature extraction preserved layered aromatic architecture.</t>
        </is>
      </c>
      <c r="U21" s="57" t="inlineStr">
        <is>
          <t>Father-daughter coffee session</t>
        </is>
      </c>
      <c r="V21" s="57" t="inlineStr">
        <is>
          <t>Merged (Gemini + ChatGPT)</t>
        </is>
      </c>
      <c r="W21" s="58">
        <f>IF(OR(ISNUMBER(SEARCH("gesha",G21)),ISNUMBER(SEARCH("geisha",G21))),"⭐ GESHA","")</f>
        <v/>
      </c>
      <c r="X21" s="57" t="inlineStr">
        <is>
          <t>311 Jln Besar, Singapore 208970</t>
        </is>
      </c>
    </row>
    <row r="22" ht="30" customHeight="1" s="54">
      <c r="A22" s="56" t="n">
        <v>46117</v>
      </c>
      <c r="B22" s="57" t="inlineStr">
        <is>
          <t>Singapore</t>
        </is>
      </c>
      <c r="C22" s="57" t="inlineStr">
        <is>
          <t>Asylum Coffeehouse</t>
        </is>
      </c>
      <c r="D22" s="57" t="inlineStr">
        <is>
          <t>Peru Gesha (Wilder Garcia)</t>
        </is>
      </c>
      <c r="E22" s="57" t="inlineStr">
        <is>
          <t>Wilder Garcia</t>
        </is>
      </c>
      <c r="F22" s="57" t="inlineStr">
        <is>
          <t>Jaén, Peru</t>
        </is>
      </c>
      <c r="G22" s="57" t="inlineStr">
        <is>
          <t>Gesha</t>
        </is>
      </c>
      <c r="H22" s="57" t="inlineStr">
        <is>
          <t>Washed</t>
        </is>
      </c>
      <c r="I22" s="57" t="inlineStr">
        <is>
          <t>Filter Roast</t>
        </is>
      </c>
      <c r="J22" s="57" t="inlineStr">
        <is>
          <t>Pour-over (V60)</t>
        </is>
      </c>
      <c r="K22" s="57" t="n">
        <v>15</v>
      </c>
      <c r="L22" s="57" t="n">
        <v>225</v>
      </c>
      <c r="M22" s="57" t="inlineStr">
        <is>
          <t>1:15</t>
        </is>
      </c>
      <c r="N22" s="57" t="inlineStr">
        <is>
          <t>90 + 70</t>
        </is>
      </c>
      <c r="O22" s="57" t="inlineStr">
        <is>
          <t>Unknown</t>
        </is>
      </c>
      <c r="P22" s="57" t="inlineStr">
        <is>
          <t>Mahlkönig EK43</t>
        </is>
      </c>
      <c r="Q22" s="59" t="n">
        <v>12.5</v>
      </c>
      <c r="R22" s="57" t="inlineStr">
        <is>
          <t>Jasmine; Caramel; Lime; Cacao Nibs</t>
        </is>
      </c>
      <c r="S22" s="57" t="inlineStr">
        <is>
          <t>Clean, structured, high-clarity cup; apricot-like sweetness and excellent structure.</t>
        </is>
      </c>
      <c r="T22" s="57" t="inlineStr">
        <is>
          <t>Dual-temperature extraction engineered aromatic separation and body control; Gesha genetics delivered intrinsic phenolic complexity with minimal processing interference.</t>
        </is>
      </c>
      <c r="U22" s="57" t="inlineStr">
        <is>
          <t>Father-daughter coffee session</t>
        </is>
      </c>
      <c r="V22" s="57" t="inlineStr">
        <is>
          <t>Merged (Gemini + ChatGPT)</t>
        </is>
      </c>
      <c r="W22" s="58">
        <f>IF(OR(ISNUMBER(SEARCH("gesha",G22)),ISNUMBER(SEARCH("geisha",G22))),"⭐ GESHA","")</f>
        <v/>
      </c>
      <c r="X22" s="57" t="inlineStr">
        <is>
          <t>311 Jln Besar, Singapore 208970</t>
        </is>
      </c>
    </row>
    <row r="23" ht="20.25" customHeight="1" s="54">
      <c r="A23" s="56" t="n">
        <v>46120</v>
      </c>
      <c r="B23" s="57" t="inlineStr">
        <is>
          <t>Singapore</t>
        </is>
      </c>
      <c r="C23" s="57" t="inlineStr">
        <is>
          <t>Maxi Coffee Bar</t>
        </is>
      </c>
      <c r="D23" s="57" t="inlineStr">
        <is>
          <t>La Villa #1</t>
        </is>
      </c>
      <c r="E23" s="57" t="inlineStr">
        <is>
          <t>Eduard Gaviria</t>
        </is>
      </c>
      <c r="F23" s="57" t="inlineStr">
        <is>
          <t>Huila, Colombia</t>
        </is>
      </c>
      <c r="G23" s="57" t="inlineStr">
        <is>
          <t>Papayo</t>
        </is>
      </c>
      <c r="H23" s="57" t="inlineStr">
        <is>
          <t>Natural</t>
        </is>
      </c>
      <c r="I23" s="57" t="inlineStr">
        <is>
          <t>Unknown</t>
        </is>
      </c>
      <c r="J23" s="57" t="inlineStr">
        <is>
          <t>Pour-over (Flat-Bottom)</t>
        </is>
      </c>
      <c r="K23" s="57" t="n">
        <v>15</v>
      </c>
      <c r="L23" s="57" t="n">
        <v>225</v>
      </c>
      <c r="M23" s="57" t="inlineStr">
        <is>
          <t>1:15</t>
        </is>
      </c>
      <c r="N23" s="57" t="inlineStr">
        <is>
          <t>Unknown</t>
        </is>
      </c>
      <c r="O23" s="57" t="inlineStr">
        <is>
          <t>Unknown</t>
        </is>
      </c>
      <c r="P23" s="57" t="inlineStr">
        <is>
          <t>Timemore Sculptor 078</t>
        </is>
      </c>
      <c r="Q23" s="59" t="n">
        <v>9</v>
      </c>
      <c r="R23" s="57" t="inlineStr">
        <is>
          <t>Stewed Forest Berries; Grape; Black Forest Cake</t>
        </is>
      </c>
      <c r="S23" s="57" t="inlineStr">
        <is>
          <t>Dense fruit profile with rounded sweetness.</t>
        </is>
      </c>
      <c r="T23" s="57" t="inlineStr">
        <is>
          <t>Flat-bottom geometry and tight 1:15 ratio emphasized body; Papayo varietal's high sugar content amplified by natural processing into rich fruit-cake profile.</t>
        </is>
      </c>
      <c r="U23" s="57" t="inlineStr">
        <is>
          <t>Lunch catch-up with Yichen</t>
        </is>
      </c>
      <c r="V23" s="57" t="inlineStr">
        <is>
          <t>ChatGPT only</t>
        </is>
      </c>
      <c r="W23" s="58">
        <f>IF(OR(ISNUMBER(SEARCH("gesha",G23)),ISNUMBER(SEARCH("geisha",G23))),"⭐ GESHA","")</f>
        <v/>
      </c>
      <c r="X23" s="57" t="inlineStr">
        <is>
          <t>64 Club St, Back Entrance, Singapore 069438</t>
        </is>
      </c>
    </row>
    <row r="24" ht="20.25" customHeight="1" s="54">
      <c r="A24" s="56" t="n">
        <v>46130</v>
      </c>
      <c r="B24" s="57" t="inlineStr">
        <is>
          <t>Johor Bahru</t>
        </is>
      </c>
      <c r="C24" s="57" t="inlineStr">
        <is>
          <t>Clod Coffee Bar &amp; Roasters</t>
        </is>
      </c>
      <c r="D24" s="57" t="inlineStr">
        <is>
          <t>Hacienda La Florida</t>
        </is>
      </c>
      <c r="E24" s="57" t="inlineStr">
        <is>
          <t>Unknown</t>
        </is>
      </c>
      <c r="F24" s="57" t="inlineStr">
        <is>
          <t>Unknown</t>
        </is>
      </c>
      <c r="G24" s="57" t="inlineStr">
        <is>
          <t>Typica Mejorado</t>
        </is>
      </c>
      <c r="H24" s="57" t="inlineStr">
        <is>
          <t>Anaerobic Washed</t>
        </is>
      </c>
      <c r="I24" s="57" t="inlineStr">
        <is>
          <t>Unknown</t>
        </is>
      </c>
      <c r="J24" s="57" t="inlineStr">
        <is>
          <t>Origami (Conical)</t>
        </is>
      </c>
      <c r="K24" s="57" t="n">
        <v>18</v>
      </c>
      <c r="L24" s="57" t="n">
        <v>277</v>
      </c>
      <c r="M24" s="57" t="inlineStr">
        <is>
          <t>1:15.4</t>
        </is>
      </c>
      <c r="N24" s="57" t="inlineStr">
        <is>
          <t>Unknown</t>
        </is>
      </c>
      <c r="O24" s="57" t="inlineStr">
        <is>
          <t>42g / 30s (1:2.3)</t>
        </is>
      </c>
      <c r="P24" s="57" t="inlineStr">
        <is>
          <t>Mahlkönig EK Omnia</t>
        </is>
      </c>
      <c r="Q24" s="59" t="n">
        <v>11.08</v>
      </c>
      <c r="R24" s="57" t="inlineStr">
        <is>
          <t>Lemon verbena; Red plum; Citronella; Hibiscus</t>
        </is>
      </c>
      <c r="S24" s="57" t="inlineStr">
        <is>
          <t>Excellent. Lime when hot, distinct plum as it cooled.</t>
        </is>
      </c>
      <c r="T24" s="57" t="inlineStr">
        <is>
          <t>EK Omnia precision grind and Origami conical drove extreme clarity; thermal phase shift perfectly isolated citric-to-malic acid transition (lime → plum).</t>
        </is>
      </c>
      <c r="U24" s="57" t="inlineStr">
        <is>
          <t>Unknown</t>
        </is>
      </c>
      <c r="V24" s="57" t="inlineStr">
        <is>
          <t>Gemini only</t>
        </is>
      </c>
      <c r="W24" s="58">
        <f>IF(OR(ISNUMBER(SEARCH("gesha",G24)),ISNUMBER(SEARCH("geisha",G24))),"⭐ GESHA","")</f>
        <v/>
      </c>
      <c r="X24" s="57" t="inlineStr">
        <is>
          <t>123 Jalan Beringin, Taman Melodies, 80250 Johor Bahru, Malaysia</t>
        </is>
      </c>
    </row>
    <row r="25" ht="20.25" customHeight="1" s="54">
      <c r="A25" s="56" t="n">
        <v>46136</v>
      </c>
      <c r="B25" s="57" t="inlineStr">
        <is>
          <t>Singapore</t>
        </is>
      </c>
      <c r="C25" s="57" t="inlineStr">
        <is>
          <t>Agora Coffee</t>
        </is>
      </c>
      <c r="D25" s="57" t="inlineStr">
        <is>
          <t>Brazil Santuário Sul</t>
        </is>
      </c>
      <c r="E25" s="57" t="inlineStr">
        <is>
          <t>Unknown</t>
        </is>
      </c>
      <c r="F25" s="57" t="inlineStr">
        <is>
          <t>Carmo de Minas, Brazil</t>
        </is>
      </c>
      <c r="G25" s="57" t="inlineStr">
        <is>
          <t>Unknown</t>
        </is>
      </c>
      <c r="H25" s="57" t="inlineStr">
        <is>
          <t>Natural Fermentation</t>
        </is>
      </c>
      <c r="I25" s="57" t="inlineStr">
        <is>
          <t>Light-Medium</t>
        </is>
      </c>
      <c r="J25" s="57" t="inlineStr">
        <is>
          <t>V60</t>
        </is>
      </c>
      <c r="K25" s="57" t="n">
        <v>16</v>
      </c>
      <c r="L25" s="57" t="n">
        <v>224</v>
      </c>
      <c r="M25" s="57" t="inlineStr">
        <is>
          <t>1:14</t>
        </is>
      </c>
      <c r="N25" s="57" t="inlineStr">
        <is>
          <t>95</t>
        </is>
      </c>
      <c r="O25" s="57" t="inlineStr">
        <is>
          <t>Unknown</t>
        </is>
      </c>
      <c r="P25" s="57" t="inlineStr">
        <is>
          <t>Mahlkönig EK43</t>
        </is>
      </c>
      <c r="Q25" s="57" t="inlineStr">
        <is>
          <t>Unknown</t>
        </is>
      </c>
      <c r="R25" s="57" t="inlineStr">
        <is>
          <t>Blackcurrant; Black Cherry; Dark Chocolate</t>
        </is>
      </c>
      <c r="S25" s="57" t="inlineStr">
        <is>
          <t>Full body; prominent blackcurrant; clear chocolaty finish.</t>
        </is>
      </c>
      <c r="T25" s="57" t="inlineStr">
        <is>
          <t>Tight 1:14 ratio engineered maximum body; EK43 98mm burrs maintained clarity to keep fermented natural fruit clean and non-bitter.</t>
        </is>
      </c>
      <c r="U25" s="57" t="inlineStr">
        <is>
          <t>Midday specialty calibration</t>
        </is>
      </c>
      <c r="V25" s="57" t="inlineStr">
        <is>
          <t>Merged (Gemini + ChatGPT)</t>
        </is>
      </c>
      <c r="W25" s="58">
        <f>IF(OR(ISNUMBER(SEARCH("gesha",G25)),ISNUMBER(SEARCH("geisha",G25))),"⭐ GESHA","")</f>
        <v/>
      </c>
      <c r="X25" s="57" t="inlineStr">
        <is>
          <t>31 Club St, #01-02, Singapore 069468</t>
        </is>
      </c>
    </row>
    <row r="26" ht="30" customHeight="1" s="54">
      <c r="A26" s="56" t="n">
        <v>46148</v>
      </c>
      <c r="B26" s="57" t="inlineStr">
        <is>
          <t>Singapore</t>
        </is>
      </c>
      <c r="C26" s="57" t="inlineStr">
        <is>
          <t>Nylon Coffee Roasters</t>
        </is>
      </c>
      <c r="D26" s="57" t="inlineStr">
        <is>
          <t>Brazil FAF Organic</t>
        </is>
      </c>
      <c r="E26" s="57" t="inlineStr">
        <is>
          <t>Unknown</t>
        </is>
      </c>
      <c r="F26" s="57" t="inlineStr">
        <is>
          <t>Brazil</t>
        </is>
      </c>
      <c r="G26" s="57" t="inlineStr">
        <is>
          <t>Arara</t>
        </is>
      </c>
      <c r="H26" s="57" t="inlineStr">
        <is>
          <t>Natural</t>
        </is>
      </c>
      <c r="I26" s="57" t="inlineStr">
        <is>
          <t>Filter Roast</t>
        </is>
      </c>
      <c r="J26" s="57" t="inlineStr">
        <is>
          <t>xBloom (Flat-Bottom)</t>
        </is>
      </c>
      <c r="K26" s="57" t="inlineStr">
        <is>
          <t>Unknown</t>
        </is>
      </c>
      <c r="L26" s="57" t="inlineStr">
        <is>
          <t>Unknown</t>
        </is>
      </c>
      <c r="M26" s="57" t="inlineStr">
        <is>
          <t>1:17</t>
        </is>
      </c>
      <c r="N26" s="57" t="inlineStr">
        <is>
          <t>Unknown</t>
        </is>
      </c>
      <c r="O26" s="57" t="inlineStr">
        <is>
          <t>Unknown</t>
        </is>
      </c>
      <c r="P26" s="57" t="inlineStr">
        <is>
          <t>Mahlkönig EK Omnia</t>
        </is>
      </c>
      <c r="Q26" s="59" t="n">
        <v>7.5</v>
      </c>
      <c r="R26" s="57" t="inlineStr">
        <is>
          <t>Red Apple; Cherry; Raisin; Milk Chocolate</t>
        </is>
      </c>
      <c r="S26" s="57" t="inlineStr">
        <is>
          <t>Solid body with crisp green apple (malic) front, resolving into smooth milk chocolate finish.</t>
        </is>
      </c>
      <c r="T26" s="57" t="inlineStr">
        <is>
          <t>High-quality Arara natural processing yielded excellent structural body while maintaining crisp malic acidity; xBloom flat-bottom avoided heavy fermentation mud.</t>
        </is>
      </c>
      <c r="U26" s="57" t="inlineStr">
        <is>
          <t>Unknown</t>
        </is>
      </c>
      <c r="V26" s="57" t="inlineStr">
        <is>
          <t>Gemini only</t>
        </is>
      </c>
      <c r="W26" s="58">
        <f>IF(OR(ISNUMBER(SEARCH("gesha",G26)),ISNUMBER(SEARCH("geisha",G26))),"⭐ GESHA","")</f>
        <v/>
      </c>
      <c r="X26" s="57" t="inlineStr">
        <is>
          <t>4 Everton Park, #01-40, Singapore 080004</t>
        </is>
      </c>
    </row>
    <row r="27" ht="20.25" customHeight="1" s="54">
      <c r="A27" s="56" t="n">
        <v>46148</v>
      </c>
      <c r="B27" s="57" t="inlineStr">
        <is>
          <t>Singapore</t>
        </is>
      </c>
      <c r="C27" s="57" t="inlineStr">
        <is>
          <t>Nylon Coffee Roasters</t>
        </is>
      </c>
      <c r="D27" s="57" t="inlineStr">
        <is>
          <t>Brazil Serra dos Ciganos</t>
        </is>
      </c>
      <c r="E27" s="57" t="inlineStr">
        <is>
          <t>Unknown</t>
        </is>
      </c>
      <c r="F27" s="57" t="inlineStr">
        <is>
          <t>Brazil</t>
        </is>
      </c>
      <c r="G27" s="57" t="inlineStr">
        <is>
          <t>Catucai 24/137</t>
        </is>
      </c>
      <c r="H27" s="57" t="inlineStr">
        <is>
          <t>Natural</t>
        </is>
      </c>
      <c r="I27" s="57" t="inlineStr">
        <is>
          <t>Espresso Roast</t>
        </is>
      </c>
      <c r="J27" s="57" t="inlineStr">
        <is>
          <t>Flat White</t>
        </is>
      </c>
      <c r="K27" s="57" t="inlineStr">
        <is>
          <t>Unknown</t>
        </is>
      </c>
      <c r="L27" s="57" t="inlineStr">
        <is>
          <t>Unknown</t>
        </is>
      </c>
      <c r="M27" s="57" t="inlineStr">
        <is>
          <t>Unknown</t>
        </is>
      </c>
      <c r="N27" s="57" t="inlineStr">
        <is>
          <t>Unknown</t>
        </is>
      </c>
      <c r="O27" s="57" t="inlineStr">
        <is>
          <t>Unknown</t>
        </is>
      </c>
      <c r="P27" s="57" t="inlineStr">
        <is>
          <t>Unknown</t>
        </is>
      </c>
      <c r="Q27" s="57" t="inlineStr">
        <is>
          <t>Unknown</t>
        </is>
      </c>
      <c r="R27" s="57" t="inlineStr">
        <is>
          <t>Sultana; Dried Apricot; Praline; Roasted Hazelnut</t>
        </is>
      </c>
      <c r="S27" s="57" t="inlineStr">
        <is>
          <t>Good cup with pleasant lingering sweet aftertaste.</t>
        </is>
      </c>
      <c r="T27" s="57" t="inlineStr">
        <is>
          <t>Milk fats bound perfectly with natural processed espresso; Catucai 24/137 high-density bean structure created long, comforting finish.</t>
        </is>
      </c>
      <c r="U27" s="57" t="inlineStr">
        <is>
          <t>Unknown</t>
        </is>
      </c>
      <c r="V27" s="57" t="inlineStr">
        <is>
          <t>Gemini only</t>
        </is>
      </c>
      <c r="W27" s="58">
        <f>IF(OR(ISNUMBER(SEARCH("gesha",G27)),ISNUMBER(SEARCH("geisha",G27))),"⭐ GESHA","")</f>
        <v/>
      </c>
      <c r="X27" s="57" t="inlineStr">
        <is>
          <t>4 Everton Park, #01-40, Singapore 080004</t>
        </is>
      </c>
    </row>
    <row r="28" ht="20.25" customHeight="1" s="54">
      <c r="A28" s="56" t="n">
        <v>46149</v>
      </c>
      <c r="B28" s="57" t="inlineStr">
        <is>
          <t>Singapore</t>
        </is>
      </c>
      <c r="C28" s="57" t="inlineStr">
        <is>
          <t>Nylon Coffee Roasters</t>
        </is>
      </c>
      <c r="D28" s="57" t="inlineStr">
        <is>
          <t>Ethiopia Banko Gotiti</t>
        </is>
      </c>
      <c r="E28" s="57" t="inlineStr">
        <is>
          <t>Unknown</t>
        </is>
      </c>
      <c r="F28" s="57" t="inlineStr">
        <is>
          <t>Ethiopia</t>
        </is>
      </c>
      <c r="G28" s="57" t="inlineStr">
        <is>
          <t>Heirloom</t>
        </is>
      </c>
      <c r="H28" s="57" t="inlineStr">
        <is>
          <t>Washed</t>
        </is>
      </c>
      <c r="I28" s="57" t="inlineStr">
        <is>
          <t>Filter Roast</t>
        </is>
      </c>
      <c r="J28" s="57" t="inlineStr">
        <is>
          <t>xBloom (Flat-Bottom)</t>
        </is>
      </c>
      <c r="K28" s="57" t="inlineStr">
        <is>
          <t>Unknown</t>
        </is>
      </c>
      <c r="L28" s="57" t="inlineStr">
        <is>
          <t>Unknown</t>
        </is>
      </c>
      <c r="M28" s="57" t="inlineStr">
        <is>
          <t>1:17</t>
        </is>
      </c>
      <c r="N28" s="57" t="inlineStr">
        <is>
          <t>Unknown</t>
        </is>
      </c>
      <c r="O28" s="57" t="inlineStr">
        <is>
          <t>Unknown</t>
        </is>
      </c>
      <c r="P28" s="57" t="inlineStr">
        <is>
          <t>Mahlkönig EK Omnia</t>
        </is>
      </c>
      <c r="Q28" s="59" t="n">
        <v>8.5</v>
      </c>
      <c r="R28" s="57" t="inlineStr">
        <is>
          <t>Lemonade; Raspberry; Peach; Bergamot</t>
        </is>
      </c>
      <c r="S28" s="57" t="inlineStr">
        <is>
          <t>Lemon front, heavy melon mid-cup, fading into clean white tea finish.</t>
        </is>
      </c>
      <c r="T28" s="57" t="inlineStr">
        <is>
          <t>1:17 lean ratio isolated volatile citric acids; xBloom flat-bottom geometry stabilized mid-cup sugars before clean tannin-forward white tea finish.</t>
        </is>
      </c>
      <c r="U28" s="57" t="inlineStr">
        <is>
          <t>Unknown</t>
        </is>
      </c>
      <c r="V28" s="57" t="inlineStr">
        <is>
          <t>Gemini only</t>
        </is>
      </c>
      <c r="W28" s="58">
        <f>IF(OR(ISNUMBER(SEARCH("gesha",G28)),ISNUMBER(SEARCH("geisha",G28))),"⭐ GESHA","")</f>
        <v/>
      </c>
      <c r="X28" s="57" t="inlineStr">
        <is>
          <t>4 Everton Park, #01-40, Singapore 080004</t>
        </is>
      </c>
    </row>
    <row r="29" ht="30" customHeight="1" s="54">
      <c r="A29" s="56" t="n">
        <v>46149</v>
      </c>
      <c r="B29" s="57" t="inlineStr">
        <is>
          <t>Singapore</t>
        </is>
      </c>
      <c r="C29" s="57" t="inlineStr">
        <is>
          <t>Nylon Coffee Roasters</t>
        </is>
      </c>
      <c r="D29" s="57" t="inlineStr">
        <is>
          <t>Nicaragua Buena Vista</t>
        </is>
      </c>
      <c r="E29" s="57" t="inlineStr">
        <is>
          <t>Unknown</t>
        </is>
      </c>
      <c r="F29" s="57" t="inlineStr">
        <is>
          <t>Nicaragua</t>
        </is>
      </c>
      <c r="G29" s="57" t="inlineStr">
        <is>
          <t>Parainema</t>
        </is>
      </c>
      <c r="H29" s="57" t="inlineStr">
        <is>
          <t>Natural Anaerobic</t>
        </is>
      </c>
      <c r="I29" s="57" t="inlineStr">
        <is>
          <t>Espresso Roast</t>
        </is>
      </c>
      <c r="J29" s="57" t="inlineStr">
        <is>
          <t>Single Espresso</t>
        </is>
      </c>
      <c r="K29" s="57" t="inlineStr">
        <is>
          <t>Unknown</t>
        </is>
      </c>
      <c r="L29" s="57" t="inlineStr">
        <is>
          <t>Unknown</t>
        </is>
      </c>
      <c r="M29" s="57" t="inlineStr">
        <is>
          <t>~1:2</t>
        </is>
      </c>
      <c r="N29" s="57" t="inlineStr">
        <is>
          <t>Unknown</t>
        </is>
      </c>
      <c r="O29" s="57" t="inlineStr">
        <is>
          <t>Unknown</t>
        </is>
      </c>
      <c r="P29" s="57" t="inlineStr">
        <is>
          <t>Unknown</t>
        </is>
      </c>
      <c r="Q29" s="57" t="inlineStr">
        <is>
          <t>Unknown</t>
        </is>
      </c>
      <c r="R29" s="57" t="inlineStr">
        <is>
          <t>Chiku; Stewed Cherry; Dried Apricot; Brazil Nut</t>
        </is>
      </c>
      <c r="S29" s="57" t="inlineStr">
        <is>
          <t>Thick, syrupy body. Highly fermented, savory/not sweet, very long lingering finish.</t>
        </is>
      </c>
      <c r="T29" s="57" t="inlineStr">
        <is>
          <t>Anaerobic fermentation metabolized sugars into complex savory esters; 9-bar pressure emulsification drove heavy oil-based viscosity and extended aftertaste.</t>
        </is>
      </c>
      <c r="U29" s="57" t="inlineStr">
        <is>
          <t>Unknown</t>
        </is>
      </c>
      <c r="V29" s="57" t="inlineStr">
        <is>
          <t>Gemini only</t>
        </is>
      </c>
      <c r="W29" s="58">
        <f>IF(OR(ISNUMBER(SEARCH("gesha",G29)),ISNUMBER(SEARCH("geisha",G29))),"⭐ GESHA","")</f>
        <v/>
      </c>
      <c r="X29" s="57" t="inlineStr">
        <is>
          <t>4 Everton Park, #01-40, Singapore 080004</t>
        </is>
      </c>
    </row>
    <row r="30" ht="49.5" customHeight="1" s="54">
      <c r="A30" s="56" t="n">
        <v>46150</v>
      </c>
      <c r="B30" s="57" t="inlineStr">
        <is>
          <t>Singapore</t>
        </is>
      </c>
      <c r="C30" s="57" t="inlineStr">
        <is>
          <t>Alchemist (Ocean Financial Centre)</t>
        </is>
      </c>
      <c r="D30" s="57" t="inlineStr">
        <is>
          <t>El Morito</t>
        </is>
      </c>
      <c r="E30" s="57" t="inlineStr">
        <is>
          <t>Unknown</t>
        </is>
      </c>
      <c r="F30" s="57" t="inlineStr">
        <is>
          <t>Colombia</t>
        </is>
      </c>
      <c r="G30" s="57" t="inlineStr">
        <is>
          <t>Marshell</t>
        </is>
      </c>
      <c r="H30" s="57" t="inlineStr">
        <is>
          <t>Washed</t>
        </is>
      </c>
      <c r="I30" s="57" t="inlineStr">
        <is>
          <t>Filter Roast</t>
        </is>
      </c>
      <c r="J30" s="57" t="inlineStr">
        <is>
          <t>V60 Pour-over (Conical)</t>
        </is>
      </c>
      <c r="K30" s="57" t="n">
        <v>15</v>
      </c>
      <c r="L30" s="57" t="n">
        <v>240</v>
      </c>
      <c r="M30" s="57" t="inlineStr">
        <is>
          <t>1:16</t>
        </is>
      </c>
      <c r="N30" s="57" t="inlineStr">
        <is>
          <t>Unknown</t>
        </is>
      </c>
      <c r="O30" s="57" t="inlineStr">
        <is>
          <t>Unknown</t>
        </is>
      </c>
      <c r="P30" s="57" t="inlineStr">
        <is>
          <t>Mahlkönig EK43S (98mm Flat Burr)</t>
        </is>
      </c>
      <c r="Q30" s="57" t="inlineStr">
        <is>
          <t>Unknown</t>
        </is>
      </c>
      <c r="R30" s="57" t="inlineStr">
        <is>
          <t>Yellow Plum; Orange; Cane Sugar</t>
        </is>
      </c>
      <c r="S30" s="57" t="inlineStr">
        <is>
          <t>Simultaneous citric-malic acid overlap with integrated cane sugar — smooth and refreshing with excellent mid-palate juiciness. Confirmed: I love this bean.</t>
        </is>
      </c>
      <c r="T30" s="57" t="inlineStr">
        <is>
          <t>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is>
      </c>
      <c r="U30" s="57" t="inlineStr">
        <is>
          <t>Solo visit — Alchemist Raffles Place</t>
        </is>
      </c>
      <c r="V30" s="57" t="inlineStr">
        <is>
          <t>Master CSV (hari_coffee_audit_master_2026)</t>
        </is>
      </c>
      <c r="W30" s="58">
        <f>IF(OR(ISNUMBER(SEARCH("gesha",G30)),ISNUMBER(SEARCH("geisha",G30))),"⭐ GESHA","")</f>
        <v/>
      </c>
      <c r="X30" s="57" t="inlineStr">
        <is>
          <t>10 Collyer Quay, #01-K1, Singapore 049315</t>
        </is>
      </c>
    </row>
    <row r="31" ht="59.25" customHeight="1" s="54">
      <c r="A31" s="56" t="n">
        <v>46154</v>
      </c>
      <c r="B31" s="57" t="inlineStr">
        <is>
          <t>Singapore</t>
        </is>
      </c>
      <c r="C31" s="57" t="inlineStr">
        <is>
          <t>Kurasu</t>
        </is>
      </c>
      <c r="D31" s="57" t="inlineStr">
        <is>
          <t>Indonesia Frinsa Estate</t>
        </is>
      </c>
      <c r="E31" s="57" t="inlineStr">
        <is>
          <t>Frinsa Estate</t>
        </is>
      </c>
      <c r="F31" s="57" t="inlineStr">
        <is>
          <t>West Java, Indonesia</t>
        </is>
      </c>
      <c r="G31" s="57" t="inlineStr">
        <is>
          <t>Local Varietals</t>
        </is>
      </c>
      <c r="H31" s="57" t="inlineStr">
        <is>
          <t>Extended Fermentation Honey</t>
        </is>
      </c>
      <c r="I31" s="57" t="inlineStr">
        <is>
          <t>Light</t>
        </is>
      </c>
      <c r="J31" s="57" t="inlineStr">
        <is>
          <t>Pour-over (Hario Alpha — Flat-Bottom)</t>
        </is>
      </c>
      <c r="K31" s="57" t="n">
        <v>15</v>
      </c>
      <c r="L31" s="57" t="n">
        <v>225</v>
      </c>
      <c r="M31" s="57" t="inlineStr">
        <is>
          <t>1:16</t>
        </is>
      </c>
      <c r="N31" s="57" t="inlineStr">
        <is>
          <t>80 → 95 → 80</t>
        </is>
      </c>
      <c r="O31" s="57" t="inlineStr">
        <is>
          <t>Unknown</t>
        </is>
      </c>
      <c r="P31" s="57" t="inlineStr">
        <is>
          <t>Mahlkönig EK43S (98mm Flat Burr)</t>
        </is>
      </c>
      <c r="Q31" s="59" t="n">
        <v>9.5</v>
      </c>
      <c r="R31" s="57" t="inlineStr">
        <is>
          <t>Floral aroma; Stewed Strawberries; Grapefruit; Brown Sugar; Black Tea</t>
        </is>
      </c>
      <c r="S31" s="57" t="inlineStr">
        <is>
          <t>Floral taste with a sweet coating on the tongue that gradually sticks and fades off cleanly — sugar and tea aftertaste. Well-executed Indonesian honey with unusual clarity for the origin.</t>
        </is>
      </c>
      <c r="T31" s="57" t="inlineStr">
        <is>
          <t>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is>
      </c>
      <c r="U31" s="57" t="inlineStr">
        <is>
          <t>Solo visit — Kurasu Singapore</t>
        </is>
      </c>
      <c r="V31" s="57" t="inlineStr">
        <is>
          <t>Master CSV (hari_coffee_audit_master_2026)</t>
        </is>
      </c>
      <c r="W31" s="58">
        <f>IF(OR(ISNUMBER(SEARCH("gesha",G31)),ISNUMBER(SEARCH("geisha",G31))),"⭐ GESHA","")</f>
        <v/>
      </c>
      <c r="X31" s="57" t="inlineStr">
        <is>
          <t>261 Waterloo St, #01-24, Singapore 180261</t>
        </is>
      </c>
    </row>
    <row r="32" ht="49.5" customHeight="1" s="54">
      <c r="A32" s="56" t="n">
        <v>46155</v>
      </c>
      <c r="B32" s="57" t="inlineStr">
        <is>
          <t>Singapore</t>
        </is>
      </c>
      <c r="C32" s="57" t="inlineStr">
        <is>
          <t>The Community Coffee (Hamilton)</t>
        </is>
      </c>
      <c r="D32" s="57" t="inlineStr">
        <is>
          <t>Jose Mancia Honduras</t>
        </is>
      </c>
      <c r="E32" s="57" t="inlineStr">
        <is>
          <t>Jose Mancia</t>
        </is>
      </c>
      <c r="F32" s="57" t="inlineStr">
        <is>
          <t>Honduras</t>
        </is>
      </c>
      <c r="G32" s="57" t="inlineStr">
        <is>
          <t>Typica</t>
        </is>
      </c>
      <c r="H32" s="57" t="inlineStr">
        <is>
          <t>Natural</t>
        </is>
      </c>
      <c r="I32" s="57" t="inlineStr">
        <is>
          <t>Filter Roast</t>
        </is>
      </c>
      <c r="J32" s="57" t="inlineStr">
        <is>
          <t>Pour-over (Hario Switch — Immersion/Percolation)</t>
        </is>
      </c>
      <c r="K32" s="57" t="n">
        <v>15</v>
      </c>
      <c r="L32" s="57" t="n">
        <v>255</v>
      </c>
      <c r="M32" s="57" t="inlineStr">
        <is>
          <t>1:17</t>
        </is>
      </c>
      <c r="N32" s="57" t="inlineStr">
        <is>
          <t>Unknown</t>
        </is>
      </c>
      <c r="O32" s="57" t="inlineStr">
        <is>
          <t>Unknown</t>
        </is>
      </c>
      <c r="P32" s="57" t="inlineStr">
        <is>
          <t>Mahlkönig EK43 (98mm Flat Burr)</t>
        </is>
      </c>
      <c r="Q32" s="59" t="n">
        <v>9</v>
      </c>
      <c r="R32" s="57" t="inlineStr">
        <is>
          <t>Kiwi; Oolong Tea; Chocolate Truffle</t>
        </is>
      </c>
      <c r="S32" s="57" t="inlineStr">
        <is>
          <t>Pretty good. Kiwi and oolong tea style — full bodied. Short finish with slight hints of chocolate. Clean and approachable natural without heavy fermentation noise.</t>
        </is>
      </c>
      <c r="T32" s="57" t="inlineStr">
        <is>
          <t>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is>
      </c>
      <c r="U32" s="57" t="inlineStr">
        <is>
          <t>Solo visit — The Community Coffee Hamilton</t>
        </is>
      </c>
      <c r="V32" s="57" t="inlineStr">
        <is>
          <t>Master CSV (hari_coffee_audit_master_2026)</t>
        </is>
      </c>
      <c r="W32" s="58">
        <f>IF(OR(ISNUMBER(SEARCH("gesha",G32)),ISNUMBER(SEARCH("geisha",G32))),"⭐ GESHA","")</f>
        <v/>
      </c>
      <c r="X32" s="57" t="inlineStr">
        <is>
          <t>38 Hamilton Rd, Singapore 209208</t>
        </is>
      </c>
    </row>
    <row r="33" ht="69" customHeight="1" s="54">
      <c r="A33" s="56" t="n">
        <v>46157</v>
      </c>
      <c r="B33" s="57" t="inlineStr">
        <is>
          <t>Singapore</t>
        </is>
      </c>
      <c r="C33" s="57" t="inlineStr">
        <is>
          <t>Alchemist (Ocean Financial Centre)</t>
        </is>
      </c>
      <c r="D33" s="57" t="inlineStr">
        <is>
          <t>Ijen Laurina</t>
        </is>
      </c>
      <c r="E33" s="57" t="inlineStr">
        <is>
          <t>Ijen Plateau</t>
        </is>
      </c>
      <c r="F33" s="57" t="inlineStr">
        <is>
          <t>East Java, Indonesia</t>
        </is>
      </c>
      <c r="G33" s="57" t="inlineStr">
        <is>
          <t>Hybrid Laurina</t>
        </is>
      </c>
      <c r="H33" s="57" t="inlineStr">
        <is>
          <t>Anaerobic Natural</t>
        </is>
      </c>
      <c r="I33" s="57" t="inlineStr">
        <is>
          <t>Light</t>
        </is>
      </c>
      <c r="J33" s="57" t="inlineStr">
        <is>
          <t>V60 Pour-over (Conical)</t>
        </is>
      </c>
      <c r="K33" s="57" t="n">
        <v>15</v>
      </c>
      <c r="L33" s="57" t="n">
        <v>240</v>
      </c>
      <c r="M33" s="57" t="inlineStr">
        <is>
          <t>1:16</t>
        </is>
      </c>
      <c r="N33" s="57" t="inlineStr">
        <is>
          <t>90</t>
        </is>
      </c>
      <c r="O33" s="57" t="inlineStr">
        <is>
          <t>Unknown</t>
        </is>
      </c>
      <c r="P33" s="57" t="inlineStr">
        <is>
          <t>Mahlkönig EK43S (98mm Flat Burr)</t>
        </is>
      </c>
      <c r="Q33" s="59" t="n">
        <v>8.5</v>
      </c>
      <c r="R33" s="57" t="inlineStr">
        <is>
          <t>Hibiscus; Red Apple; Hawthorn</t>
        </is>
      </c>
      <c r="S33" s="57" t="inlineStr">
        <is>
          <t>Felt hibiscus hot. Mid temp showed apple paste. Cooled to a honeyed character. Full bodied. Textbook style flavours — definitely a good one. Clean progressive thermal arc.</t>
        </is>
      </c>
      <c r="T33" s="57" t="inlineStr">
        <is>
          <t>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is>
      </c>
      <c r="U33" s="57" t="inlineStr">
        <is>
          <t>Solo visit — Alchemist Ocean Financial Centre</t>
        </is>
      </c>
      <c r="V33" s="57" t="inlineStr">
        <is>
          <t>Master CSV (hari_coffee_audit_master_2026)</t>
        </is>
      </c>
      <c r="W33" s="58">
        <f>IF(OR(ISNUMBER(SEARCH("gesha",G33)),ISNUMBER(SEARCH("geisha",G33))),"⭐ GESHA","")</f>
        <v/>
      </c>
      <c r="X33" s="57" t="inlineStr">
        <is>
          <t>10 Collyer Quay, #01-K1, Singapore 049315</t>
        </is>
      </c>
    </row>
    <row r="34" ht="78.75" customHeight="1" s="54">
      <c r="A34" s="56" t="n">
        <v>46158</v>
      </c>
      <c r="B34" s="57" t="inlineStr">
        <is>
          <t>Singapore</t>
        </is>
      </c>
      <c r="C34" s="57" t="inlineStr">
        <is>
          <t>Fluid Collective</t>
        </is>
      </c>
      <c r="D34" s="57" t="inlineStr">
        <is>
          <t>El Obraje</t>
        </is>
      </c>
      <c r="E34" s="57" t="inlineStr">
        <is>
          <t>El Obraje</t>
        </is>
      </c>
      <c r="F34" s="57" t="inlineStr">
        <is>
          <t>Huila, Colombia</t>
        </is>
      </c>
      <c r="G34" s="57" t="inlineStr">
        <is>
          <t>Gesha</t>
        </is>
      </c>
      <c r="H34" s="57" t="inlineStr">
        <is>
          <t>Washed</t>
        </is>
      </c>
      <c r="I34" s="57" t="inlineStr">
        <is>
          <t>Light</t>
        </is>
      </c>
      <c r="J34" s="57" t="inlineStr">
        <is>
          <t>Flatbed Dripper (Flat-Bottom)</t>
        </is>
      </c>
      <c r="K34" s="57" t="n">
        <v>15</v>
      </c>
      <c r="L34" s="57" t="n">
        <v>230</v>
      </c>
      <c r="M34" s="57" t="inlineStr">
        <is>
          <t>1:15.3</t>
        </is>
      </c>
      <c r="N34" s="57" t="inlineStr">
        <is>
          <t>92</t>
        </is>
      </c>
      <c r="O34" s="57" t="inlineStr">
        <is>
          <t>Unknown</t>
        </is>
      </c>
      <c r="P34" s="57" t="inlineStr">
        <is>
          <t>Option-O Lagom P64 (64mm Flat Burr)</t>
        </is>
      </c>
      <c r="Q34" s="59" t="n">
        <v>14</v>
      </c>
      <c r="R34" s="57" t="inlineStr">
        <is>
          <t>Mango; Orange Blossom; Nectarine; Honey</t>
        </is>
      </c>
      <c r="S34" s="57" t="inlineStr">
        <is>
          <t>Damn the taste so nice — the orange nectarine finishing with that honey is terrific. Love this one. So far my favourite. Honey sweetness lingers and taste changes as temperature cools. Best Gesha washed in archive at time of logging.</t>
        </is>
      </c>
      <c r="T34" s="57" t="inlineStr">
        <is>
          <t>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is>
      </c>
      <c r="U34" s="57" t="inlineStr">
        <is>
          <t>Solo visit — FLUID Singapore</t>
        </is>
      </c>
      <c r="V34" s="57" t="inlineStr">
        <is>
          <t>Master CSV (hari_coffee_audit_master_2026)</t>
        </is>
      </c>
      <c r="W34" s="58">
        <f>IF(OR(ISNUMBER(SEARCH("gesha",G34)),ISNUMBER(SEARCH("geisha",G34))),"⭐ GESHA","")</f>
        <v/>
      </c>
      <c r="X34" s="57" t="inlineStr">
        <is>
          <t>24 Opal Cres, Singapore 328418</t>
        </is>
      </c>
    </row>
    <row r="35" ht="69" customHeight="1" s="54">
      <c r="A35" s="56" t="n">
        <v>46161</v>
      </c>
      <c r="B35" s="57" t="inlineStr">
        <is>
          <t>Singapore</t>
        </is>
      </c>
      <c r="C35" s="57" t="inlineStr">
        <is>
          <t>Pocket by Flip (Flip Coffee Roasters)</t>
        </is>
      </c>
      <c r="D35" s="57" t="inlineStr">
        <is>
          <t>Ecuador La Papaya</t>
        </is>
      </c>
      <c r="E35" s="57" t="inlineStr">
        <is>
          <t>La Papaya Farm</t>
        </is>
      </c>
      <c r="F35" s="57" t="inlineStr">
        <is>
          <t>Loja, Ecuador</t>
        </is>
      </c>
      <c r="G35" s="57" t="inlineStr">
        <is>
          <t>Geisha</t>
        </is>
      </c>
      <c r="H35" s="57" t="inlineStr">
        <is>
          <t>Washed</t>
        </is>
      </c>
      <c r="I35" s="57" t="inlineStr">
        <is>
          <t>Light</t>
        </is>
      </c>
      <c r="J35" s="57" t="inlineStr">
        <is>
          <t>Filter Hot — Flat-Bottom (Hario Alpha)</t>
        </is>
      </c>
      <c r="K35" s="57" t="n">
        <v>15</v>
      </c>
      <c r="L35" s="57" t="n">
        <v>225</v>
      </c>
      <c r="M35" s="57" t="inlineStr">
        <is>
          <t>1:15</t>
        </is>
      </c>
      <c r="N35" s="57" t="inlineStr">
        <is>
          <t>92 → 75 → 92</t>
        </is>
      </c>
      <c r="O35" s="57" t="inlineStr">
        <is>
          <t>Unknown</t>
        </is>
      </c>
      <c r="P35" s="57" t="inlineStr">
        <is>
          <t>Mahlkönig CORE (54mm Flat Burr)</t>
        </is>
      </c>
      <c r="Q35" s="59" t="n">
        <v>18</v>
      </c>
      <c r="R35" s="57" t="inlineStr">
        <is>
          <t>Fresh Apricot; Rooibos; Lemon Thyme; Toffee Apple</t>
        </is>
      </c>
      <c r="S35" s="57" t="inlineStr">
        <is>
          <t>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is>
      </c>
      <c r="T35" s="57" t="inlineStr">
        <is>
          <t>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is>
      </c>
      <c r="U35" s="57" t="inlineStr">
        <is>
          <t>Solo visit — Pocket by Flip, 30 Stevens Road</t>
        </is>
      </c>
      <c r="V35" s="57" t="inlineStr">
        <is>
          <t>Master CSV (hari_coffee_audit_master_2026)</t>
        </is>
      </c>
      <c r="W35" s="58">
        <f>IF(OR(ISNUMBER(SEARCH("gesha",G35)),ISNUMBER(SEARCH("geisha",G35))),"⭐ GESHA","")</f>
        <v/>
      </c>
      <c r="X35" s="57" t="inlineStr">
        <is>
          <t>30 Stevens Rd, #01-08, Singapore 257840</t>
        </is>
      </c>
    </row>
    <row r="36" ht="98.25" customHeight="1" s="54">
      <c r="A36" s="60" t="n">
        <v>46167</v>
      </c>
      <c r="B36" s="57" t="inlineStr">
        <is>
          <t>Singapore</t>
        </is>
      </c>
      <c r="C36" s="57" t="inlineStr">
        <is>
          <t>20 Grams Coffee Roastery</t>
        </is>
      </c>
      <c r="D36" s="57" t="inlineStr">
        <is>
          <t>Rwanda Nyabihu — Red Bourbon</t>
        </is>
      </c>
      <c r="E36" s="57" t="inlineStr">
        <is>
          <t>Josue Dusengiyumva, Shyira Washing Station</t>
        </is>
      </c>
      <c r="F36" s="57" t="inlineStr">
        <is>
          <t>Nyabihu District, Rwanda</t>
        </is>
      </c>
      <c r="G36" s="57" t="inlineStr">
        <is>
          <t>Red Bourbon</t>
        </is>
      </c>
      <c r="H36" s="57" t="inlineStr">
        <is>
          <t>Washed</t>
        </is>
      </c>
      <c r="I36" s="57" t="inlineStr">
        <is>
          <t>Light (Nordic Roast)</t>
        </is>
      </c>
      <c r="J36" s="57" t="inlineStr">
        <is>
          <t>Pourover</t>
        </is>
      </c>
      <c r="K36" s="57" t="n">
        <v>17</v>
      </c>
      <c r="L36" s="57" t="n">
        <v>270</v>
      </c>
      <c r="M36" s="57" t="inlineStr">
        <is>
          <t>1:16</t>
        </is>
      </c>
      <c r="N36" s="57" t="inlineStr">
        <is>
          <t>Unknown</t>
        </is>
      </c>
      <c r="O36" s="57" t="inlineStr">
        <is>
          <t>Unknown</t>
        </is>
      </c>
      <c r="P36" s="57" t="inlineStr">
        <is>
          <t>Ditting 804 (Flat Burr)</t>
        </is>
      </c>
      <c r="Q36" s="57" t="n">
        <v>10</v>
      </c>
      <c r="R36" s="57" t="inlineStr">
        <is>
          <t>Hibiscus; Raspberry; Tropical Fruit</t>
        </is>
      </c>
      <c r="S36" s="57" t="inlineStr">
        <is>
          <t>Palate confirmed: peach, stone fruit, malic clarity. "Soft, peach-forward, malic clarity — light and approachable. First Rwanda origin entry. Terroir-pure expression of Nyabihu volcanic terroir." 4/5 stars.</t>
        </is>
      </c>
      <c r="T36" s="57" t="inlineStr">
        <is>
          <t>1:16 lean ratio (vs 1:15 standard) suppresses body/TDS to amplify volatile aromatics — deliberate strategy to showcase Rwandan terroir delicacy. Malic-acid-dominant, smooth rounded onset consistent with washed Red Bourbon genetics.</t>
        </is>
      </c>
      <c r="U36" s="57" t="inlineStr">
        <is>
          <t>Twenty Grams Roastery, MacPherson — first Rwanda origin entry</t>
        </is>
      </c>
      <c r="V36" s="57" t="inlineStr">
        <is>
          <t>Field entry (infographic-derived)</t>
        </is>
      </c>
      <c r="W36" s="58">
        <f>IF(OR(ISNUMBER(SEARCH("gesha",G36)),ISNUMBER(SEARCH("geisha",G36))),"⭐ GESHA","")</f>
        <v/>
      </c>
      <c r="X36" s="57" t="inlineStr">
        <is>
          <t>14 Arumugam Rd, #01-05 LTC Building C, Singapore 409959</t>
        </is>
      </c>
    </row>
    <row r="37" ht="59.25" customHeight="1" s="54">
      <c r="A37" s="60" t="n">
        <v>46167</v>
      </c>
      <c r="B37" s="57" t="inlineStr">
        <is>
          <t>Singapore</t>
        </is>
      </c>
      <c r="C37" s="57" t="inlineStr">
        <is>
          <t>20 Grams Coffee Roastery</t>
        </is>
      </c>
      <c r="D37" s="57" t="inlineStr">
        <is>
          <t>Kenya Nyeri Hill — SL28</t>
        </is>
      </c>
      <c r="E37" s="57" t="inlineStr">
        <is>
          <t>Nyeri Hill Factory</t>
        </is>
      </c>
      <c r="F37" s="57" t="inlineStr">
        <is>
          <t>Kiambu District, Kenya</t>
        </is>
      </c>
      <c r="G37" s="57" t="inlineStr">
        <is>
          <t>SL28</t>
        </is>
      </c>
      <c r="H37" s="57" t="inlineStr">
        <is>
          <t>Washed</t>
        </is>
      </c>
      <c r="I37" s="57" t="inlineStr">
        <is>
          <t>Unknown</t>
        </is>
      </c>
      <c r="J37" s="57" t="inlineStr">
        <is>
          <t>Cortado (Espresso-based)</t>
        </is>
      </c>
      <c r="K37" s="57" t="inlineStr">
        <is>
          <t>Unknown</t>
        </is>
      </c>
      <c r="L37" s="57" t="inlineStr">
        <is>
          <t>Unknown</t>
        </is>
      </c>
      <c r="M37" s="57" t="inlineStr">
        <is>
          <t>~1:1 (espresso/milk)</t>
        </is>
      </c>
      <c r="N37" s="57" t="inlineStr">
        <is>
          <t>Unknown</t>
        </is>
      </c>
      <c r="O37" s="57" t="inlineStr">
        <is>
          <t>N/A — espresso format</t>
        </is>
      </c>
      <c r="P37" s="57" t="inlineStr">
        <is>
          <t>Ditting Lab Sweet 403</t>
        </is>
      </c>
      <c r="Q37" s="57" t="n">
        <v>9</v>
      </c>
      <c r="R37" s="57" t="inlineStr">
        <is>
          <t>Apple; Grape; Blackcurrant</t>
        </is>
      </c>
      <c r="S37" s="57" t="inlineStr">
        <is>
          <t>Palate confirmed: clean, nice, excellent lingering finish. "Clean, structured, with an exceptional lingering phosphoric finish — textbook SL28 Kenyan expression perfectly delivered in cortado format." 4/5 stars.</t>
        </is>
      </c>
      <c r="T37" s="57" t="inlineStr">
        <is>
          <t>9-bar extraction emulsifies coffee lipids into the crema matrix; ~1:1 milk ratio softens entry while SL28's signature phosphoric acid structure dominates the finish — classic Kenyan cortado profile.</t>
        </is>
      </c>
      <c r="U37" s="57" t="inlineStr">
        <is>
          <t>Twenty Grams Roastery, MacPherson — same visit as Rwanda pourover</t>
        </is>
      </c>
      <c r="V37" s="57" t="inlineStr">
        <is>
          <t>Field entry (infographic-derived)</t>
        </is>
      </c>
      <c r="W37" s="58">
        <f>IF(OR(ISNUMBER(SEARCH("gesha",G37)),ISNUMBER(SEARCH("geisha",G37))),"⭐ GESHA","")</f>
        <v/>
      </c>
      <c r="X37" s="57" t="inlineStr">
        <is>
          <t>14 Arumugam Rd, #01-05 LTC Building C, Singapore 409959</t>
        </is>
      </c>
    </row>
    <row r="38" ht="78.75" customHeight="1" s="54">
      <c r="A38" s="56" t="n">
        <v>46168</v>
      </c>
      <c r="B38" s="57" t="inlineStr">
        <is>
          <t>Singapore</t>
        </is>
      </c>
      <c r="C38" s="57" t="inlineStr">
        <is>
          <t>Zerah Roasters</t>
        </is>
      </c>
      <c r="D38" s="57" t="inlineStr">
        <is>
          <t>El Diviso — Caturra Chiroso (Ester Bomb)</t>
        </is>
      </c>
      <c r="E38" s="57" t="inlineStr">
        <is>
          <t>El Diviso Farm</t>
        </is>
      </c>
      <c r="F38" s="57" t="inlineStr">
        <is>
          <t>Huila, Colombia</t>
        </is>
      </c>
      <c r="G38" s="57" t="inlineStr">
        <is>
          <t>Caturra Chiroso</t>
        </is>
      </c>
      <c r="H38" s="57" t="inlineStr">
        <is>
          <t>Yeast Anaerobic Natural</t>
        </is>
      </c>
      <c r="I38" s="57" t="inlineStr">
        <is>
          <t>Filter Roast</t>
        </is>
      </c>
      <c r="J38" s="57" t="inlineStr">
        <is>
          <t>Flat-Bottom Dripper</t>
        </is>
      </c>
      <c r="K38" s="57" t="n">
        <v>15</v>
      </c>
      <c r="L38" s="57" t="n">
        <v>240</v>
      </c>
      <c r="M38" s="57" t="inlineStr">
        <is>
          <t>1:16</t>
        </is>
      </c>
      <c r="N38" s="57" t="inlineStr">
        <is>
          <t>92</t>
        </is>
      </c>
      <c r="O38" s="57" t="inlineStr">
        <is>
          <t>38g / Unknown seconds</t>
        </is>
      </c>
      <c r="P38" s="57" t="inlineStr">
        <is>
          <t>DF64 Gen 2 (64mm Flat Burr — aftermarket upgrade)</t>
        </is>
      </c>
      <c r="Q38" s="59" t="n">
        <v>12</v>
      </c>
      <c r="R38" s="57" t="inlineStr">
        <is>
          <t>Passionfruit; Plum Wine; Mango</t>
        </is>
      </c>
      <c r="S38" s="57" t="inlineStr">
        <is>
          <t>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is>
      </c>
      <c r="T38" s="57" t="inlineStr">
        <is>
          <t>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is>
      </c>
      <c r="U38" s="57" t="inlineStr">
        <is>
          <t>Solo visit — Zerah Roasters, Singapore, 26 May 2026. Barista explained fermentation process, flat-bottom geometry rationale, 1:16 ratio decision in detail. Warm educational session on 2nd floor cosy space. Barista recommended Glyph Supply Co (Jurong).</t>
        </is>
      </c>
      <c r="V38" s="57" t="inlineStr">
        <is>
          <t>Infographic (Entry #025 Ester Bomb) + Google Maps review + Google review authored by Hari</t>
        </is>
      </c>
      <c r="W38" s="58">
        <f>IF(OR(ISNUMBER(SEARCH("gesha",G38)),ISNUMBER(SEARCH("geisha",G38))),"⭐ GESHA","")</f>
        <v/>
      </c>
      <c r="X38" s="57" t="inlineStr">
        <is>
          <t>465 North Bridge Rd, #02-5063, Singapore 188720</t>
        </is>
      </c>
    </row>
    <row r="39" ht="88.5" customHeight="1" s="54">
      <c r="A39" s="56" t="n">
        <v>46183</v>
      </c>
      <c r="B39" s="57" t="inlineStr">
        <is>
          <t>Singapore</t>
        </is>
      </c>
      <c r="C39" s="57" t="inlineStr">
        <is>
          <t>Nylon Coffee Roasters</t>
        </is>
      </c>
      <c r="D39" s="57" t="inlineStr">
        <is>
          <t>Colombia Juan Martin</t>
        </is>
      </c>
      <c r="E39" s="57" t="inlineStr">
        <is>
          <t>Banexport</t>
        </is>
      </c>
      <c r="F39" s="57" t="inlineStr">
        <is>
          <t>Colombia</t>
        </is>
      </c>
      <c r="G39" s="57" t="inlineStr">
        <is>
          <t>Red Striped Bourbon</t>
        </is>
      </c>
      <c r="H39" s="57" t="inlineStr">
        <is>
          <t>Washed</t>
        </is>
      </c>
      <c r="I39" s="57" t="inlineStr">
        <is>
          <t>Filter Roast</t>
        </is>
      </c>
      <c r="J39" s="57" t="inlineStr">
        <is>
          <t>xBloom (Flat-Bottom)</t>
        </is>
      </c>
      <c r="K39" s="57" t="inlineStr">
        <is>
          <t>Unknown</t>
        </is>
      </c>
      <c r="L39" s="57" t="inlineStr">
        <is>
          <t>Unknown</t>
        </is>
      </c>
      <c r="M39" s="57" t="inlineStr">
        <is>
          <t>1:17</t>
        </is>
      </c>
      <c r="N39" s="57" t="inlineStr">
        <is>
          <t>Unknown</t>
        </is>
      </c>
      <c r="O39" s="57" t="inlineStr">
        <is>
          <t>Unknown</t>
        </is>
      </c>
      <c r="P39" s="57" t="inlineStr">
        <is>
          <t>Mahlkönig EK Omnia (98mm Flat Burr)</t>
        </is>
      </c>
      <c r="Q39" s="59" t="n">
        <v>7.5</v>
      </c>
      <c r="R39" s="57" t="inlineStr">
        <is>
          <t>Berry, Red Plum, Nectarine, Orange Tea</t>
        </is>
      </c>
      <c r="S39" s="57" t="inlineStr">
        <is>
          <t>Orange-type aromatic afterfeel when hot — bright and encapsulating. Clearly fruity character throughout. Mellows cleanly as it cools; sugars emerge distinctly at mid-cool phase. Nice and light overall — 1:17 lean ratio working well on this varietal.</t>
        </is>
      </c>
      <c r="T39" s="57" t="inlineStr">
        <is>
          <t>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is>
      </c>
      <c r="U39" s="57" t="inlineStr">
        <is>
          <t>Solo visit — office lunch break, 13:15</t>
        </is>
      </c>
      <c r="V39" s="57" t="inlineStr">
        <is>
          <t>Direct observation + bag photo (retail stock)</t>
        </is>
      </c>
      <c r="W39" s="58">
        <f>IF(OR(ISNUMBER(SEARCH("gesha",G39)),ISNUMBER(SEARCH("geisha",G39))),"⭐ GESHA","")</f>
        <v/>
      </c>
      <c r="X39" s="57" t="inlineStr">
        <is>
          <t>4 Everton Park, #01-40, Singapore 080004</t>
        </is>
      </c>
    </row>
    <row r="40" ht="59.25" customHeight="1" s="54">
      <c r="A40" s="56" t="n">
        <v>46186</v>
      </c>
      <c r="B40" s="57" t="inlineStr">
        <is>
          <t>Singapore</t>
        </is>
      </c>
      <c r="C40" s="57" t="inlineStr">
        <is>
          <t>Kurasu</t>
        </is>
      </c>
      <c r="D40" s="57" t="inlineStr">
        <is>
          <t>Rwanda Nkara Soil Project Lot 1204</t>
        </is>
      </c>
      <c r="E40" s="57" t="inlineStr">
        <is>
          <t>Nkara Soil Project</t>
        </is>
      </c>
      <c r="F40" s="57" t="inlineStr">
        <is>
          <t>Rwanda</t>
        </is>
      </c>
      <c r="G40" s="57" t="inlineStr">
        <is>
          <t>Red Bourbon</t>
        </is>
      </c>
      <c r="H40" s="57" t="inlineStr">
        <is>
          <t>Fully Washed</t>
        </is>
      </c>
      <c r="I40" s="57" t="inlineStr">
        <is>
          <t>Filter Roast</t>
        </is>
      </c>
      <c r="J40" s="57" t="inlineStr">
        <is>
          <t>V60 Pour-over (Conical)</t>
        </is>
      </c>
      <c r="K40" s="57" t="inlineStr">
        <is>
          <t>Unknown</t>
        </is>
      </c>
      <c r="L40" s="57" t="inlineStr">
        <is>
          <t>Unknown</t>
        </is>
      </c>
      <c r="M40" s="57" t="inlineStr">
        <is>
          <t>Unknown</t>
        </is>
      </c>
      <c r="N40" s="57" t="inlineStr">
        <is>
          <t>Unknown</t>
        </is>
      </c>
      <c r="O40" s="57" t="inlineStr">
        <is>
          <t>Unknown</t>
        </is>
      </c>
      <c r="P40" s="57" t="inlineStr">
        <is>
          <t>Mahlkönig EK43 (98mm Flat Burr)</t>
        </is>
      </c>
      <c r="Q40" s="59" t="n">
        <v>9.27</v>
      </c>
      <c r="R40" s="57" t="inlineStr">
        <is>
          <t>Floral aroma, taste of mandarin orange, baked apple and grapefruit, brown sugar-like sweetness and accompanying aftertaste</t>
        </is>
      </c>
      <c r="S40" s="57" t="inlineStr">
        <is>
          <t>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is>
      </c>
      <c r="T40" s="57" t="inlineStr">
        <is>
          <t>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is>
      </c>
      <c r="U40" s="57" t="inlineStr">
        <is>
          <t>Solo visit — 13 Jun 2026</t>
        </is>
      </c>
      <c r="V40" s="57" t="inlineStr">
        <is>
          <t>Direct observation + bean card photo</t>
        </is>
      </c>
      <c r="W40" s="58">
        <f>IF(OR(ISNUMBER(SEARCH("gesha",G40)),ISNUMBER(SEARCH("geisha",G40))),"⭐ GESHA","")</f>
        <v/>
      </c>
      <c r="X40" s="57" t="inlineStr">
        <is>
          <t>261 Waterloo St, #01-24, Singapore 180261</t>
        </is>
      </c>
    </row>
    <row r="41" ht="49.5" customHeight="1" s="54">
      <c r="A41" s="56" t="n">
        <v>46187</v>
      </c>
      <c r="B41" s="57" t="inlineStr">
        <is>
          <t>Singapore</t>
        </is>
      </c>
      <c r="C41" s="57" t="inlineStr">
        <is>
          <t>KerYi Coffee</t>
        </is>
      </c>
      <c r="D41" s="57" t="inlineStr">
        <is>
          <t>Colombia Finca La Esmaralda</t>
        </is>
      </c>
      <c r="E41" s="57" t="inlineStr">
        <is>
          <t>Finca La Esmaralda</t>
        </is>
      </c>
      <c r="F41" s="57" t="inlineStr">
        <is>
          <t>Colombia</t>
        </is>
      </c>
      <c r="G41" s="57" t="inlineStr">
        <is>
          <t>Gesha</t>
        </is>
      </c>
      <c r="H41" s="57" t="inlineStr">
        <is>
          <t>Honey</t>
        </is>
      </c>
      <c r="I41" s="57" t="inlineStr">
        <is>
          <t>Light Roast</t>
        </is>
      </c>
      <c r="J41" s="57" t="inlineStr">
        <is>
          <t>Hario Switch (Immersion/Percolation Hybrid)</t>
        </is>
      </c>
      <c r="K41" s="57" t="n">
        <v>15</v>
      </c>
      <c r="L41" s="57" t="n">
        <v>210</v>
      </c>
      <c r="M41" s="57" t="inlineStr">
        <is>
          <t>1:14</t>
        </is>
      </c>
      <c r="N41" s="57" t="inlineStr">
        <is>
          <t>91 → 78</t>
        </is>
      </c>
      <c r="O41" s="57" t="inlineStr">
        <is>
          <t>60g (~4:1)</t>
        </is>
      </c>
      <c r="P41" s="57" t="inlineStr">
        <is>
          <t>Ditting 98mm flat burr</t>
        </is>
      </c>
      <c r="Q41" s="59" t="n">
        <v>15</v>
      </c>
      <c r="R41" s="57" t="inlineStr">
        <is>
          <t>Citrus, white florals, lychee, sugar-cane sweetness</t>
        </is>
      </c>
      <c r="S41" s="57" t="inlineStr">
        <is>
          <t>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is>
      </c>
      <c r="T41" s="57" t="inlineStr">
        <is>
          <t>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is>
      </c>
      <c r="U41" s="57" t="inlineStr">
        <is>
          <t>Solo relaxation visit — Sunday 14 Jun 2026, 11 AM; barista-led brew interview (grinder/ratio/temp confirmed)</t>
        </is>
      </c>
      <c r="V41" s="57" t="inlineStr">
        <is>
          <t>Direct observation + menu photo + barista interview</t>
        </is>
      </c>
      <c r="W41" s="58">
        <f>IF(OR(ISNUMBER(SEARCH("gesha",G41)),ISNUMBER(SEARCH("geisha",G41))),"⭐ GESHA","")</f>
        <v/>
      </c>
      <c r="X41" s="57" t="inlineStr">
        <is>
          <t>161 Lavender St, #01-08, Singapore 338750</t>
        </is>
      </c>
    </row>
    <row r="42" ht="39.75" customHeight="1" s="54">
      <c r="A42" s="56" t="n">
        <v>46192</v>
      </c>
      <c r="B42" s="57" t="inlineStr">
        <is>
          <t>Singapore</t>
        </is>
      </c>
      <c r="C42" s="57" t="inlineStr">
        <is>
          <t>Corner Corner</t>
        </is>
      </c>
      <c r="D42" s="57" t="inlineStr">
        <is>
          <t>Malaysia My Liberica</t>
        </is>
      </c>
      <c r="E42" s="57" t="inlineStr">
        <is>
          <t>My Liberica (Jason Liew), Kulai, Johor</t>
        </is>
      </c>
      <c r="F42" s="57" t="inlineStr">
        <is>
          <t>Malaysia, Kulai, Johor</t>
        </is>
      </c>
      <c r="G42" s="57" t="inlineStr">
        <is>
          <t>Liberica (Coffea liberica)</t>
        </is>
      </c>
      <c r="H42" s="57" t="inlineStr">
        <is>
          <t>JH Natural (Jekyll &amp; Hyde controlled fermentation - proprietary My Liberica process)</t>
        </is>
      </c>
      <c r="I42" s="57" t="inlineStr">
        <is>
          <t>Light</t>
        </is>
      </c>
      <c r="J42" s="57" t="inlineStr">
        <is>
          <t>Pour Over (filter)</t>
        </is>
      </c>
      <c r="K42" s="57" t="n">
        <v>13</v>
      </c>
      <c r="L42" s="57" t="n">
        <v>190</v>
      </c>
      <c r="M42" s="57" t="inlineStr">
        <is>
          <t>1:14.6</t>
        </is>
      </c>
      <c r="N42" s="57" t="inlineStr">
        <is>
          <t>90-92 (steady throughout)</t>
        </is>
      </c>
      <c r="O42" s="57" t="inlineStr">
        <is>
          <t>Unknown</t>
        </is>
      </c>
      <c r="P42" s="57" t="inlineStr">
        <is>
          <t>Timemore (conical Gold burr, coarse)</t>
        </is>
      </c>
      <c r="Q42" s="59" t="n">
        <v>13</v>
      </c>
      <c r="R42" s="57" t="inlineStr">
        <is>
          <t>Root beer / Tropical fruit punch / Raspberry candy / Rambutan / Longan / Sarsi (roaster: One Half)</t>
        </is>
      </c>
      <c r="S42" s="57" t="inlineStr">
        <is>
          <t>Interesting and approachable - 'not so funky but different for sure'; picked out longan-type fruit. First non-arabica capture in the archive; landed as a positive novelty rather than rejected.</t>
        </is>
      </c>
      <c r="T42" s="57" t="inlineStr">
        <is>
          <t>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is>
      </c>
      <c r="U42" s="57" t="inlineStr">
        <is>
          <t>Roaster: One Half (light-roast filter program). Corner Corner is a vinyl-record listening bar/cafe; walls of LPs, warm low lighting, Japanese-style carafe-and-cup serve. Friday 19 June 2026, ~15:15. Rated awesome by Hari.</t>
        </is>
      </c>
      <c r="V42" s="57" t="inlineStr">
        <is>
          <t>Field audit (Claude)</t>
        </is>
      </c>
      <c r="W42" s="58">
        <f>IF(OR(ISNUMBER(SEARCH("gesha",G42)),ISNUMBER(SEARCH("geisha",G42))),"⭐ GESHA","")</f>
        <v/>
      </c>
      <c r="X42" s="57" t="inlineStr">
        <is>
          <t>16 Duxton Rd, Singapore 089482</t>
        </is>
      </c>
    </row>
    <row r="43" ht="59.25" customHeight="1" s="54">
      <c r="A43" s="56" t="n">
        <v>46192</v>
      </c>
      <c r="B43" s="57" t="inlineStr">
        <is>
          <t>Singapore</t>
        </is>
      </c>
      <c r="C43" s="57" t="inlineStr">
        <is>
          <t>Equate</t>
        </is>
      </c>
      <c r="D43" s="57" t="inlineStr">
        <is>
          <t>Colombia Huila La Pradera</t>
        </is>
      </c>
      <c r="E43" s="57" t="inlineStr">
        <is>
          <t>La Pradera</t>
        </is>
      </c>
      <c r="F43" s="57" t="inlineStr">
        <is>
          <t>Colombia, Huila</t>
        </is>
      </c>
      <c r="G43" s="57" t="inlineStr">
        <is>
          <t>Gesha</t>
        </is>
      </c>
      <c r="H43" s="57" t="inlineStr">
        <is>
          <t>Washed</t>
        </is>
      </c>
      <c r="I43" s="57" t="inlineStr">
        <is>
          <t>Unknown</t>
        </is>
      </c>
      <c r="J43" s="57" t="inlineStr">
        <is>
          <t>Pour Over (Orea V4)</t>
        </is>
      </c>
      <c r="K43" s="57" t="n">
        <v>15</v>
      </c>
      <c r="L43" s="57" t="n">
        <v>210</v>
      </c>
      <c r="M43" s="57" t="inlineStr">
        <is>
          <t>1:14</t>
        </is>
      </c>
      <c r="N43" s="57" t="inlineStr">
        <is>
          <t>90-92 (pours 1-2), 68-70 (pours 3-4)</t>
        </is>
      </c>
      <c r="O43" s="57" t="inlineStr">
        <is>
          <t>Unknown</t>
        </is>
      </c>
      <c r="P43" s="57" t="inlineStr">
        <is>
          <t>EK43</t>
        </is>
      </c>
      <c r="Q43" s="59" t="n">
        <v>13</v>
      </c>
      <c r="R43" s="57" t="inlineStr">
        <is>
          <t>Peach Jam / Orange / Honey Sweetness</t>
        </is>
      </c>
      <c r="S43" s="57" t="inlineStr">
        <is>
          <t>Average - strong isolated peach note but jam/honey sweetness underdeveloped; suspects 1:15 ratio would have balanced acid/sweetness better</t>
        </is>
      </c>
      <c r="T43" s="57" t="inlineStr">
        <is>
          <t>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is>
      </c>
      <c r="U43" s="57" t="inlineStr">
        <is>
          <t>2nd-floor minimalist cafe; pastel interiors, spacious, dog-friendly; cakes-only food menu (banana cake); benchmark ambience per Hari.</t>
        </is>
      </c>
      <c r="V43" s="57" t="inlineStr">
        <is>
          <t>Field audit (Claude)</t>
        </is>
      </c>
      <c r="W43" s="58">
        <f>IF(OR(ISNUMBER(SEARCH("gesha",G43)),ISNUMBER(SEARCH("geisha",G43))),"⭐ GESHA","")</f>
        <v/>
      </c>
      <c r="X43" s="57" t="inlineStr">
        <is>
          <t>1 Tanjong Pagar Plaza, #02-25, Singapore 082001</t>
        </is>
      </c>
    </row>
    <row r="44" ht="49.5" customHeight="1" s="54">
      <c r="A44" s="56" t="n">
        <v>46194</v>
      </c>
      <c r="B44" s="57" t="inlineStr">
        <is>
          <t>Singapore</t>
        </is>
      </c>
      <c r="C44" s="57" t="inlineStr">
        <is>
          <t>Apartment Roastery</t>
        </is>
      </c>
      <c r="D44" s="57" t="inlineStr">
        <is>
          <t>Colombia Javier Quintero</t>
        </is>
      </c>
      <c r="E44" s="57" t="inlineStr">
        <is>
          <t>Javier Quintero, Buena Vista Farm</t>
        </is>
      </c>
      <c r="F44" s="57" t="inlineStr">
        <is>
          <t>Inza, Cauca, Colombia</t>
        </is>
      </c>
      <c r="G44" s="57" t="inlineStr">
        <is>
          <t>Bourbon Aruzi</t>
        </is>
      </c>
      <c r="H44" s="57" t="inlineStr">
        <is>
          <t>Washed</t>
        </is>
      </c>
      <c r="I44" s="57" t="inlineStr">
        <is>
          <t>Light (Filter Roast)</t>
        </is>
      </c>
      <c r="J44" s="57" t="inlineStr">
        <is>
          <t>Pour-over (Hand Brew)</t>
        </is>
      </c>
      <c r="K44" s="57" t="n">
        <v>13</v>
      </c>
      <c r="L44" s="57" t="n">
        <v>220</v>
      </c>
      <c r="M44" s="57" t="inlineStr">
        <is>
          <t>1:16.9</t>
        </is>
      </c>
      <c r="N44" s="57" t="inlineStr">
        <is>
          <t>95</t>
        </is>
      </c>
      <c r="O44" s="57" t="inlineStr">
        <is>
          <t>Unknown</t>
        </is>
      </c>
      <c r="P44" s="57" t="inlineStr">
        <is>
          <t>Mahlkönig EK43</t>
        </is>
      </c>
      <c r="Q44" s="59" t="n">
        <v>9.5</v>
      </c>
      <c r="R44" s="57" t="inlineStr">
        <is>
          <t>White peach; blackberry; jasmine</t>
        </is>
      </c>
      <c r="S44" s="57" t="inlineStr">
        <is>
          <t>White peach dominant, well-balanced; clean washed expression, very enjoyable</t>
        </is>
      </c>
      <c r="T44" s="57" t="inlineStr">
        <is>
          <t>High-temp (95C) and 1:16.9 ratio on EK43 flat burr favored extraction of volatile floral/peach esters (linalool, lactones) over heavier blackberry polyphenolics, producing a peach-forward, high-clarity cup. 200g bag roasted 15 June 2026 (6 days post-roast at time of visit).</t>
        </is>
      </c>
      <c r="U44" s="57" t="inlineStr">
        <is>
          <t>Sister branch of Apartment (Selegie Rd), located Jalan Riang, Serangoon Gardens. First visit to this branch.</t>
        </is>
      </c>
      <c r="V44" s="57" t="inlineStr">
        <is>
          <t>Field audit (Claude)</t>
        </is>
      </c>
      <c r="W44" s="58">
        <f>IF(OR(ISNUMBER(SEARCH("gesha",G44)),ISNUMBER(SEARCH("geisha",G44))),"⭐ GESHA","")</f>
        <v/>
      </c>
      <c r="X44" s="57" t="inlineStr">
        <is>
          <t>Jln Riang, #15-9, Singapore 358987</t>
        </is>
      </c>
    </row>
    <row r="45" ht="78.75" customHeight="1" s="54">
      <c r="A45" s="56" t="n">
        <v>46198</v>
      </c>
      <c r="B45" s="57" t="inlineStr">
        <is>
          <t>Singapore</t>
        </is>
      </c>
      <c r="C45" s="57" t="inlineStr">
        <is>
          <t>PPP Coffee (Funan)</t>
        </is>
      </c>
      <c r="D45" s="57" t="inlineStr">
        <is>
          <t>Ethiopia Suke Quto</t>
        </is>
      </c>
      <c r="E45" s="57" t="inlineStr">
        <is>
          <t>Suke Quto Farm (Tesfaye Bekele)</t>
        </is>
      </c>
      <c r="F45" s="57" t="inlineStr">
        <is>
          <t>Ethiopia</t>
        </is>
      </c>
      <c r="G45" s="57" t="inlineStr">
        <is>
          <t>Welicho &amp; Kurume (blend)</t>
        </is>
      </c>
      <c r="H45" s="57" t="inlineStr">
        <is>
          <t>Fully-Washed</t>
        </is>
      </c>
      <c r="I45" s="57" t="inlineStr">
        <is>
          <t>Light Filter Roast</t>
        </is>
      </c>
      <c r="J45" s="57" t="inlineStr">
        <is>
          <t>V60 Pour-over (Conical)</t>
        </is>
      </c>
      <c r="K45" s="57" t="n">
        <v>15</v>
      </c>
      <c r="L45" s="57" t="n">
        <v>225</v>
      </c>
      <c r="M45" s="57" t="inlineStr">
        <is>
          <t>1:15</t>
        </is>
      </c>
      <c r="N45" s="57" t="inlineStr">
        <is>
          <t>Unknown</t>
        </is>
      </c>
      <c r="O45" s="57" t="inlineStr">
        <is>
          <t>Unknown</t>
        </is>
      </c>
      <c r="P45" s="57" t="inlineStr">
        <is>
          <t>Mazzer MM (83mm Flat Burr)</t>
        </is>
      </c>
      <c r="Q45" s="59" t="n">
        <v>9</v>
      </c>
      <c r="R45" s="57" t="inlineStr">
        <is>
          <t>Nectarine, White Florals, Citrus</t>
        </is>
      </c>
      <c r="S45" s="57" t="inlineStr">
        <is>
          <t>Sharp unripe orange dominated all thermal phases — no floral lift, no mid-cool malic sweetness, no phase shift detected. Citric over-extraction signature suppressed linalool volatiles and sucrose emergence. Hardware execution miss — Guji terroir likely unrealised. Rated below average.</t>
        </is>
      </c>
      <c r="T45" s="57" t="inlineStr">
        <is>
          <t>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is>
      </c>
      <c r="U45" s="57" t="inlineStr">
        <is>
          <t>Solo visit — 25 Jun 2026; Funan mall location; bean card photographed; no barista consultation</t>
        </is>
      </c>
      <c r="V45" s="57" t="inlineStr">
        <is>
          <t>Direct observation + bean card photo + menu photo</t>
        </is>
      </c>
      <c r="W45" s="58">
        <f>IF(OR(ISNUMBER(SEARCH("gesha",G45)),ISNUMBER(SEARCH("geisha",G45))),"⭐ GESHA","")</f>
        <v/>
      </c>
      <c r="X45" s="57" t="inlineStr">
        <is>
          <t>107 N Bridge Rd, #02-19, Singapore 179105</t>
        </is>
      </c>
    </row>
    <row r="46" ht="98.25" customHeight="1" s="54">
      <c r="A46" s="56" t="n">
        <v>46200</v>
      </c>
      <c r="B46" s="57" t="inlineStr">
        <is>
          <t>Singapore</t>
        </is>
      </c>
      <c r="C46" s="57" t="inlineStr">
        <is>
          <t>Apartment Roastery</t>
        </is>
      </c>
      <c r="D46" s="57" t="inlineStr">
        <is>
          <t>China Yunnan Meng Hai</t>
        </is>
      </c>
      <c r="E46" s="57" t="inlineStr">
        <is>
          <t>Blang and Dai Family Farms</t>
        </is>
      </c>
      <c r="F46" s="57" t="inlineStr">
        <is>
          <t>Menghai, Xishuangbanna, Yunnan, China</t>
        </is>
      </c>
      <c r="G46" s="57" t="inlineStr">
        <is>
          <t>Purple Leaf Caturra</t>
        </is>
      </c>
      <c r="H46" s="57" t="inlineStr">
        <is>
          <t>Double Washed</t>
        </is>
      </c>
      <c r="I46" s="57" t="inlineStr">
        <is>
          <t>Light (Filter Roast)</t>
        </is>
      </c>
      <c r="J46" s="57" t="inlineStr">
        <is>
          <t>Pour-over (Hand Brew)</t>
        </is>
      </c>
      <c r="K46" s="57" t="n">
        <v>13</v>
      </c>
      <c r="L46" s="57" t="n">
        <v>215</v>
      </c>
      <c r="M46" s="57" t="inlineStr">
        <is>
          <t>1:16.5</t>
        </is>
      </c>
      <c r="N46" s="57" t="inlineStr">
        <is>
          <t>95</t>
        </is>
      </c>
      <c r="O46" s="57" t="inlineStr">
        <is>
          <t>4-pour progressive ~30s intervals; Bloom 30g; to 120g (+90g); to 180g (+60g); to 215g (+35g). Descending pour volumes confirmed by barista.</t>
        </is>
      </c>
      <c r="P46" s="57" t="inlineStr">
        <is>
          <t>Mahlkönig EK43</t>
        </is>
      </c>
      <c r="Q46" s="59" t="n">
        <v>9.5</v>
      </c>
      <c r="R46" s="57" t="inlineStr">
        <is>
          <t>Dried tangerine peel; red apple; pandan (origin card) / Dried orange peel; red apple; pandan (menu — discrepancy flagged)</t>
        </is>
      </c>
      <c r="S46" s="57" t="inlineStr">
        <is>
          <t>Bright vibrant opening (hot); crisp malic clarity; mellowed gracefully at cool with no dominant note; pandan as background aromatic binder; well-balanced; no bitterness; genuinely pleasant surprise for non-core-palate origin</t>
        </is>
      </c>
      <c r="T46" s="57" t="inlineStr">
        <is>
          <t>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is>
      </c>
      <c r="U46" s="57" t="inlineStr">
        <is>
          <t>Second visit to Apartment (Jalan Riang); Saturday 27 Jun 2026, 10:45am. Menu note: dried orange peel (menu) vs dried tangerine peel (origin card) — origin card used as authoritative. First Chinese-origin entry in archive (entry #36).</t>
        </is>
      </c>
      <c r="V46" s="57" t="inlineStr">
        <is>
          <t>Field audit (Claude)</t>
        </is>
      </c>
      <c r="W46" s="58">
        <f>IF(OR(ISNUMBER(SEARCH("gesha",G46)),ISNUMBER(SEARCH("geisha",G46))),"⭐ GESHA","")</f>
        <v/>
      </c>
      <c r="X46" s="57" t="inlineStr">
        <is>
          <t>Jln Riang, #15-9, Singapore 358987</t>
        </is>
      </c>
    </row>
    <row r="47" ht="108" customHeight="1" s="54">
      <c r="A47" s="56" t="n">
        <v>46201</v>
      </c>
      <c r="B47" s="57" t="inlineStr">
        <is>
          <t>Singapore</t>
        </is>
      </c>
      <c r="C47" s="57" t="inlineStr">
        <is>
          <t>KerYi Coffee</t>
        </is>
      </c>
      <c r="D47" s="57" t="inlineStr">
        <is>
          <t>Ethiopia Urabeast G1</t>
        </is>
      </c>
      <c r="E47" s="57" t="inlineStr">
        <is>
          <t>Unknown</t>
        </is>
      </c>
      <c r="F47" s="57" t="inlineStr">
        <is>
          <t>Uraga, Guji, Ethiopia</t>
        </is>
      </c>
      <c r="G47" s="57" t="inlineStr">
        <is>
          <t>74110 / 74112</t>
        </is>
      </c>
      <c r="H47" s="57" t="inlineStr">
        <is>
          <t>Mosto Fermentation</t>
        </is>
      </c>
      <c r="I47" s="57" t="inlineStr">
        <is>
          <t>Filter Roast</t>
        </is>
      </c>
      <c r="J47" s="57" t="inlineStr">
        <is>
          <t>Hario Switch (Immersion/Percolation Hybrid)</t>
        </is>
      </c>
      <c r="K47" s="57" t="n">
        <v>15</v>
      </c>
      <c r="L47" s="57" t="n">
        <v>210</v>
      </c>
      <c r="M47" s="57" t="inlineStr">
        <is>
          <t>1:14</t>
        </is>
      </c>
      <c r="N47" s="57" t="inlineStr">
        <is>
          <t>88 → 70</t>
        </is>
      </c>
      <c r="O47" s="57" t="inlineStr">
        <is>
          <t>Unknown</t>
        </is>
      </c>
      <c r="P47" s="57" t="inlineStr">
        <is>
          <t>Ditting 98mm flat burr</t>
        </is>
      </c>
      <c r="Q47" s="59" t="n">
        <v>13</v>
      </c>
      <c r="R47" s="57" t="inlineStr">
        <is>
          <t>Winey; Raspberry; Purple grapes</t>
        </is>
      </c>
      <c r="S47" s="57" t="inlineStr">
        <is>
          <t>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is>
      </c>
      <c r="T47" s="57" t="inlineStr">
        <is>
          <t>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is>
      </c>
      <c r="U47" s="57" t="inlineStr">
        <is>
          <t>Solo visit — 28 Jun 2026, 10:30AM. Keryi return visit (Entry #31 ref: Colombia Finca La Esmaralda). First mosto fermentation process in archive.</t>
        </is>
      </c>
      <c r="V47" s="57" t="inlineStr">
        <is>
          <t>Field audit (Claude) — direct barista confirmation</t>
        </is>
      </c>
      <c r="W47" s="58">
        <f>IF(OR(ISNUMBER(SEARCH("gesha",G47)),ISNUMBER(SEARCH("geisha",G47))),"⭐ GESHA","")</f>
        <v/>
      </c>
      <c r="X47" s="57" t="inlineStr">
        <is>
          <t>161 Lavender St, #01-08, Singapore 338750</t>
        </is>
      </c>
    </row>
    <row r="48" ht="78.75" customHeight="1" s="54">
      <c r="A48" s="56" t="n">
        <v>46201</v>
      </c>
      <c r="B48" s="57" t="inlineStr">
        <is>
          <t>Singapore</t>
        </is>
      </c>
      <c r="C48" s="57" t="inlineStr">
        <is>
          <t>Asylum Coffeehouse</t>
        </is>
      </c>
      <c r="D48" s="57" t="inlineStr">
        <is>
          <t>Yellow Sudan Rume</t>
        </is>
      </c>
      <c r="E48" s="57" t="inlineStr">
        <is>
          <t>Felipe Arcila - Jardines Del Eden</t>
        </is>
      </c>
      <c r="F48" s="57" t="inlineStr">
        <is>
          <t>Pijiao, Quindío, Colombia</t>
        </is>
      </c>
      <c r="G48" s="57" t="inlineStr">
        <is>
          <t>Sudan Rume (Yellow)</t>
        </is>
      </c>
      <c r="H48" s="57" t="inlineStr">
        <is>
          <t>Extended Fermentation Natural (EF2)</t>
        </is>
      </c>
      <c r="I48" s="57" t="inlineStr">
        <is>
          <t>Filter Roast</t>
        </is>
      </c>
      <c r="J48" s="57" t="inlineStr">
        <is>
          <t>April Brewer (Flat-Bottom)</t>
        </is>
      </c>
      <c r="K48" s="57" t="n">
        <v>15</v>
      </c>
      <c r="L48" s="57" t="n">
        <v>240</v>
      </c>
      <c r="M48" s="57" t="inlineStr">
        <is>
          <t>1:16</t>
        </is>
      </c>
      <c r="N48" s="57" t="inlineStr">
        <is>
          <t>90</t>
        </is>
      </c>
      <c r="O48" s="57" t="inlineStr">
        <is>
          <t>110g (first pour) → 240g (second pour)</t>
        </is>
      </c>
      <c r="P48" s="57" t="inlineStr">
        <is>
          <t>Option-O Lagom P64</t>
        </is>
      </c>
      <c r="Q48" s="59" t="n">
        <v>14</v>
      </c>
      <c r="R48" s="57" t="inlineStr">
        <is>
          <t>Lemongrass, Vanilla, Red Fruits, Brown Sugar</t>
        </is>
      </c>
      <c r="S48" s="57" t="inlineStr">
        <is>
          <t>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is>
      </c>
      <c r="T48" s="57" t="inlineStr">
        <is>
          <t>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is>
      </c>
      <c r="U48" s="57" t="inlineStr">
        <is>
          <t>Solo visit — 28 Jun 2026, 11:06AM. Second stop of dual-session day (Entry #37 Keryi Coffee mosto fermentation same morning). Receipt SGD 14.00 confirmed.</t>
        </is>
      </c>
      <c r="V48" s="57" t="inlineStr">
        <is>
          <t>Field audit (Claude) — bean card + receipt + hardware photos</t>
        </is>
      </c>
      <c r="W48" s="58">
        <f>IF(OR(ISNUMBER(SEARCH("gesha",G48)),ISNUMBER(SEARCH("geisha",G48))),"⭐ GESHA","")</f>
        <v/>
      </c>
      <c r="X48" s="57" t="inlineStr">
        <is>
          <t>311 Jln Besar, Singapore 208970</t>
        </is>
      </c>
    </row>
    <row r="49" ht="165.75" customHeight="1" s="54">
      <c r="A49" s="56" t="n">
        <v>46203</v>
      </c>
      <c r="B49" s="57" t="inlineStr">
        <is>
          <t>Singapore</t>
        </is>
      </c>
      <c r="C49" s="57" t="inlineStr">
        <is>
          <t>2050 Coffee</t>
        </is>
      </c>
      <c r="D49" s="57" t="inlineStr">
        <is>
          <t>Myanmar Arakan Mountain</t>
        </is>
      </c>
      <c r="E49" s="57" t="inlineStr">
        <is>
          <t>Asho Chin Coffee Association</t>
        </is>
      </c>
      <c r="F49" s="57" t="inlineStr">
        <is>
          <t>Magway, Myanmar</t>
        </is>
      </c>
      <c r="G49" s="57" t="inlineStr">
        <is>
          <t>Catimor</t>
        </is>
      </c>
      <c r="H49" s="57" t="inlineStr">
        <is>
          <t>Fully Washed &amp; Honey</t>
        </is>
      </c>
      <c r="I49" s="57" t="inlineStr">
        <is>
          <t>Light Roast</t>
        </is>
      </c>
      <c r="J49" s="57" t="inlineStr">
        <is>
          <t>Automated Tap Dispenser (Filter)</t>
        </is>
      </c>
      <c r="K49" s="57" t="inlineStr">
        <is>
          <t>N/A — batch-dispensed, no per-cup brew event</t>
        </is>
      </c>
      <c r="L49" s="57" t="inlineStr">
        <is>
          <t>N/A — batch-dispensed, no per-cup brew event</t>
        </is>
      </c>
      <c r="M49" s="57" t="inlineStr">
        <is>
          <t>N/A — batch-dispensed, no per-cup brew event</t>
        </is>
      </c>
      <c r="N49" s="57" t="inlineStr">
        <is>
          <t>N/A — batch-dispensed, no per-cup brew event</t>
        </is>
      </c>
      <c r="O49" s="57" t="inlineStr">
        <is>
          <t>Unknown</t>
        </is>
      </c>
      <c r="P49" s="57" t="inlineStr">
        <is>
          <t>N/A — batch-dispensed, no per-cup brew event</t>
        </is>
      </c>
      <c r="Q49" s="59" t="n">
        <v>6</v>
      </c>
      <c r="R49" s="57" t="inlineStr">
        <is>
          <t>Yellow Pear, Dried Fruits, Brown Sugar, Almond</t>
        </is>
      </c>
      <c r="S49" s="57" t="inlineStr">
        <is>
          <t>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is>
      </c>
      <c r="T49" s="57" t="inlineStr">
        <is>
          <t>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is>
      </c>
      <c r="U49" s="57" t="inlineStr">
        <is>
          <t>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is>
      </c>
      <c r="V49" s="57" t="inlineStr">
        <is>
          <t>Direct observation + bean card photo</t>
        </is>
      </c>
      <c r="W49" s="58">
        <f>IF(OR(ISNUMBER(SEARCH("gesha",G49)),ISNUMBER(SEARCH("geisha",G49))),"⭐ GESHA","")</f>
        <v/>
      </c>
      <c r="X49" s="57" t="inlineStr">
        <is>
          <t>267 Beach Rd, #01-01, Singapore 199545</t>
        </is>
      </c>
    </row>
    <row r="50" ht="49.5" customHeight="1" s="54">
      <c r="A50" s="56" t="n">
        <v>46204</v>
      </c>
      <c r="B50" s="57" t="inlineStr">
        <is>
          <t>Singapore</t>
        </is>
      </c>
      <c r="C50" s="57" t="inlineStr">
        <is>
          <t>Kyuukei Coffee</t>
        </is>
      </c>
      <c r="D50" s="57" t="inlineStr">
        <is>
          <t>Ethiopia Worka Chelchele</t>
        </is>
      </c>
      <c r="E50" s="57" t="inlineStr">
        <is>
          <t>Kyūkei Coffee (In-house roast) — confirmed via Instagram DM</t>
        </is>
      </c>
      <c r="F50" s="57" t="inlineStr">
        <is>
          <t>Gedeb, Gedeo Zone, Ethiopia</t>
        </is>
      </c>
      <c r="G50" s="57" t="inlineStr">
        <is>
          <t>Dega, Wolisho, Kurume (Landrace Triad)</t>
        </is>
      </c>
      <c r="H50" s="57" t="inlineStr">
        <is>
          <t>Washed</t>
        </is>
      </c>
      <c r="I50" s="57" t="inlineStr">
        <is>
          <t>Light</t>
        </is>
      </c>
      <c r="J50" s="57" t="inlineStr">
        <is>
          <t>Pour-over (Deep27, Flat-Bottom, Immersion-Assist) — confirmed by Kyūkei Coffee via Instagram DM</t>
        </is>
      </c>
      <c r="K50" s="57" t="n">
        <v>16</v>
      </c>
      <c r="L50" s="57" t="n">
        <v>240</v>
      </c>
      <c r="M50" s="57" t="inlineStr">
        <is>
          <t>1:15</t>
        </is>
      </c>
      <c r="N50" s="57" t="inlineStr">
        <is>
          <t>85 → 95 (ramped)</t>
        </is>
      </c>
      <c r="O50" s="57" t="inlineStr">
        <is>
          <t>30 seconds</t>
        </is>
      </c>
      <c r="P50" s="57" t="inlineStr">
        <is>
          <t>Unknown — Kyūkei DM did not address grinder; tall cylindrical flat-burr unit visible in bar photo, model unconfirmed</t>
        </is>
      </c>
      <c r="Q50" s="59" t="n">
        <v>9</v>
      </c>
      <c r="R50" s="57" t="inlineStr">
        <is>
          <t>Lemon, Peach, Bergamot, Apricot</t>
        </is>
      </c>
      <c r="S50" s="57" t="inlineStr">
        <is>
          <t>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is>
      </c>
      <c r="T50" s="57" t="inlineStr">
        <is>
          <t>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is>
      </c>
      <c r="U50" s="57" t="inlineStr">
        <is>
          <t>Solo visit — Kyūkei Coffee Maxwell lunch audit, 01 Jul 2026, 13:04</t>
        </is>
      </c>
      <c r="V50" s="57" t="inlineStr">
        <is>
          <t>Direct observation + receipt + barista confirmation</t>
        </is>
      </c>
      <c r="W50" s="58">
        <f>IF(OR(ISNUMBER(SEARCH("gesha",G50)),ISNUMBER(SEARCH("geisha",G50))),"⭐ GESHA","")</f>
        <v/>
      </c>
      <c r="X50" s="57" t="inlineStr">
        <is>
          <t>121 Bukit Merah Lane 1, #01-06, Singapore 150121</t>
        </is>
      </c>
    </row>
    <row r="51" ht="117.75" customHeight="1" s="54">
      <c r="A51" s="56" t="n">
        <v>46206</v>
      </c>
      <c r="B51" s="57" t="inlineStr">
        <is>
          <t>Singapore</t>
        </is>
      </c>
      <c r="C51" s="57" t="inlineStr">
        <is>
          <t>Zerah Roasters</t>
        </is>
      </c>
      <c r="D51" s="57" t="inlineStr">
        <is>
          <t>Finca Villarazo — Pink Bourbon</t>
        </is>
      </c>
      <c r="E51" s="57" t="inlineStr">
        <is>
          <t>Finca Villarazo</t>
        </is>
      </c>
      <c r="F51" s="57" t="inlineStr">
        <is>
          <t>Colombia</t>
        </is>
      </c>
      <c r="G51" s="57" t="inlineStr">
        <is>
          <t>Pink Bourbon</t>
        </is>
      </c>
      <c r="H51" s="57" t="inlineStr">
        <is>
          <t>Washed</t>
        </is>
      </c>
      <c r="I51" s="57" t="inlineStr">
        <is>
          <t>Filter Roast</t>
        </is>
      </c>
      <c r="J51" s="57" t="inlineStr">
        <is>
          <t>Pour-over (Orea V4 — Flat-Bottom)</t>
        </is>
      </c>
      <c r="K51" s="57" t="n">
        <v>15</v>
      </c>
      <c r="L51" s="57" t="n">
        <v>240</v>
      </c>
      <c r="M51" s="57" t="inlineStr">
        <is>
          <t>1:16</t>
        </is>
      </c>
      <c r="N51" s="57" t="inlineStr">
        <is>
          <t>92 (constant)</t>
        </is>
      </c>
      <c r="O51" s="57" t="inlineStr">
        <is>
          <t>50g / 40s (1:3.3 bloom ratio)</t>
        </is>
      </c>
      <c r="P51" s="57" t="inlineStr">
        <is>
          <t>DF83V (83mm Flat Burr)</t>
        </is>
      </c>
      <c r="Q51" s="59" t="n">
        <v>9</v>
      </c>
      <c r="R51" s="57" t="inlineStr">
        <is>
          <t>Lively and juicy; Pomegranate; Mandarin; Lingering Florals</t>
        </is>
      </c>
      <c r="S51" s="57" t="inlineStr">
        <is>
          <t>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is>
      </c>
      <c r="T51" s="57" t="inlineStr">
        <is>
          <t>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is>
      </c>
      <c r="U51" s="57" t="inlineStr">
        <is>
          <t>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is>
      </c>
      <c r="V51" s="57" t="inlineStr">
        <is>
          <t>Field audit (Claude) — bean card + barista confirmation</t>
        </is>
      </c>
      <c r="W51" s="58">
        <f>IF(OR(ISNUMBER(SEARCH("gesha",G51)),ISNUMBER(SEARCH("geisha",G51))),"⭐ GESHA","")</f>
        <v/>
      </c>
      <c r="X51" s="57" t="inlineStr">
        <is>
          <t>465 North Bridge Rd, #02-5063, Singapore 188720</t>
        </is>
      </c>
    </row>
    <row r="52" ht="88.5" customHeight="1" s="54">
      <c r="A52" s="56" t="n">
        <v>46207</v>
      </c>
      <c r="B52" s="57" t="inlineStr">
        <is>
          <t>Singapore</t>
        </is>
      </c>
      <c r="C52" s="57" t="inlineStr">
        <is>
          <t>Oaks Coffee Co.</t>
        </is>
      </c>
      <c r="D52" s="57" t="inlineStr">
        <is>
          <t>Floripondio 90 Hours</t>
        </is>
      </c>
      <c r="E52" s="57" t="inlineStr">
        <is>
          <t>Los Rodriguez</t>
        </is>
      </c>
      <c r="F52" s="57" t="inlineStr">
        <is>
          <t>Bolivia</t>
        </is>
      </c>
      <c r="G52" s="57" t="inlineStr">
        <is>
          <t>Pacamara</t>
        </is>
      </c>
      <c r="H52" s="57" t="inlineStr">
        <is>
          <t>Lactic Honey</t>
        </is>
      </c>
      <c r="I52" s="57" t="inlineStr">
        <is>
          <t>Filter Roast</t>
        </is>
      </c>
      <c r="J52" s="57" t="inlineStr">
        <is>
          <t>Origami Dripper (Flat-Bottom)</t>
        </is>
      </c>
      <c r="K52" s="57" t="n">
        <v>15</v>
      </c>
      <c r="L52" s="57" t="n">
        <v>240</v>
      </c>
      <c r="M52" s="57" t="inlineStr">
        <is>
          <t>1:16</t>
        </is>
      </c>
      <c r="N52" s="57" t="inlineStr">
        <is>
          <t>88 (constant)</t>
        </is>
      </c>
      <c r="O52" s="57" t="inlineStr">
        <is>
          <t>80-90g first pour (3-pour protocol)</t>
        </is>
      </c>
      <c r="P52" s="57" t="inlineStr">
        <is>
          <t>Option-O Lagom P80 (80mm Flat Burr)</t>
        </is>
      </c>
      <c r="Q52" s="59" t="n">
        <v>9</v>
      </c>
      <c r="R52" s="57" t="inlineStr">
        <is>
          <t>Mango; Passionfruit</t>
        </is>
      </c>
      <c r="S52" s="57" t="inlineStr">
        <is>
          <t>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is>
      </c>
      <c r="T52" s="57" t="inlineStr">
        <is>
          <t>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is>
      </c>
      <c r="U52" s="57" t="inlineStr">
        <is>
          <t>Solo visit — Oaks Coffee Co., Bukit Timah Road, 4 Jul 2026, 16:00. Café Day 4 of operations. Milestones: First Bolivia, First Pacamara, First Lactic Honey, First P80 platform. Barista warm and knowledgeable.</t>
        </is>
      </c>
      <c r="V52" s="57" t="inlineStr">
        <is>
          <t>Direct observation + bean card photo + barista confirmation</t>
        </is>
      </c>
      <c r="W52" s="58">
        <f>IF(OR(ISNUMBER(SEARCH("gesha",G52)),ISNUMBER(SEARCH("geisha",G52))),"⭐ GESHA","")</f>
        <v/>
      </c>
      <c r="X52" s="57" t="inlineStr">
        <is>
          <t>223 Upper Thomson Rd, Singapore 574355</t>
        </is>
      </c>
    </row>
    <row r="53" ht="117.75" customHeight="1" s="54">
      <c r="A53" s="56" t="n">
        <v>46208</v>
      </c>
      <c r="B53" s="57" t="inlineStr">
        <is>
          <t>Singapore</t>
        </is>
      </c>
      <c r="C53" s="57" t="inlineStr">
        <is>
          <t>Homeground Coffee Roasters</t>
        </is>
      </c>
      <c r="D53" s="57" t="inlineStr">
        <is>
          <t>Colombia Inmaculada Gesha Natural</t>
        </is>
      </c>
      <c r="E53" s="57" t="inlineStr">
        <is>
          <t>Inmaculada Estate</t>
        </is>
      </c>
      <c r="F53" s="57" t="inlineStr">
        <is>
          <t>Valle del Cauca, Colombia</t>
        </is>
      </c>
      <c r="G53" s="57" t="inlineStr">
        <is>
          <t>Gesha</t>
        </is>
      </c>
      <c r="H53" s="57" t="inlineStr">
        <is>
          <t>Natural</t>
        </is>
      </c>
      <c r="I53" s="57" t="inlineStr">
        <is>
          <t>Light</t>
        </is>
      </c>
      <c r="J53" s="57" t="inlineStr">
        <is>
          <t>Origami Dripper (Ceramic — Flat-Bottom Stand)</t>
        </is>
      </c>
      <c r="K53" s="57" t="n">
        <v>15</v>
      </c>
      <c r="L53" s="57" t="n">
        <v>247</v>
      </c>
      <c r="M53" s="57" t="inlineStr">
        <is>
          <t>1:16.5</t>
        </is>
      </c>
      <c r="N53" s="57" t="inlineStr">
        <is>
          <t>86-90</t>
        </is>
      </c>
      <c r="O53" s="57" t="inlineStr">
        <is>
          <t>Unknown</t>
        </is>
      </c>
      <c r="P53" s="57" t="inlineStr">
        <is>
          <t>Mahlkönig EK43 (98mm Flat Burr)</t>
        </is>
      </c>
      <c r="Q53" s="59" t="n">
        <v>19</v>
      </c>
      <c r="R53" s="57" t="inlineStr">
        <is>
          <t>Hibiscus, Pomegranate, Stewed Peach, Darjeeling Tea</t>
        </is>
      </c>
      <c r="S53" s="57" t="inlineStr">
        <is>
          <t>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is>
      </c>
      <c r="T53" s="57" t="inlineStr">
        <is>
          <t>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is>
      </c>
      <c r="U53" s="57" t="inlineStr">
        <is>
          <t>Father-daughter visit — Homeground Coffee Roasters Bukit Timah Experience Room; 5 Jul 2026 10:30 AM</t>
        </is>
      </c>
      <c r="V53" s="57" t="inlineStr">
        <is>
          <t>Field audit (Claude) — bean card + barista confirmed + direct observation</t>
        </is>
      </c>
      <c r="W53" s="58">
        <f>IF(OR(ISNUMBER(SEARCH("gesha",G53)),ISNUMBER(SEARCH("geisha",G53))),"⭐ GESHA","")</f>
        <v/>
      </c>
      <c r="X53" s="57" t="inlineStr">
        <is>
          <t>911 Bukit Timah Rd, Singapore 589622</t>
        </is>
      </c>
    </row>
    <row r="54" ht="88.5" customHeight="1" s="54">
      <c r="A54" s="56" t="n">
        <v>46208</v>
      </c>
      <c r="B54" s="57" t="inlineStr">
        <is>
          <t>Singapore</t>
        </is>
      </c>
      <c r="C54" s="57" t="inlineStr">
        <is>
          <t>Homeground Coffee Roasters</t>
        </is>
      </c>
      <c r="D54" s="57" t="inlineStr">
        <is>
          <t>Bolivia Los Rodriguez Caturra Washed</t>
        </is>
      </c>
      <c r="E54" s="57" t="inlineStr">
        <is>
          <t>Los Rodriguez</t>
        </is>
      </c>
      <c r="F54" s="57" t="inlineStr">
        <is>
          <t>Samaipata, Bolivia</t>
        </is>
      </c>
      <c r="G54" s="57" t="inlineStr">
        <is>
          <t>Caturra</t>
        </is>
      </c>
      <c r="H54" s="57" t="inlineStr">
        <is>
          <t>Washed</t>
        </is>
      </c>
      <c r="I54" s="57" t="inlineStr">
        <is>
          <t>Light</t>
        </is>
      </c>
      <c r="J54" s="57" t="inlineStr">
        <is>
          <t>Origami Dripper (Ceramic — Flat-Bottom Stand)</t>
        </is>
      </c>
      <c r="K54" s="57" t="n">
        <v>15</v>
      </c>
      <c r="L54" s="57" t="n">
        <v>244</v>
      </c>
      <c r="M54" s="57" t="inlineStr">
        <is>
          <t>1:16.2</t>
        </is>
      </c>
      <c r="N54" s="57" t="inlineStr">
        <is>
          <t>90-93</t>
        </is>
      </c>
      <c r="O54" s="57" t="inlineStr">
        <is>
          <t>Unknown</t>
        </is>
      </c>
      <c r="P54" s="57" t="inlineStr">
        <is>
          <t>Mahlkönig EK43 (98mm Flat Burr)</t>
        </is>
      </c>
      <c r="Q54" s="59" t="n">
        <v>10</v>
      </c>
      <c r="R54" s="57" t="inlineStr">
        <is>
          <t>Apricot, Apple, Honey</t>
        </is>
      </c>
      <c r="S54" s="57" t="inlineStr">
        <is>
          <t>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is>
      </c>
      <c r="T54" s="57" t="inlineStr">
        <is>
          <t>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is>
      </c>
      <c r="U54" s="57" t="inlineStr">
        <is>
          <t>Father-daughter visit — Homeground Coffee Roasters Bukit Timah Experience Room; 5 Jul 2026 10:30 AM; Aanya's cup</t>
        </is>
      </c>
      <c r="V54" s="57" t="inlineStr">
        <is>
          <t>Field audit (Claude) — bean card confirmed + direct observation</t>
        </is>
      </c>
      <c r="W54" s="58">
        <f>IF(OR(ISNUMBER(SEARCH("gesha",G54)),ISNUMBER(SEARCH("geisha",G54))),"⭐ GESHA","")</f>
        <v/>
      </c>
      <c r="X54" s="57" t="inlineStr">
        <is>
          <t>911 Bukit Timah Rd, Singapore 589622</t>
        </is>
      </c>
    </row>
    <row r="55" ht="88.5" customHeight="1" s="54">
      <c r="A55" s="56" t="n">
        <v>46208</v>
      </c>
      <c r="B55" s="57" t="inlineStr">
        <is>
          <t>Singapore</t>
        </is>
      </c>
      <c r="C55" s="57" t="inlineStr">
        <is>
          <t>Cowpresso Coffee Roasters</t>
        </is>
      </c>
      <c r="D55" s="57" t="inlineStr">
        <is>
          <t>Geisha Colombia Las Nubes</t>
        </is>
      </c>
      <c r="E55" s="57" t="inlineStr">
        <is>
          <t>Unknown</t>
        </is>
      </c>
      <c r="F55" s="57" t="inlineStr">
        <is>
          <t>Valle de Cauca, Colombia</t>
        </is>
      </c>
      <c r="G55" s="57" t="inlineStr">
        <is>
          <t>Geisha</t>
        </is>
      </c>
      <c r="H55" s="57" t="inlineStr">
        <is>
          <t>Natural</t>
        </is>
      </c>
      <c r="I55" s="57" t="inlineStr">
        <is>
          <t>Medium</t>
        </is>
      </c>
      <c r="J55" s="57" t="inlineStr">
        <is>
          <t>Pour-over (Cowpresso Custom 3-Hole Ceramic Dripper — Conical)</t>
        </is>
      </c>
      <c r="K55" s="57" t="n">
        <v>15</v>
      </c>
      <c r="L55" s="57" t="n">
        <v>225</v>
      </c>
      <c r="M55" s="57" t="inlineStr">
        <is>
          <t>1:15</t>
        </is>
      </c>
      <c r="N55" s="57" t="inlineStr">
        <is>
          <t>92</t>
        </is>
      </c>
      <c r="O55" s="57" t="inlineStr">
        <is>
          <t>Unknown</t>
        </is>
      </c>
      <c r="P55" s="57" t="inlineStr">
        <is>
          <t>DF83 (83mm Flat Burr) — barista confirmed</t>
        </is>
      </c>
      <c r="Q55" s="59" t="n">
        <v>9.9</v>
      </c>
      <c r="R55" s="57" t="inlineStr">
        <is>
          <t>Lychee, Strawberry, Blueberry, Floral, Lemons</t>
        </is>
      </c>
      <c r="S55" s="57" t="inlineStr">
        <is>
          <t>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is>
      </c>
      <c r="T55" s="57" t="inlineStr">
        <is>
          <t>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is>
      </c>
      <c r="U55" s="57" t="inlineStr">
        <is>
          <t>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is>
      </c>
      <c r="V55" s="57" t="inlineStr">
        <is>
          <t>Direct observation + bean bag photo + receipt + barista confirmation (Aung)</t>
        </is>
      </c>
      <c r="W55" s="58">
        <f>IF(OR(ISNUMBER(SEARCH("gesha",G55)),ISNUMBER(SEARCH("geisha",G55))),"⭐ GESHA","")</f>
        <v/>
      </c>
      <c r="X55" s="57" t="inlineStr">
        <is>
          <t>21 Lor Kilat, #01-07, Singapore 598123</t>
        </is>
      </c>
    </row>
    <row r="56" ht="108" customHeight="1" s="54">
      <c r="A56" s="56" t="n">
        <v>46209</v>
      </c>
      <c r="B56" s="57" t="inlineStr">
        <is>
          <t>Singapore</t>
        </is>
      </c>
      <c r="C56" s="57" t="inlineStr">
        <is>
          <t>Fluid Collective</t>
        </is>
      </c>
      <c r="D56" s="57" t="inlineStr">
        <is>
          <t>Alo Coffee — Natural Anaerobic Ethiopia 74158</t>
        </is>
      </c>
      <c r="E56" s="57" t="inlineStr">
        <is>
          <t>Tamiru Tadesse</t>
        </is>
      </c>
      <c r="F56" s="57" t="inlineStr">
        <is>
          <t>Ethiopia</t>
        </is>
      </c>
      <c r="G56" s="57" t="inlineStr">
        <is>
          <t>74158</t>
        </is>
      </c>
      <c r="H56" s="57" t="inlineStr">
        <is>
          <t>Natural Anaerobic</t>
        </is>
      </c>
      <c r="I56" s="57" t="inlineStr">
        <is>
          <t>Light</t>
        </is>
      </c>
      <c r="J56" s="57" t="inlineStr">
        <is>
          <t>Hario Switch (Flat-Bottom Immersion Hybrid)</t>
        </is>
      </c>
      <c r="K56" s="57" t="n">
        <v>15</v>
      </c>
      <c r="L56" s="57" t="n">
        <v>225</v>
      </c>
      <c r="M56" s="57" t="inlineStr">
        <is>
          <t>1:15</t>
        </is>
      </c>
      <c r="N56" s="57" t="inlineStr">
        <is>
          <t>70 → 90 → 70°C (Thermal Oscillation Protocol)</t>
        </is>
      </c>
      <c r="O56" s="57" t="inlineStr">
        <is>
          <t>Unknown</t>
        </is>
      </c>
      <c r="P56" s="57" t="inlineStr">
        <is>
          <t>Lagom P64</t>
        </is>
      </c>
      <c r="Q56" s="59" t="n">
        <v>11</v>
      </c>
      <c r="R56" s="57" t="inlineStr">
        <is>
          <t>Lychee | Purple Grape | White Peach</t>
        </is>
      </c>
      <c r="S56" s="57" t="inlineStr">
        <is>
          <t>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is>
      </c>
      <c r="T56" s="57" t="inlineStr">
        <is>
          <t>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is>
      </c>
      <c r="U56" s="57" t="inlineStr">
        <is>
          <t>Third visit to Fluid Collective, 6 July 2026, 13:10, lunch. Menu fully rotated — all three filter offerings new. First cup of two ordered today. Experimental mood — chose anaerobic. Barista confirmed: ratio 1:15, temp 70→90→70°C, standard Fluid protocol.</t>
        </is>
      </c>
      <c r="V56" s="57" t="inlineStr">
        <is>
          <t>Live Field Audit — Third Visit</t>
        </is>
      </c>
      <c r="W56" s="58">
        <f>IF(OR(ISNUMBER(SEARCH("gesha",G56)),ISNUMBER(SEARCH("geisha",G56))),"⭐ GESHA","")</f>
        <v/>
      </c>
      <c r="X56" s="57" t="inlineStr">
        <is>
          <t>24 Opal Cres, Singapore 328418</t>
        </is>
      </c>
    </row>
    <row r="57" ht="108" customHeight="1" s="54">
      <c r="A57" s="56" t="n">
        <v>46209</v>
      </c>
      <c r="B57" s="57" t="inlineStr">
        <is>
          <t>Singapore</t>
        </is>
      </c>
      <c r="C57" s="57" t="inlineStr">
        <is>
          <t>Fluid Collective</t>
        </is>
      </c>
      <c r="D57" s="57" t="inlineStr">
        <is>
          <t>Gara Agena</t>
        </is>
      </c>
      <c r="E57" s="57" t="inlineStr">
        <is>
          <t>Gara Agena Washing Station</t>
        </is>
      </c>
      <c r="F57" s="57" t="inlineStr">
        <is>
          <t>Ethiopia</t>
        </is>
      </c>
      <c r="G57" s="57" t="inlineStr">
        <is>
          <t>Heirloom Ethiopian Varieties</t>
        </is>
      </c>
      <c r="H57" s="57" t="inlineStr">
        <is>
          <t>Washed Special Prep</t>
        </is>
      </c>
      <c r="I57" s="57" t="inlineStr">
        <is>
          <t>Light</t>
        </is>
      </c>
      <c r="J57" s="57" t="inlineStr">
        <is>
          <t>Hario Switch (Flat-Bottom Immersion Hybrid)</t>
        </is>
      </c>
      <c r="K57" s="57" t="n">
        <v>15</v>
      </c>
      <c r="L57" s="57" t="n">
        <v>225</v>
      </c>
      <c r="M57" s="57" t="inlineStr">
        <is>
          <t>1:15</t>
        </is>
      </c>
      <c r="N57" s="57" t="inlineStr">
        <is>
          <t>70 → 90 → 70°C (Thermal Oscillation Protocol)</t>
        </is>
      </c>
      <c r="O57" s="57" t="inlineStr">
        <is>
          <t>Unknown</t>
        </is>
      </c>
      <c r="P57" s="57" t="inlineStr">
        <is>
          <t>Lagom P64</t>
        </is>
      </c>
      <c r="Q57" s="59" t="n">
        <v>9</v>
      </c>
      <c r="R57" s="57" t="inlineStr">
        <is>
          <t>Nectarine | Mandarin Orange | Floral Honey</t>
        </is>
      </c>
      <c r="S57" s="57" t="inlineStr">
        <is>
          <t>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is>
      </c>
      <c r="T57" s="57" t="inlineStr">
        <is>
          <t>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is>
      </c>
      <c r="U57" s="57" t="inlineStr">
        <is>
          <t>Second cup of two at Fluid Collective third visit, 6 July 2026. Followed Alo Coffee Natural Anaerobic — deliberate contrast pairing. Gara Agena placed top of personal preference list by Hari. SGD 9 — outstanding value for Special Prep Ethiopian heirloom.</t>
        </is>
      </c>
      <c r="V57" s="57" t="inlineStr">
        <is>
          <t>Live Field Audit — Third Visit</t>
        </is>
      </c>
      <c r="W57" s="58">
        <f>IF(OR(ISNUMBER(SEARCH("gesha",G57)),ISNUMBER(SEARCH("geisha",G57))),"⭐ GESHA","")</f>
        <v/>
      </c>
      <c r="X57" s="57" t="inlineStr">
        <is>
          <t>24 Opal Cres, Singapore 328418</t>
        </is>
      </c>
    </row>
    <row r="58" ht="78.75" customHeight="1" s="54">
      <c r="A58" s="56" t="n">
        <v>46210</v>
      </c>
      <c r="B58" s="57" t="inlineStr">
        <is>
          <t>Singapore</t>
        </is>
      </c>
      <c r="C58" s="57" t="inlineStr">
        <is>
          <t>Pinhole Coffee Bar</t>
        </is>
      </c>
      <c r="D58" s="57" t="inlineStr">
        <is>
          <t>Santa Barbara #1 — Gesha Honey Colombia</t>
        </is>
      </c>
      <c r="E58" s="57" t="inlineStr">
        <is>
          <t>Jhon Samboni — Santa Barbara #1</t>
        </is>
      </c>
      <c r="F58" s="57" t="inlineStr">
        <is>
          <t>Colombia — Huila</t>
        </is>
      </c>
      <c r="G58" s="57" t="inlineStr">
        <is>
          <t>Gesha</t>
        </is>
      </c>
      <c r="H58" s="57" t="inlineStr">
        <is>
          <t>Honey</t>
        </is>
      </c>
      <c r="I58" s="57" t="inlineStr">
        <is>
          <t>Light</t>
        </is>
      </c>
      <c r="J58" s="57" t="inlineStr">
        <is>
          <t>Hario V60 Ceramic (Conical — Single Aperture)</t>
        </is>
      </c>
      <c r="K58" s="57" t="n">
        <v>13.5</v>
      </c>
      <c r="L58" s="57" t="n">
        <v>200</v>
      </c>
      <c r="M58" s="57" t="inlineStr">
        <is>
          <t>1:14.8</t>
        </is>
      </c>
      <c r="N58" s="57" t="inlineStr">
        <is>
          <t>92°C (Constant)</t>
        </is>
      </c>
      <c r="O58" s="57" t="inlineStr">
        <is>
          <t>52g (3.85× dose)</t>
        </is>
      </c>
      <c r="P58" s="57" t="inlineStr">
        <is>
          <t>Mahlkönig EK43 Mini (64mm Flat Burr)</t>
        </is>
      </c>
      <c r="Q58" s="59" t="n">
        <v>15</v>
      </c>
      <c r="R58" s="57" t="inlineStr">
        <is>
          <t>White Florals, Berry Candy, Tangerines</t>
        </is>
      </c>
      <c r="S58" s="57" t="inlineStr">
        <is>
          <t>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is>
      </c>
      <c r="T58" s="57" t="inlineStr">
        <is>
          <t>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is>
      </c>
      <c r="U58" s="57" t="inlineStr">
        <is>
          <t>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is>
      </c>
      <c r="V58" s="57" t="inlineStr">
        <is>
          <t>Live Field Audit — Café Debut + Bean Card (Slurp Coffee Project) + Barista Confirmation (dose/temp/pour protocol)</t>
        </is>
      </c>
      <c r="W58" s="58">
        <f>IF(OR(ISNUMBER(SEARCH("gesha",G58)),ISNUMBER(SEARCH("geisha",G58))),"⭐ GESHA","")</f>
        <v/>
      </c>
      <c r="X58" s="57" t="inlineStr">
        <is>
          <t>27 Purvis St, #01-02, Singapore 188604</t>
        </is>
      </c>
    </row>
    <row r="59" ht="127.5" customHeight="1" s="54">
      <c r="A59" s="56" t="n">
        <v>46211</v>
      </c>
      <c r="B59" s="57" t="inlineStr">
        <is>
          <t>Singapore</t>
        </is>
      </c>
      <c r="C59" s="57" t="inlineStr">
        <is>
          <t>Double Shot Coffee</t>
        </is>
      </c>
      <c r="D59" s="57" t="inlineStr">
        <is>
          <t>Kotowa Carolina Gesha</t>
        </is>
      </c>
      <c r="E59" s="57" t="inlineStr">
        <is>
          <t>Kotowa Estate — Carolina Lot</t>
        </is>
      </c>
      <c r="F59" s="57" t="inlineStr">
        <is>
          <t>Boquete, Chiriquí, Panama</t>
        </is>
      </c>
      <c r="G59" s="57" t="inlineStr">
        <is>
          <t>Gesha</t>
        </is>
      </c>
      <c r="H59" s="57" t="inlineStr">
        <is>
          <t>Natural</t>
        </is>
      </c>
      <c r="I59" s="57" t="inlineStr">
        <is>
          <t>Unknown</t>
        </is>
      </c>
      <c r="J59" s="57" t="inlineStr">
        <is>
          <t>OREA V4 (Flat-Bottom)</t>
        </is>
      </c>
      <c r="K59" s="57" t="n">
        <v>13.5</v>
      </c>
      <c r="L59" s="57" t="n">
        <v>180</v>
      </c>
      <c r="M59" s="57" t="inlineStr">
        <is>
          <t>1:13.3</t>
        </is>
      </c>
      <c r="N59" s="57" t="inlineStr">
        <is>
          <t>92°C</t>
        </is>
      </c>
      <c r="O59" s="57" t="inlineStr">
        <is>
          <t>50g bloom (4-pour: 50/50/50/30g)</t>
        </is>
      </c>
      <c r="P59" s="57" t="inlineStr">
        <is>
          <t>Ditting 63.5mm Flat Burr</t>
        </is>
      </c>
      <c r="Q59" s="59" t="n">
        <v>16</v>
      </c>
      <c r="R59" s="57" t="inlineStr">
        <is>
          <t>White Floral · Peach · White Grape</t>
        </is>
      </c>
      <c r="S59" s="57" t="inlineStr">
        <is>
          <t>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is>
      </c>
      <c r="T59" s="57" t="inlineStr">
        <is>
          <t>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is>
      </c>
      <c r="U59" s="57" t="inlineStr">
        <is>
          <t>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is>
      </c>
      <c r="V59" s="57" t="inlineStr">
        <is>
          <t>Live Field Audit — Menu photo + barista interview + direct observation (Ditting grinder confirmed, OREA V4 confirmed)</t>
        </is>
      </c>
      <c r="W59" s="58">
        <f>IF(OR(ISNUMBER(SEARCH("gesha",G59)),ISNUMBER(SEARCH("geisha",G59))),"⭐ GESHA","")</f>
        <v/>
      </c>
      <c r="X59" s="57" t="inlineStr">
        <is>
          <t>19 Kampong Bahru Rd, L1, Singapore 169348</t>
        </is>
      </c>
    </row>
    <row r="60" ht="59.25" customHeight="1" s="54">
      <c r="A60" s="56" t="n">
        <v>46211</v>
      </c>
      <c r="B60" s="57" t="inlineStr">
        <is>
          <t>Singapore</t>
        </is>
      </c>
      <c r="C60" s="57" t="inlineStr">
        <is>
          <t>Nylon Coffee Roasters</t>
        </is>
      </c>
      <c r="D60" s="57" t="inlineStr">
        <is>
          <t>La Flor de la Palma</t>
        </is>
      </c>
      <c r="E60" s="57" t="inlineStr">
        <is>
          <t>William Manchay Espinoza</t>
        </is>
      </c>
      <c r="F60" s="57" t="inlineStr">
        <is>
          <t>Peru</t>
        </is>
      </c>
      <c r="G60" s="57" t="inlineStr">
        <is>
          <t>Bourbon</t>
        </is>
      </c>
      <c r="H60" s="57" t="inlineStr">
        <is>
          <t>Natural</t>
        </is>
      </c>
      <c r="I60" s="57" t="inlineStr">
        <is>
          <t>Filter Roast</t>
        </is>
      </c>
      <c r="J60" s="57" t="inlineStr">
        <is>
          <t>xBloom (Flat-Bottom)</t>
        </is>
      </c>
      <c r="K60" s="57" t="inlineStr">
        <is>
          <t>Unknown</t>
        </is>
      </c>
      <c r="L60" s="57" t="inlineStr">
        <is>
          <t>Unknown</t>
        </is>
      </c>
      <c r="M60" s="57" t="inlineStr">
        <is>
          <t>1:17</t>
        </is>
      </c>
      <c r="N60" s="57" t="inlineStr">
        <is>
          <t>93</t>
        </is>
      </c>
      <c r="O60" s="57" t="inlineStr">
        <is>
          <t>Unknown</t>
        </is>
      </c>
      <c r="P60" s="57" t="inlineStr">
        <is>
          <t>Mahlkönig EK Omnia (98mm Flat Burr)</t>
        </is>
      </c>
      <c r="Q60" s="59" t="n">
        <v>8.5</v>
      </c>
      <c r="R60" s="57" t="inlineStr">
        <is>
          <t>Dried Berry; Cherry; Rum &amp; Raisin; Rose</t>
        </is>
      </c>
      <c r="S60" s="57" t="inlineStr">
        <is>
          <t>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is>
      </c>
      <c r="T60" s="57" t="inlineStr">
        <is>
          <t>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is>
      </c>
      <c r="U60" s="57" t="inlineStr">
        <is>
          <t>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is>
      </c>
      <c r="V60" s="57" t="inlineStr">
        <is>
          <t>Direct observation + bag photo (name/notes reference only) + barista confirmation (roast date 26 Jun 2026)</t>
        </is>
      </c>
      <c r="W60" s="58">
        <f>IF(OR(ISNUMBER(SEARCH("gesha",G60)),ISNUMBER(SEARCH("geisha",G60))),"⭐ GESHA","")</f>
        <v/>
      </c>
      <c r="X60" s="57" t="inlineStr">
        <is>
          <t>4 Everton Park, #01-40, Singapore 080004</t>
        </is>
      </c>
    </row>
    <row r="61" ht="175.5" customHeight="1" s="54">
      <c r="A61" s="56" t="n">
        <v>46212</v>
      </c>
      <c r="B61" s="57" t="inlineStr">
        <is>
          <t>Singapore</t>
        </is>
      </c>
      <c r="C61" s="57" t="inlineStr">
        <is>
          <t>Abseil</t>
        </is>
      </c>
      <c r="D61" s="57" t="inlineStr">
        <is>
          <t>El Sauce Gesha</t>
        </is>
      </c>
      <c r="E61" s="57" t="inlineStr">
        <is>
          <t>El Sauce Farm</t>
        </is>
      </c>
      <c r="F61" s="57" t="inlineStr">
        <is>
          <t>Colombia</t>
        </is>
      </c>
      <c r="G61" s="57" t="inlineStr">
        <is>
          <t>Gesha</t>
        </is>
      </c>
      <c r="H61" s="57" t="inlineStr">
        <is>
          <t>Washed</t>
        </is>
      </c>
      <c r="I61" s="57" t="inlineStr">
        <is>
          <t>Light</t>
        </is>
      </c>
      <c r="J61" s="57" t="inlineStr">
        <is>
          <t>CT62 Coffee Dripper (Taster's Coffee / DragonFly Design, Taiwan — Engineered Conical, 62° Cone, 24-Groove Active Flow Compensation)</t>
        </is>
      </c>
      <c r="K61" s="57" t="n">
        <v>15</v>
      </c>
      <c r="L61" s="57" t="n">
        <v>232</v>
      </c>
      <c r="M61" s="57" t="inlineStr">
        <is>
          <t>1:15.5</t>
        </is>
      </c>
      <c r="N61" s="57" t="inlineStr">
        <is>
          <t>91°C (Constant throughout)</t>
        </is>
      </c>
      <c r="O61" s="57" t="inlineStr">
        <is>
          <t>80g (~5.3× dose) — Aggressive CO₂ purge bloom</t>
        </is>
      </c>
      <c r="P61" s="57" t="inlineStr">
        <is>
          <t>Option-O Lagom P64 (64mm Flat Burr)</t>
        </is>
      </c>
      <c r="Q61" s="59" t="n">
        <v>21</v>
      </c>
      <c r="R61" s="57" t="inlineStr">
        <is>
          <t>Gardenia · Mandarin · Dried Apricot · Green Tea · Honeysuckle</t>
        </is>
      </c>
      <c r="S61" s="57" t="inlineStr">
        <is>
          <t>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is>
      </c>
      <c r="T61" s="57" t="inlineStr">
        <is>
          <t>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is>
      </c>
      <c r="U61" s="57" t="inlineStr">
        <is>
          <t>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is>
      </c>
      <c r="V61" s="57" t="inlineStr">
        <is>
          <t>Live Field Audit — menu photo + equipment photos + barista confirmation (Glenda) + CT62 product research (tasterscoffee.com)</t>
        </is>
      </c>
      <c r="W61" s="58">
        <f>IF(OR(ISNUMBER(SEARCH("gesha",G61)),ISNUMBER(SEARCH("geisha",G61))),"⭐ GESHA","")</f>
        <v/>
      </c>
      <c r="X61" s="57" t="inlineStr">
        <is>
          <t>70 Shenton Way, #01-14 Eon Shenton, Singapore 079118</t>
        </is>
      </c>
    </row>
    <row r="62" ht="59.7" customHeight="1" s="54">
      <c r="A62" s="56" t="n">
        <v>46213</v>
      </c>
      <c r="B62" s="57" t="inlineStr">
        <is>
          <t>Singapore</t>
        </is>
      </c>
      <c r="C62" s="57" t="inlineStr">
        <is>
          <t>Oaks Coffee Co.</t>
        </is>
      </c>
      <c r="D62" s="57" t="inlineStr">
        <is>
          <t>Finca El Diviso</t>
        </is>
      </c>
      <c r="E62" s="57" t="inlineStr">
        <is>
          <t>Nestor Lasso</t>
        </is>
      </c>
      <c r="F62" s="57" t="inlineStr">
        <is>
          <t>Colombia</t>
        </is>
      </c>
      <c r="G62" s="57" t="inlineStr">
        <is>
          <t>Aji Bourbon</t>
        </is>
      </c>
      <c r="H62" s="57" t="inlineStr">
        <is>
          <t>Thermal Shock Anaerobic Natural</t>
        </is>
      </c>
      <c r="I62" s="57" t="inlineStr">
        <is>
          <t>Filter Roast</t>
        </is>
      </c>
      <c r="J62" s="57" t="inlineStr">
        <is>
          <t>Origami Dripper (Flat-Bottom)</t>
        </is>
      </c>
      <c r="K62" s="57" t="inlineStr">
        <is>
          <t>Unknown</t>
        </is>
      </c>
      <c r="L62" s="57" t="inlineStr">
        <is>
          <t>Unknown</t>
        </is>
      </c>
      <c r="M62" s="57" t="inlineStr">
        <is>
          <t>Unknown</t>
        </is>
      </c>
      <c r="N62" s="57" t="inlineStr">
        <is>
          <t>Unknown</t>
        </is>
      </c>
      <c r="O62" s="57" t="inlineStr">
        <is>
          <t>Unknown</t>
        </is>
      </c>
      <c r="P62" s="57" t="inlineStr">
        <is>
          <t>Option-O Lagom P80 (80mm Flat Burr — assumed)</t>
        </is>
      </c>
      <c r="Q62" s="59" t="n">
        <v>9</v>
      </c>
      <c r="R62" s="57" t="inlineStr">
        <is>
          <t>Lychee; Blueberry Jam; Cranberry</t>
        </is>
      </c>
      <c r="S62" s="57" t="inlineStr">
        <is>
          <t>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is>
      </c>
      <c r="T62" s="57" t="inlineStr">
        <is>
          <t>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is>
      </c>
      <c r="U62" s="57" t="inlineStr">
        <is>
          <t>With friend Alex — Oaks Coffee Co., Bukit Timah Road, 10 Jul 2026, 16:30, before Homeground mock-judge session. Second Oaks visit. Milestones: First Thermal Shock Anaerobic Natural, First Aji Bourbon, First Finca El Diviso (Nestor Lasso).</t>
        </is>
      </c>
      <c r="V62" s="57" t="inlineStr">
        <is>
          <t>Direct observation + bean card photo</t>
        </is>
      </c>
      <c r="W62" s="58">
        <f>IF(OR(ISNUMBER(SEARCH("gesha",G62)),ISNUMBER(SEARCH("geisha",G62))),"⭐ GESHA","")</f>
        <v/>
      </c>
      <c r="X62" s="57" t="inlineStr">
        <is>
          <t>223 Upper Thomson Rd, Singapore 574355</t>
        </is>
      </c>
    </row>
    <row r="63" ht="176.1" customHeight="1" s="54">
      <c r="A63" s="61" t="n">
        <v>46214</v>
      </c>
      <c r="B63" s="62" t="inlineStr">
        <is>
          <t>Singapore</t>
        </is>
      </c>
      <c r="C63" s="62" t="inlineStr">
        <is>
          <t>Pour.traits Roasters</t>
        </is>
      </c>
      <c r="D63" s="62" t="inlineStr">
        <is>
          <t>Thailand Sirinya Geisha Amarone</t>
        </is>
      </c>
      <c r="E63" s="62" t="inlineStr">
        <is>
          <t>Sirinya Farm</t>
        </is>
      </c>
      <c r="F63" s="62" t="inlineStr">
        <is>
          <t>Chiang Rai, Thailand</t>
        </is>
      </c>
      <c r="G63" s="62" t="inlineStr">
        <is>
          <t>Geisha</t>
        </is>
      </c>
      <c r="H63" s="62" t="inlineStr">
        <is>
          <t>Anaerobic Natural</t>
        </is>
      </c>
      <c r="I63" s="62" t="inlineStr">
        <is>
          <t>Filter Roast</t>
        </is>
      </c>
      <c r="J63" s="62" t="inlineStr">
        <is>
          <t>Solo Dripper by Mazelab (Flat-Bottom, 40° angle, Wave 155 filter)</t>
        </is>
      </c>
      <c r="K63" s="62" t="n">
        <v>15</v>
      </c>
      <c r="L63" s="62" t="n">
        <v>225</v>
      </c>
      <c r="M63" s="62" t="inlineStr">
        <is>
          <t>1:15</t>
        </is>
      </c>
      <c r="N63" s="62" t="inlineStr">
        <is>
          <t>92→75→92→75°C (alternating 4-pour)</t>
        </is>
      </c>
      <c r="O63" s="62" t="inlineStr">
        <is>
          <t>Unknown</t>
        </is>
      </c>
      <c r="P63" s="62" t="inlineStr">
        <is>
          <t>Mahlkönig EK43S (98mm Flat Burr)</t>
        </is>
      </c>
      <c r="Q63" s="62" t="n">
        <v>10</v>
      </c>
      <c r="R63" s="62" t="inlineStr">
        <is>
          <t>Rose, Plum, Mandarin Orange, Honey</t>
        </is>
      </c>
      <c r="S63" s="62" t="inlineStr">
        <is>
          <t>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is>
      </c>
      <c r="T63" s="62" t="inlineStr">
        <is>
          <t>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is>
      </c>
      <c r="U63" s="62" t="inlineStr">
        <is>
          <t>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is>
      </c>
      <c r="V63" s="62" t="inlineStr">
        <is>
          <t>Live Field Audit — menu photos + bean card photo (Nippy Coffee Roaster bag) + barista confirmation (Elaine) + hardware observation</t>
        </is>
      </c>
      <c r="W63" s="63">
        <f>IF(OR(ISNUMBER(SEARCH("gesha",G63)),ISNUMBER(SEARCH("geisha",G63))),"⭐ GESHA","")</f>
        <v/>
      </c>
      <c r="X63" s="62" t="inlineStr">
        <is>
          <t>2 Havelock Rd, #01-14, Singapore 059763</t>
        </is>
      </c>
    </row>
    <row r="64" ht="130" customHeight="1" s="54">
      <c r="A64" s="64" t="inlineStr">
        <is>
          <t>2026-07-12</t>
        </is>
      </c>
      <c r="B64" s="64" t="inlineStr">
        <is>
          <t>Singapore</t>
        </is>
      </c>
      <c r="C64" s="64" t="inlineStr">
        <is>
          <t>Fluid Collective</t>
        </is>
      </c>
      <c r="D64" s="64" t="inlineStr">
        <is>
          <t>Alo Peaberry — Washed Ethiopia</t>
        </is>
      </c>
      <c r="E64" s="64" t="inlineStr">
        <is>
          <t>Tamiru Tadesse</t>
        </is>
      </c>
      <c r="F64" s="64" t="inlineStr">
        <is>
          <t>Ethiopia</t>
        </is>
      </c>
      <c r="G64" s="64" t="inlineStr">
        <is>
          <t>74158 (Peaberry)</t>
        </is>
      </c>
      <c r="H64" s="64" t="inlineStr">
        <is>
          <t>Washed</t>
        </is>
      </c>
      <c r="I64" s="64" t="inlineStr">
        <is>
          <t>Filter Roast</t>
        </is>
      </c>
      <c r="J64" s="64" t="inlineStr">
        <is>
          <t>Hario Switch (Flat-Bottom Immersion Hybrid)</t>
        </is>
      </c>
      <c r="K64" s="64" t="inlineStr">
        <is>
          <t>15</t>
        </is>
      </c>
      <c r="L64" s="64" t="inlineStr">
        <is>
          <t>225</t>
        </is>
      </c>
      <c r="M64" s="64" t="inlineStr">
        <is>
          <t>1:15</t>
        </is>
      </c>
      <c r="N64" s="64" t="inlineStr">
        <is>
          <t>70 → 90 → 70°C (Thermal Oscillation Protocol — Fluid Standard)</t>
        </is>
      </c>
      <c r="O64" s="64" t="inlineStr">
        <is>
          <t>Unknown</t>
        </is>
      </c>
      <c r="P64" s="64" t="inlineStr">
        <is>
          <t>Option-O Lagom P64 (64mm Flat Steel Burrs)</t>
        </is>
      </c>
      <c r="Q64" s="64" t="inlineStr">
        <is>
          <t>10</t>
        </is>
      </c>
      <c r="R64" s="64" t="inlineStr">
        <is>
          <t>Bergamot | Honeysuckle | Mandarin Orange | White Peach</t>
        </is>
      </c>
      <c r="S64" s="64" t="inlineStr">
        <is>
          <t>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is>
      </c>
      <c r="T64" s="64" t="inlineStr">
        <is>
          <t>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is>
      </c>
      <c r="U64" s="64" t="inlineStr">
        <is>
          <t>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is>
      </c>
      <c r="V64" s="64" t="inlineStr">
        <is>
          <t>Live Field Audit — Fourth Visit | Bean card + menu photo</t>
        </is>
      </c>
      <c r="W64" s="64">
        <f>IF(OR(ISNUMBER(SEARCH("gesha",G64)),ISNUMBER(SEARCH("geisha",G64))),"⭐ GESHA","")</f>
        <v/>
      </c>
      <c r="X64" s="64" t="inlineStr">
        <is>
          <t>24 Opal Cres, Singapore 328418</t>
        </is>
      </c>
    </row>
  </sheetData>
  <conditionalFormatting sqref="A2:W2000">
    <cfRule type="expression" rank="0" priority="2" equalAverage="0" aboveAverage="0" dxfId="0" text="" percent="0" bottom="0">
      <formula>AND($A2&lt;&gt;"",OR(ISNUMBER(SEARCH("gesha",$G2)),ISNUMBER(SEARCH("geisha",$G2))))</formula>
    </cfRule>
    <cfRule type="expression" rank="0" priority="3" equalAverage="0" aboveAverage="0" dxfId="1" text="" percent="0" bottom="0">
      <formula>AND($A2&lt;&gt;"",MOD(ROW(),2)=0)</formula>
    </cfRule>
    <cfRule type="expression" rank="0" priority="4" equalAverage="0" aboveAverage="0" dxfId="2" text="" percent="0" bottom="0">
      <formula>AND($A2&lt;&gt;"",MOD(ROW(),2)=1)</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2.xml><?xml version="1.0" encoding="utf-8"?>
<worksheet xmlns="http://schemas.openxmlformats.org/spreadsheetml/2006/main">
  <sheetPr filterMode="0">
    <tabColor rgb="FFC9902A"/>
    <outlinePr summaryBelow="1" summaryRight="1"/>
    <pageSetUpPr fitToPage="0"/>
  </sheetPr>
  <dimension ref="B1:M55"/>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53" min="1" max="1"/>
    <col width="4" customWidth="1" style="53" min="2" max="2"/>
    <col width="22" customWidth="1" style="53" min="3" max="3"/>
    <col width="7" customWidth="1" style="53" min="4" max="4"/>
    <col width="9" customWidth="1" style="53" min="5" max="6"/>
    <col width="34" customWidth="1" style="53" min="7" max="7"/>
    <col width="28" customWidth="1" style="53" min="8" max="8"/>
    <col width="10" customWidth="1" style="53" min="9" max="10"/>
    <col width="42" customWidth="1" style="53" min="11" max="11"/>
    <col width="10" customWidth="1" style="53" min="12" max="13"/>
  </cols>
  <sheetData>
    <row r="1" ht="27.75" customHeight="1" s="54">
      <c r="B1" s="65" t="inlineStr">
        <is>
          <t>☕  THE HARI COFFEE ARCHIVE  —  2026</t>
        </is>
      </c>
    </row>
    <row r="2" ht="12.75" customHeight="1" s="54">
      <c r="B2" s="66" t="inlineStr">
        <is>
          <t>Master Extraction Archivist  ·  Singapore · Bali · Mumbai · Johor Bahru  ·  Field-audited, three-phase palate record</t>
        </is>
      </c>
    </row>
    <row r="3" ht="7.5" customHeight="1" s="54"/>
    <row r="4" ht="15.75" customHeight="1" s="54">
      <c r="B4" s="67" t="inlineStr">
        <is>
          <t xml:space="preserve">  ARCHIVE VITALS  —  live formulas, auto-update with every new entry</t>
        </is>
      </c>
    </row>
    <row r="5" ht="4.5" customHeight="1" s="54"/>
    <row r="6" ht="13.5" customHeight="1" s="54">
      <c r="B6" s="68" t="inlineStr">
        <is>
          <t>TOTAL ENTRIES</t>
        </is>
      </c>
      <c r="C6" s="68" t="inlineStr">
        <is>
          <t>UNIQUE CAFÉS</t>
        </is>
      </c>
      <c r="D6" s="68" t="inlineStr">
        <is>
          <t>CITIES</t>
        </is>
      </c>
      <c r="E6" s="68" t="inlineStr">
        <is>
          <t>ORIGINS</t>
        </is>
      </c>
      <c r="F6" s="68" t="inlineStr">
        <is>
          <t>⭐ GESHA CUPS</t>
        </is>
      </c>
      <c r="G6" s="68" t="inlineStr">
        <is>
          <t>VARIETALS</t>
        </is>
      </c>
      <c r="H6" s="68" t="inlineStr">
        <is>
          <t>AVG PRICE</t>
        </is>
      </c>
      <c r="I6" s="68" t="inlineStr">
        <is>
          <t>FIRST ENTRY</t>
        </is>
      </c>
      <c r="J6" s="68" t="inlineStr">
        <is>
          <t>LATEST ENTRY</t>
        </is>
      </c>
    </row>
    <row r="7" ht="30" customHeight="1" s="54">
      <c r="B7" s="69">
        <f>COUNTA('Coffee Audit'!A2:A2000)</f>
        <v/>
      </c>
      <c r="C7" s="69">
        <f>SUMPRODUCT(('Coffee Audit'!C2:C2000&lt;&gt;"")/COUNTIF('Coffee Audit'!C2:C2000,'Coffee Audit'!C2:C2000&amp;""))</f>
        <v/>
      </c>
      <c r="D7" s="69" t="n">
        <v>4</v>
      </c>
      <c r="E7" s="69" t="n">
        <v>18</v>
      </c>
      <c r="F7" s="69">
        <f>COUNTIF('Coffee Audit'!W2:W2000,"⭐ GESHA")</f>
        <v/>
      </c>
      <c r="G7" s="69">
        <f>SUMPRODUCT(('Coffee Audit'!G2:G2000&lt;&gt;"")/COUNTIF('Coffee Audit'!G2:G2000,'Coffee Audit'!G2:G2000&amp;""))</f>
        <v/>
      </c>
      <c r="H7" s="69">
        <f>IFERROR("S$"&amp;TEXT(AVERAGEIF('Coffee Audit'!Q2:Q2000,"&gt;0"),"0.00"),"—")</f>
        <v/>
      </c>
      <c r="I7" s="69">
        <f>TEXT(MIN('Coffee Audit'!A2:A2000),"DD MMM YYYY")</f>
        <v/>
      </c>
      <c r="J7" s="69">
        <f>TEXT(MAX('Coffee Audit'!A2:A2000),"DD MMM YYYY")</f>
        <v/>
      </c>
    </row>
    <row r="8" ht="12" customHeight="1" s="54">
      <c r="B8" s="70" t="inlineStr">
        <is>
          <t>field-audited cups</t>
        </is>
      </c>
      <c r="C8" s="70" t="inlineStr">
        <is>
          <t>across 4 cities</t>
        </is>
      </c>
      <c r="D8" s="70" t="inlineStr">
        <is>
          <t>SG · Bali · Mumbai · JB</t>
        </is>
      </c>
      <c r="E8" s="70" t="inlineStr">
        <is>
          <t>origin countries</t>
        </is>
      </c>
      <c r="F8" s="70" t="inlineStr">
        <is>
          <t>12% of archive</t>
        </is>
      </c>
      <c r="G8" s="70" t="inlineStr">
        <is>
          <t>unique varieties logged</t>
        </is>
      </c>
      <c r="H8" s="70" t="inlineStr">
        <is>
          <t>SGD per cup</t>
        </is>
      </c>
      <c r="I8" s="70" t="inlineStr">
        <is>
          <t>archive opened</t>
        </is>
      </c>
      <c r="J8" s="70" t="inlineStr">
        <is>
          <t>most recent audit</t>
        </is>
      </c>
    </row>
    <row r="10" ht="9.75" customHeight="1" s="54"/>
    <row r="11" ht="15.75" customHeight="1" s="54">
      <c r="B11" s="67" t="inlineStr">
        <is>
          <t xml:space="preserve">  ⭐  GESHA / GEISHA HALL OF FAME  —  The Apex Varietal  ·  All 13 archive cups</t>
        </is>
      </c>
      <c r="H11" s="67" t="inlineStr">
        <is>
          <t xml:space="preserve">  🏆  TOP CAFÉS BY VISITS  —  60 entries · 34 venues · 4 cities</t>
        </is>
      </c>
    </row>
    <row r="12" ht="15.75" customHeight="1" s="54">
      <c r="B12" s="71" t="inlineStr">
        <is>
          <t>#</t>
        </is>
      </c>
      <c r="C12" s="71" t="inlineStr">
        <is>
          <t>Café</t>
        </is>
      </c>
      <c r="D12" s="71" t="inlineStr">
        <is>
          <t>Origin</t>
        </is>
      </c>
      <c r="E12" s="71" t="inlineStr">
        <is>
          <t>Process</t>
        </is>
      </c>
      <c r="F12" s="71" t="inlineStr">
        <is>
          <t>Price</t>
        </is>
      </c>
      <c r="H12" s="71" t="inlineStr">
        <is>
          <t>Café</t>
        </is>
      </c>
      <c r="I12" s="71" t="inlineStr">
        <is>
          <t>Visits</t>
        </is>
      </c>
      <c r="J12" s="71" t="inlineStr">
        <is>
          <t>Avg SGD</t>
        </is>
      </c>
      <c r="K12" s="71" t="inlineStr">
        <is>
          <t>City</t>
        </is>
      </c>
      <c r="L12" s="71" t="inlineStr">
        <is>
          <t>Note</t>
        </is>
      </c>
    </row>
    <row r="13" ht="12.75" customHeight="1" s="54">
      <c r="B13" s="72" t="n">
        <v>1</v>
      </c>
      <c r="C13" s="72" t="inlineStr">
        <is>
          <t>Asylum Coffeehouse</t>
        </is>
      </c>
      <c r="D13" s="72" t="inlineStr">
        <is>
          <t>Peru · Cajamarca</t>
        </is>
      </c>
      <c r="E13" s="72" t="inlineStr">
        <is>
          <t>Washed</t>
        </is>
      </c>
      <c r="F13" s="72" t="inlineStr">
        <is>
          <t>S$11.00</t>
        </is>
      </c>
      <c r="H13" s="73" t="inlineStr">
        <is>
          <t>Nylon Coffee Roasters</t>
        </is>
      </c>
      <c r="I13" s="72" t="n">
        <v>6</v>
      </c>
      <c r="J13" s="72" t="inlineStr">
        <is>
          <t>S$7.83</t>
        </is>
      </c>
      <c r="K13" s="72" t="inlineStr">
        <is>
          <t>Singapore</t>
        </is>
      </c>
      <c r="L13" s="72" t="inlineStr">
        <is>
          <t>⭐ Reliability anchor</t>
        </is>
      </c>
    </row>
    <row r="14" ht="12.75" customHeight="1" s="54">
      <c r="B14" s="74" t="n">
        <v>2</v>
      </c>
      <c r="C14" s="74" t="inlineStr">
        <is>
          <t>Lume Café</t>
        </is>
      </c>
      <c r="D14" s="74" t="inlineStr">
        <is>
          <t>Panama · Boquerón</t>
        </is>
      </c>
      <c r="E14" s="74" t="inlineStr">
        <is>
          <t>Red Honey</t>
        </is>
      </c>
      <c r="F14" s="74" t="inlineStr">
        <is>
          <t>S$12.00</t>
        </is>
      </c>
      <c r="H14" s="75" t="inlineStr">
        <is>
          <t>Asylum Coffeehouse</t>
        </is>
      </c>
      <c r="I14" s="74" t="n">
        <v>4</v>
      </c>
      <c r="J14" s="74" t="inlineStr">
        <is>
          <t>S$12.50</t>
        </is>
      </c>
      <c r="K14" s="74" t="inlineStr">
        <is>
          <t>Singapore</t>
        </is>
      </c>
      <c r="L14" s="74" t="inlineStr">
        <is>
          <t>2 Gesha entries</t>
        </is>
      </c>
    </row>
    <row r="15" ht="12.75" customHeight="1" s="54">
      <c r="B15" s="72" t="n">
        <v>3</v>
      </c>
      <c r="C15" s="72" t="inlineStr">
        <is>
          <t>Asylum Coffeehouse</t>
        </is>
      </c>
      <c r="D15" s="72" t="inlineStr">
        <is>
          <t>Peru · Jaén</t>
        </is>
      </c>
      <c r="E15" s="72" t="inlineStr">
        <is>
          <t>Washed</t>
        </is>
      </c>
      <c r="F15" s="72" t="inlineStr">
        <is>
          <t>S$12.50</t>
        </is>
      </c>
      <c r="H15" s="73" t="inlineStr">
        <is>
          <t>Fluid Collective</t>
        </is>
      </c>
      <c r="I15" s="72" t="n">
        <v>3</v>
      </c>
      <c r="J15" s="72" t="inlineStr">
        <is>
          <t>S$11.33</t>
        </is>
      </c>
      <c r="K15" s="72" t="inlineStr">
        <is>
          <t>Singapore</t>
        </is>
      </c>
      <c r="L15" s="72" t="inlineStr">
        <is>
          <t>🏆 Cup of the Year</t>
        </is>
      </c>
    </row>
    <row r="16" ht="12.75" customHeight="1" s="54">
      <c r="B16" s="74" t="n">
        <v>4</v>
      </c>
      <c r="C16" s="74" t="inlineStr">
        <is>
          <t>Fluid Collective</t>
        </is>
      </c>
      <c r="D16" s="74" t="inlineStr">
        <is>
          <t>Colombia · Huila</t>
        </is>
      </c>
      <c r="E16" s="74" t="inlineStr">
        <is>
          <t>Washed</t>
        </is>
      </c>
      <c r="F16" s="74" t="inlineStr">
        <is>
          <t>S$14.00</t>
        </is>
      </c>
      <c r="H16" s="75" t="inlineStr">
        <is>
          <t>Seniman Coffee Studio</t>
        </is>
      </c>
      <c r="I16" s="74" t="n">
        <v>3</v>
      </c>
      <c r="J16" s="74" t="inlineStr">
        <is>
          <t>—</t>
        </is>
      </c>
      <c r="K16" s="74" t="inlineStr">
        <is>
          <t>Ubud, Bali</t>
        </is>
      </c>
      <c r="L16" s="74" t="inlineStr">
        <is>
          <t>Archive origin chapter</t>
        </is>
      </c>
    </row>
    <row r="17" ht="12.75" customHeight="1" s="54">
      <c r="B17" s="72" t="n">
        <v>5</v>
      </c>
      <c r="C17" s="72" t="inlineStr">
        <is>
          <t>Pocket by Flip (Flip Coffee Roasters)</t>
        </is>
      </c>
      <c r="D17" s="72" t="inlineStr">
        <is>
          <t>Ecuador · Loja</t>
        </is>
      </c>
      <c r="E17" s="72" t="inlineStr">
        <is>
          <t>Washed</t>
        </is>
      </c>
      <c r="F17" s="72" t="inlineStr">
        <is>
          <t>S$18.00</t>
        </is>
      </c>
      <c r="H17" s="73" t="inlineStr">
        <is>
          <t>Kyuukei Coffee</t>
        </is>
      </c>
      <c r="I17" s="72" t="n">
        <v>3</v>
      </c>
      <c r="J17" s="72" t="inlineStr">
        <is>
          <t>S$8.67</t>
        </is>
      </c>
      <c r="K17" s="72" t="inlineStr">
        <is>
          <t>Singapore</t>
        </is>
      </c>
      <c r="L17" s="72" t="n"/>
    </row>
    <row r="18" ht="12.75" customHeight="1" s="54">
      <c r="B18" s="74" t="n">
        <v>6</v>
      </c>
      <c r="C18" s="74" t="inlineStr">
        <is>
          <t>Keryi Coffee</t>
        </is>
      </c>
      <c r="D18" s="74" t="inlineStr">
        <is>
          <t>Colombia</t>
        </is>
      </c>
      <c r="E18" s="74" t="inlineStr">
        <is>
          <t>Honey</t>
        </is>
      </c>
      <c r="F18" s="74" t="inlineStr">
        <is>
          <t>S$15.00</t>
        </is>
      </c>
      <c r="H18" s="75" t="inlineStr">
        <is>
          <t>Agora Coffee</t>
        </is>
      </c>
      <c r="I18" s="74" t="n">
        <v>3</v>
      </c>
      <c r="J18" s="74" t="inlineStr">
        <is>
          <t>—</t>
        </is>
      </c>
      <c r="K18" s="74" t="inlineStr">
        <is>
          <t>Singapore</t>
        </is>
      </c>
      <c r="L18" s="74" t="n"/>
    </row>
    <row r="19" ht="12.75" customHeight="1" s="54">
      <c r="B19" s="72" t="n">
        <v>7</v>
      </c>
      <c r="C19" s="72" t="inlineStr">
        <is>
          <t>Equate</t>
        </is>
      </c>
      <c r="D19" s="72" t="inlineStr">
        <is>
          <t>Colombia · Huila</t>
        </is>
      </c>
      <c r="E19" s="72" t="inlineStr">
        <is>
          <t>Washed</t>
        </is>
      </c>
      <c r="F19" s="72" t="inlineStr">
        <is>
          <t>S$13.00</t>
        </is>
      </c>
      <c r="H19" s="73" t="inlineStr">
        <is>
          <t>Zerah Roasters</t>
        </is>
      </c>
      <c r="I19" s="72" t="n">
        <v>2</v>
      </c>
      <c r="J19" s="72" t="inlineStr">
        <is>
          <t>S$10.50</t>
        </is>
      </c>
      <c r="K19" s="72" t="inlineStr">
        <is>
          <t>Singapore</t>
        </is>
      </c>
      <c r="L19" s="72" t="inlineStr">
        <is>
          <t>Top barista: Aqil #1</t>
        </is>
      </c>
    </row>
    <row r="20" ht="12.75" customHeight="1" s="54">
      <c r="B20" s="74" t="n">
        <v>8</v>
      </c>
      <c r="C20" s="74" t="inlineStr">
        <is>
          <t>Homeground Coffee Roasters</t>
        </is>
      </c>
      <c r="D20" s="74" t="inlineStr">
        <is>
          <t>Colombia · Valle</t>
        </is>
      </c>
      <c r="E20" s="74" t="inlineStr">
        <is>
          <t>Natural</t>
        </is>
      </c>
      <c r="F20" s="74" t="inlineStr">
        <is>
          <t>S$19.00</t>
        </is>
      </c>
      <c r="H20" s="75" t="inlineStr">
        <is>
          <t>Homeground Coffee Roasters</t>
        </is>
      </c>
      <c r="I20" s="74" t="n">
        <v>2</v>
      </c>
      <c r="J20" s="74" t="inlineStr">
        <is>
          <t>S$14.50</t>
        </is>
      </c>
      <c r="K20" s="74" t="inlineStr">
        <is>
          <t>Singapore</t>
        </is>
      </c>
      <c r="L20" s="74" t="inlineStr">
        <is>
          <t>1 Gesha entry</t>
        </is>
      </c>
    </row>
    <row r="21" ht="12.75" customHeight="1" s="54">
      <c r="B21" s="72" t="n">
        <v>9</v>
      </c>
      <c r="C21" s="72" t="inlineStr">
        <is>
          <t>Cowpresso Coffee Roasters</t>
        </is>
      </c>
      <c r="D21" s="72" t="inlineStr">
        <is>
          <t>Colombia · Valle</t>
        </is>
      </c>
      <c r="E21" s="72" t="inlineStr">
        <is>
          <t>Natural</t>
        </is>
      </c>
      <c r="F21" s="72" t="inlineStr">
        <is>
          <t>S$9.90</t>
        </is>
      </c>
      <c r="H21" s="73" t="inlineStr">
        <is>
          <t>Keryi Coffee</t>
        </is>
      </c>
      <c r="I21" s="72" t="n">
        <v>2</v>
      </c>
      <c r="J21" s="72" t="inlineStr">
        <is>
          <t>S$14.00</t>
        </is>
      </c>
      <c r="K21" s="72" t="inlineStr">
        <is>
          <t>Singapore</t>
        </is>
      </c>
      <c r="L21" s="72" t="inlineStr">
        <is>
          <t>1 Gesha entry</t>
        </is>
      </c>
    </row>
    <row r="22" ht="12.75" customHeight="1" s="54">
      <c r="B22" s="74" t="n">
        <v>10</v>
      </c>
      <c r="C22" s="74" t="inlineStr">
        <is>
          <t>Pinhole Coffee Bar</t>
        </is>
      </c>
      <c r="D22" s="74" t="inlineStr">
        <is>
          <t>Colombia · Huila</t>
        </is>
      </c>
      <c r="E22" s="74" t="inlineStr">
        <is>
          <t>Honey</t>
        </is>
      </c>
      <c r="F22" s="74" t="inlineStr">
        <is>
          <t>S$15.00</t>
        </is>
      </c>
      <c r="H22" s="75" t="inlineStr">
        <is>
          <t>Maxi Coffee Bar</t>
        </is>
      </c>
      <c r="I22" s="74" t="n">
        <v>2</v>
      </c>
      <c r="J22" s="74" t="inlineStr">
        <is>
          <t>S$9.00</t>
        </is>
      </c>
      <c r="K22" s="74" t="inlineStr">
        <is>
          <t>Singapore</t>
        </is>
      </c>
      <c r="L22" s="74" t="n"/>
    </row>
    <row r="23" ht="12.75" customHeight="1" s="54">
      <c r="B23" s="72" t="n">
        <v>11</v>
      </c>
      <c r="C23" s="72" t="inlineStr">
        <is>
          <t>Double Shot Coffee</t>
        </is>
      </c>
      <c r="D23" s="72" t="inlineStr">
        <is>
          <t>Panama · Boquete</t>
        </is>
      </c>
      <c r="E23" s="72" t="inlineStr">
        <is>
          <t>Natural</t>
        </is>
      </c>
      <c r="F23" s="72" t="inlineStr">
        <is>
          <t>S$16.00</t>
        </is>
      </c>
      <c r="H23" s="76" t="n"/>
      <c r="I23" s="76" t="n"/>
      <c r="J23" s="76" t="n"/>
      <c r="K23" s="76" t="n"/>
      <c r="L23" s="76" t="n"/>
    </row>
    <row r="24" ht="12.75" customHeight="1" s="54">
      <c r="B24" s="74" t="n">
        <v>12</v>
      </c>
      <c r="C24" s="74" t="inlineStr">
        <is>
          <t>Abseil</t>
        </is>
      </c>
      <c r="D24" s="74" t="inlineStr">
        <is>
          <t>Colombia</t>
        </is>
      </c>
      <c r="E24" s="74" t="inlineStr">
        <is>
          <t>Washed</t>
        </is>
      </c>
      <c r="F24" s="74" t="inlineStr">
        <is>
          <t>S$21.00</t>
        </is>
      </c>
      <c r="H24" s="76" t="n"/>
      <c r="I24" s="76" t="n"/>
      <c r="J24" s="76" t="n"/>
      <c r="K24" s="76" t="n"/>
      <c r="L24" s="76" t="n"/>
    </row>
    <row r="25" ht="27.75" customHeight="1" s="54">
      <c r="B25" s="77" t="inlineStr">
        <is>
          <t>20% of 60 cups are Gesha/Geisha — the archive's apex varietal. Avg Gesha price S$14.38 vs non-Gesha S$9.59 (+53% premium). Colombia Gesha Process Trilogy ✅ complete: Washed (Fluid), Honey (Keryi+Pinhole), Natural (Homeground+Cowpresso).</t>
        </is>
      </c>
      <c r="C25" s="78" t="n"/>
      <c r="D25" s="78" t="n"/>
      <c r="E25" s="78" t="n"/>
      <c r="F25" s="78" t="n"/>
    </row>
    <row r="26" ht="9.75" customHeight="1" s="54"/>
    <row r="27" ht="15.75" customHeight="1" s="54">
      <c r="B27" s="67" t="inlineStr">
        <is>
          <t xml:space="preserve">  🍯  PALATE PROCESS FINGERPRINT  —  41% washed dominance signals Clarity &gt; Complexity</t>
        </is>
      </c>
      <c r="H27" s="67" t="inlineStr">
        <is>
          <t xml:space="preserve">  🌍  ORIGIN INTELLIGENCE  —  18 origins · Colombia leads at 30%</t>
        </is>
      </c>
    </row>
    <row r="28" ht="15.75" customHeight="1" s="54">
      <c r="B28" s="71" t="inlineStr">
        <is>
          <t>Process</t>
        </is>
      </c>
      <c r="C28" s="71" t="inlineStr">
        <is>
          <t>Cups</t>
        </is>
      </c>
      <c r="D28" s="71" t="inlineStr">
        <is>
          <t>% Archive</t>
        </is>
      </c>
      <c r="E28" s="71" t="inlineStr">
        <is>
          <t>Palate Signal</t>
        </is>
      </c>
      <c r="F28" s="71" t="inlineStr">
        <is>
          <t>Affinity</t>
        </is>
      </c>
      <c r="H28" s="71" t="inlineStr">
        <is>
          <t>Origin</t>
        </is>
      </c>
      <c r="I28" s="71" t="inlineStr">
        <is>
          <t>Entries</t>
        </is>
      </c>
      <c r="J28" s="71" t="inlineStr">
        <is>
          <t>% Archive</t>
        </is>
      </c>
      <c r="K28" s="71" t="inlineStr">
        <is>
          <t>Gesha?</t>
        </is>
      </c>
      <c r="L28" s="71" t="inlineStr">
        <is>
          <t>Palate fit</t>
        </is>
      </c>
    </row>
    <row r="29" ht="12.75" customHeight="1" s="54">
      <c r="B29" s="73" t="inlineStr">
        <is>
          <t>Washed</t>
        </is>
      </c>
      <c r="C29" s="72">
        <f>COUNTIF('Coffee Audit'!H2:H2000,"*Washed*")-COUNTIF('Coffee Audit'!H2:H2000,"*Anaerobic*")</f>
        <v/>
      </c>
      <c r="D29" s="72" t="inlineStr">
        <is>
          <t>41%</t>
        </is>
      </c>
      <c r="E29" s="72" t="inlineStr">
        <is>
          <t>Malic acid clarity · jasmine lift · clean finish</t>
        </is>
      </c>
      <c r="F29" s="72" t="inlineStr">
        <is>
          <t>★★★★★</t>
        </is>
      </c>
      <c r="H29" s="73" t="inlineStr">
        <is>
          <t>Colombia</t>
        </is>
      </c>
      <c r="I29" s="72">
        <f>COUNTIF('Coffee Audit'!F2:F2000,"*Colombia*")</f>
        <v/>
      </c>
      <c r="J29" s="72" t="inlineStr">
        <is>
          <t>30%</t>
        </is>
      </c>
      <c r="K29" s="72" t="inlineStr">
        <is>
          <t>⭐ ×6</t>
        </is>
      </c>
      <c r="L29" s="72" t="inlineStr">
        <is>
          <t>HIGHEST — malic clarity + Gesha depth</t>
        </is>
      </c>
    </row>
    <row r="30" ht="12.75" customHeight="1" s="54">
      <c r="B30" s="75" t="inlineStr">
        <is>
          <t>Natural</t>
        </is>
      </c>
      <c r="C30" s="74">
        <f>COUNTIF('Coffee Audit'!H2:H2000,"*Natural*")-COUNTIF('Coffee Audit'!H2:H2000,"*Anaerobic*")</f>
        <v/>
      </c>
      <c r="D30" s="74" t="inlineStr">
        <is>
          <t>24%</t>
        </is>
      </c>
      <c r="E30" s="74" t="inlineStr">
        <is>
          <t>Stone fruit · berry complexity · terroir expression</t>
        </is>
      </c>
      <c r="F30" s="74" t="inlineStr">
        <is>
          <t>★★★★</t>
        </is>
      </c>
      <c r="H30" s="75" t="inlineStr">
        <is>
          <t>Ethiopia</t>
        </is>
      </c>
      <c r="I30" s="74">
        <f>COUNTIF('Coffee Audit'!F2:F2000,"*Ethiopia*")</f>
        <v/>
      </c>
      <c r="J30" s="74" t="inlineStr">
        <is>
          <t>13%</t>
        </is>
      </c>
      <c r="K30" s="74" t="inlineStr">
        <is>
          <t>—</t>
        </is>
      </c>
      <c r="L30" s="74" t="inlineStr">
        <is>
          <t>HIGH — linalool florals · heirloom terroir</t>
        </is>
      </c>
    </row>
    <row r="31" ht="12.75" customHeight="1" s="54">
      <c r="B31" s="73" t="inlineStr">
        <is>
          <t>Honey</t>
        </is>
      </c>
      <c r="C31" s="72">
        <f>COUNTIF('Coffee Audit'!H2:H2000,"*Honey*")</f>
        <v/>
      </c>
      <c r="D31" s="72" t="inlineStr">
        <is>
          <t>9%</t>
        </is>
      </c>
      <c r="E31" s="72" t="inlineStr">
        <is>
          <t>Mucilage sweetness bridge · ketone fruit layer</t>
        </is>
      </c>
      <c r="F31" s="72" t="inlineStr">
        <is>
          <t>★★★★</t>
        </is>
      </c>
      <c r="H31" s="73" t="inlineStr">
        <is>
          <t>Brazil</t>
        </is>
      </c>
      <c r="I31" s="72">
        <f>COUNTIF('Coffee Audit'!F2:F2000,"*Brazil*")</f>
        <v/>
      </c>
      <c r="J31" s="72" t="inlineStr">
        <is>
          <t>9%</t>
        </is>
      </c>
      <c r="K31" s="72" t="inlineStr">
        <is>
          <t>—</t>
        </is>
      </c>
      <c r="L31" s="72" t="inlineStr">
        <is>
          <t>MED — body + sweetness baseline</t>
        </is>
      </c>
    </row>
    <row r="32" ht="12.75" customHeight="1" s="54">
      <c r="B32" s="75" t="inlineStr">
        <is>
          <t>Anaerobic Natural</t>
        </is>
      </c>
      <c r="C32" s="74">
        <f>COUNTIF('Coffee Audit'!H2:H2000,"*Anaerobic Nat*")+COUNTIF('Coffee Audit'!H2:H2000,"*Natural Anaerobic*")</f>
        <v/>
      </c>
      <c r="D32" s="74" t="inlineStr">
        <is>
          <t>9%</t>
        </is>
      </c>
      <c r="E32" s="74" t="inlineStr">
        <is>
          <t>Controlled funk · ester complexity · tropical edge</t>
        </is>
      </c>
      <c r="F32" s="74" t="inlineStr">
        <is>
          <t>★★★</t>
        </is>
      </c>
      <c r="H32" s="75" t="inlineStr">
        <is>
          <t>Indonesia</t>
        </is>
      </c>
      <c r="I32" s="74">
        <f>COUNTIF('Coffee Audit'!F2:F2000,"*Indonesia*")</f>
        <v/>
      </c>
      <c r="J32" s="74" t="inlineStr">
        <is>
          <t>7%</t>
        </is>
      </c>
      <c r="K32" s="74" t="inlineStr">
        <is>
          <t>—</t>
        </is>
      </c>
      <c r="L32" s="74" t="inlineStr">
        <is>
          <t>MED — wet-hulled texture study</t>
        </is>
      </c>
    </row>
    <row r="33" ht="12.75" customHeight="1" s="54">
      <c r="B33" s="73" t="inlineStr">
        <is>
          <t>Experimental Ferment</t>
        </is>
      </c>
      <c r="C33" s="72">
        <f>COUNTIF('Coffee Audit'!H2:H2000,"*Co-Ferment*")+COUNTIF('Coffee Audit'!H2:H2000,"*Mosto*")+COUNTIF('Coffee Audit'!H2:H2000,"*Yeast*")</f>
        <v/>
      </c>
      <c r="D33" s="72" t="inlineStr">
        <is>
          <t>6%</t>
        </is>
      </c>
      <c r="E33" s="72" t="inlineStr">
        <is>
          <t>Edge cases: yeast, mosto, co-ferment</t>
        </is>
      </c>
      <c r="F33" s="72" t="inlineStr">
        <is>
          <t>★★ Exploratory</t>
        </is>
      </c>
      <c r="H33" s="73" t="inlineStr">
        <is>
          <t>Honduras</t>
        </is>
      </c>
      <c r="I33" s="72">
        <f>COUNTIF('Coffee Audit'!F2:F2000,"*Honduras*")</f>
        <v/>
      </c>
      <c r="J33" s="72" t="inlineStr">
        <is>
          <t>6%</t>
        </is>
      </c>
      <c r="K33" s="72" t="inlineStr">
        <is>
          <t>⭐ ×1</t>
        </is>
      </c>
      <c r="L33" s="72" t="inlineStr">
        <is>
          <t>MED-HIGH — malic stone fruit</t>
        </is>
      </c>
    </row>
    <row r="34" ht="12.75" customHeight="1" s="54">
      <c r="B34" s="75" t="inlineStr">
        <is>
          <t>Wet-Hulled (Giling)</t>
        </is>
      </c>
      <c r="C34" s="74">
        <f>COUNTIF('Coffee Audit'!H2:H2000,"*Wet*")</f>
        <v/>
      </c>
      <c r="D34" s="74" t="inlineStr">
        <is>
          <t>2%</t>
        </is>
      </c>
      <c r="E34" s="74" t="inlineStr">
        <is>
          <t>Earthy · Indonesian terroir · syrupy body</t>
        </is>
      </c>
      <c r="F34" s="74" t="inlineStr">
        <is>
          <t>★</t>
        </is>
      </c>
      <c r="H34" s="75" t="inlineStr">
        <is>
          <t>Peru</t>
        </is>
      </c>
      <c r="I34" s="74">
        <f>COUNTIF('Coffee Audit'!F2:F2000,"*Peru*")</f>
        <v/>
      </c>
      <c r="J34" s="74" t="inlineStr">
        <is>
          <t>6%</t>
        </is>
      </c>
      <c r="K34" s="74" t="inlineStr">
        <is>
          <t>⭐ ×2</t>
        </is>
      </c>
      <c r="L34" s="74" t="inlineStr">
        <is>
          <t>HIGH — washed Gesha clarity</t>
        </is>
      </c>
    </row>
    <row r="35" ht="12.75" customHeight="1" s="54">
      <c r="B35" s="73" t="inlineStr">
        <is>
          <t>Thermal Shock Anaerobic</t>
        </is>
      </c>
      <c r="C35" s="72">
        <f>COUNTIF('Coffee Audit'!H2:H2000,"*Thermal*")</f>
        <v/>
      </c>
      <c r="D35" s="72" t="inlineStr">
        <is>
          <t>2%</t>
        </is>
      </c>
      <c r="E35" s="72" t="inlineStr">
        <is>
          <t>Extreme ester intensity — palate ceiling confirmed</t>
        </is>
      </c>
      <c r="F35" s="72" t="inlineStr">
        <is>
          <t>★ (boundary)</t>
        </is>
      </c>
      <c r="H35" s="73" t="inlineStr">
        <is>
          <t>Kenya</t>
        </is>
      </c>
      <c r="I35" s="72">
        <f>COUNTIF('Coffee Audit'!F2:F2000,"*Kenya*")</f>
        <v/>
      </c>
      <c r="J35" s="72" t="inlineStr">
        <is>
          <t>4%</t>
        </is>
      </c>
      <c r="K35" s="72" t="inlineStr">
        <is>
          <t>—</t>
        </is>
      </c>
      <c r="L35" s="72" t="inlineStr">
        <is>
          <t>HIGH — phosphoric acid · blackcurrant</t>
        </is>
      </c>
    </row>
    <row r="36" ht="12.75" customHeight="1" s="54">
      <c r="B36" s="75" t="inlineStr">
        <is>
          <t>Lactic Honey</t>
        </is>
      </c>
      <c r="C36" s="74">
        <f>COUNTIF('Coffee Audit'!H2:H2000,"*Lactic*")</f>
        <v/>
      </c>
      <c r="D36" s="74" t="inlineStr">
        <is>
          <t>2%</t>
        </is>
      </c>
      <c r="E36" s="74" t="inlineStr">
        <is>
          <t>Soft lactic creaminess · glycerol body · tropical arc</t>
        </is>
      </c>
      <c r="F36" s="74" t="inlineStr">
        <is>
          <t>★★★</t>
        </is>
      </c>
      <c r="H36" s="75" t="inlineStr">
        <is>
          <t>Panama</t>
        </is>
      </c>
      <c r="I36" s="74">
        <f>COUNTIF('Coffee Audit'!F2:F2000,"*Panama*")</f>
        <v/>
      </c>
      <c r="J36" s="74" t="inlineStr">
        <is>
          <t>4%</t>
        </is>
      </c>
      <c r="K36" s="74" t="inlineStr">
        <is>
          <t>⭐ ×2</t>
        </is>
      </c>
      <c r="L36" s="74" t="inlineStr">
        <is>
          <t>HIGHEST — Gesha heartland</t>
        </is>
      </c>
    </row>
    <row r="37" ht="12.75" customHeight="1" s="54">
      <c r="H37" s="73" t="inlineStr">
        <is>
          <t>Ecuador</t>
        </is>
      </c>
      <c r="I37" s="72">
        <f>COUNTIF('Coffee Audit'!F2:F2000,"*Ecuador*")</f>
        <v/>
      </c>
      <c r="J37" s="72" t="inlineStr">
        <is>
          <t>2%</t>
        </is>
      </c>
      <c r="K37" s="72" t="inlineStr">
        <is>
          <t>⭐ ×1</t>
        </is>
      </c>
      <c r="L37" s="72" t="inlineStr">
        <is>
          <t>HIGHEST — #1 palate DNA fit (Loja Gesha)</t>
        </is>
      </c>
    </row>
    <row r="38" ht="12.75" customHeight="1" s="54">
      <c r="H38" s="75" t="inlineStr">
        <is>
          <t>Bolivia</t>
        </is>
      </c>
      <c r="I38" s="74">
        <f>COUNTIF('Coffee Audit'!F2:F2000,"*Bolivia*")</f>
        <v/>
      </c>
      <c r="J38" s="74" t="inlineStr">
        <is>
          <t>3%</t>
        </is>
      </c>
      <c r="K38" s="74" t="inlineStr">
        <is>
          <t>—</t>
        </is>
      </c>
      <c r="L38" s="74" t="inlineStr">
        <is>
          <t>HIGH — lactic honey + Pacamara clarity</t>
        </is>
      </c>
    </row>
    <row r="39" ht="9.75" customHeight="1" s="54"/>
    <row r="40" ht="15.75" customHeight="1" s="54">
      <c r="B40" s="67" t="inlineStr">
        <is>
          <t xml:space="preserve">  ⚖️  BREW RATIO INTELLIGENCE  —  1:15–1:17 Palate DNA Band  ·  Avg ratio 1:15.7</t>
        </is>
      </c>
      <c r="H40" s="67" t="inlineStr">
        <is>
          <t xml:space="preserve">  🏅  ARCHIVE HONOURS BOARD  —  Season 2026</t>
        </is>
      </c>
    </row>
    <row r="41" ht="15.75" customHeight="1" s="54">
      <c r="B41" s="71" t="inlineStr">
        <is>
          <t>Ratio Band</t>
        </is>
      </c>
      <c r="C41" s="71" t="inlineStr">
        <is>
          <t>Entries</t>
        </is>
      </c>
      <c r="D41" s="71" t="inlineStr">
        <is>
          <t>In Band?</t>
        </is>
      </c>
      <c r="E41" s="71" t="inlineStr">
        <is>
          <t>Chemistry Note</t>
        </is>
      </c>
      <c r="H41" s="71" t="inlineStr">
        <is>
          <t>Honour</t>
        </is>
      </c>
      <c r="I41" s="71" t="inlineStr">
        <is>
          <t>Holder</t>
        </is>
      </c>
      <c r="J41" s="71" t="inlineStr">
        <is>
          <t>Detail</t>
        </is>
      </c>
    </row>
    <row r="42" ht="12.75" customHeight="1" s="54">
      <c r="B42" s="75" t="inlineStr">
        <is>
          <t>&lt;1:13</t>
        </is>
      </c>
      <c r="C42" s="74" t="inlineStr">
        <is>
          <t>1</t>
        </is>
      </c>
      <c r="D42" s="74" t="inlineStr">
        <is>
          <t>⚠️ Edge</t>
        </is>
      </c>
      <c r="E42" s="74" t="inlineStr">
        <is>
          <t>Espresso-style concentrations — not filter</t>
        </is>
      </c>
      <c r="H42" s="75" t="inlineStr">
        <is>
          <t>🏆 Cup of the Year</t>
        </is>
      </c>
      <c r="I42" s="74" t="inlineStr">
        <is>
          <t>Fluid Collective — El Obraje Washed Gesha</t>
        </is>
      </c>
      <c r="J42" s="74" t="inlineStr">
        <is>
          <t>S$14 · Colombia · linalool apex · best Gesha in archive</t>
        </is>
      </c>
    </row>
    <row r="43" ht="12.75" customHeight="1" s="54">
      <c r="B43" s="73" t="inlineStr">
        <is>
          <t>1:13–1:14</t>
        </is>
      </c>
      <c r="C43" s="72" t="inlineStr">
        <is>
          <t>1</t>
        </is>
      </c>
      <c r="D43" s="72" t="inlineStr">
        <is>
          <t>⚠️ Dense</t>
        </is>
      </c>
      <c r="E43" s="72" t="inlineStr">
        <is>
          <t>Polyphenolic bitterness at cool phase (Entry #055 Double Shot)</t>
        </is>
      </c>
      <c r="H43" s="73" t="inlineStr">
        <is>
          <t>👤 Barista #1 (joint)</t>
        </is>
      </c>
      <c r="I43" s="72" t="inlineStr">
        <is>
          <t>Aqil — Zerah Roasters</t>
        </is>
      </c>
      <c r="J43" s="72" t="inlineStr">
        <is>
          <t>Most knowledgeable &amp; warmest barista engagement</t>
        </is>
      </c>
    </row>
    <row r="44" ht="12.75" customHeight="1" s="54">
      <c r="B44" s="75" t="inlineStr">
        <is>
          <t>1:14–1:15</t>
        </is>
      </c>
      <c r="C44" s="74" t="inlineStr">
        <is>
          <t>7</t>
        </is>
      </c>
      <c r="D44" s="74" t="inlineStr">
        <is>
          <t>⚠️ Edge</t>
        </is>
      </c>
      <c r="E44" s="74" t="inlineStr">
        <is>
          <t>Compressed aromatic headspace — sucrose underdeveloped vs acid</t>
        </is>
      </c>
      <c r="H44" s="75" t="inlineStr">
        <is>
          <t>👤 Barista #1 (joint)</t>
        </is>
      </c>
      <c r="I44" s="74" t="inlineStr">
        <is>
          <t>Glenda — Abseil</t>
        </is>
      </c>
      <c r="J44" s="74" t="inlineStr">
        <is>
          <t>Technical depth + exceptional hospitality</t>
        </is>
      </c>
    </row>
    <row r="45" ht="12.75" customHeight="1" s="54">
      <c r="B45" s="73" t="inlineStr">
        <is>
          <t>1:15–1:17 ✅</t>
        </is>
      </c>
      <c r="C45" s="72" t="inlineStr">
        <is>
          <t>34</t>
        </is>
      </c>
      <c r="D45" s="72" t="inlineStr">
        <is>
          <t>✅ OPTIMAL</t>
        </is>
      </c>
      <c r="E45" s="72" t="inlineStr">
        <is>
          <t>Core extraction philosophy — 58% of logged entries</t>
        </is>
      </c>
      <c r="H45" s="73" t="inlineStr">
        <is>
          <t>📍 Best Discovery</t>
        </is>
      </c>
      <c r="I45" s="72" t="inlineStr">
        <is>
          <t>Oaks Coffee Co. (Day 4 of opening)</t>
        </is>
      </c>
      <c r="J45" s="72" t="inlineStr">
        <is>
          <t>Bolivia Pacamara Lactic Honey · S$9 · 5 archive firsts</t>
        </is>
      </c>
    </row>
    <row r="46" ht="12.75" customHeight="1" s="54">
      <c r="B46" s="75" t="inlineStr">
        <is>
          <t>&gt;1:17</t>
        </is>
      </c>
      <c r="C46" s="74" t="inlineStr">
        <is>
          <t>0</t>
        </is>
      </c>
      <c r="D46" s="74" t="inlineStr">
        <is>
          <t>—</t>
        </is>
      </c>
      <c r="E46" s="74" t="inlineStr">
        <is>
          <t>Dilutes acid structure — CGA lactone risk on Naturals</t>
        </is>
      </c>
      <c r="H46" s="75" t="inlineStr">
        <is>
          <t>🧫 Best Process Arc</t>
        </is>
      </c>
      <c r="I46" s="74" t="inlineStr">
        <is>
          <t>Floripondio 90 Hours — Oaks Coffee Co.</t>
        </is>
      </c>
      <c r="J46" s="74" t="inlineStr">
        <is>
          <t>Mango → sugar clarity → nectarine · 3-act thermal arc</t>
        </is>
      </c>
    </row>
    <row r="47" ht="12.75" customHeight="1" s="54">
      <c r="B47" s="73" t="inlineStr">
        <is>
          <t>Unknown</t>
        </is>
      </c>
      <c r="C47" s="72" t="inlineStr">
        <is>
          <t>16</t>
        </is>
      </c>
      <c r="D47" s="72" t="inlineStr">
        <is>
          <t>—</t>
        </is>
      </c>
      <c r="E47" s="72" t="inlineStr">
        <is>
          <t>Early entries pre-hardware protocol</t>
        </is>
      </c>
      <c r="H47" s="73" t="inlineStr">
        <is>
          <t>⚗️ Process Trilogy ✅</t>
        </is>
      </c>
      <c r="I47" s="72" t="inlineStr">
        <is>
          <t>Colombia Gesha — Washed/Honey/Natural</t>
        </is>
      </c>
      <c r="J47" s="72" t="inlineStr">
        <is>
          <t>Fluid · Keryi+Pinhole · Homeground+Cowpresso</t>
        </is>
      </c>
    </row>
    <row r="48" ht="12.75" customHeight="1" s="54">
      <c r="H48" s="75" t="inlineStr">
        <is>
          <t>🔬 Best Hardware Setup</t>
        </is>
      </c>
      <c r="I48" s="74" t="inlineStr">
        <is>
          <t>Abseil — P64 + CT62</t>
        </is>
      </c>
      <c r="J48" s="74" t="inlineStr">
        <is>
          <t>CT62 engineered conical — 2023 German Design Award</t>
        </is>
      </c>
    </row>
    <row r="49" ht="12.75" customHeight="1" s="54">
      <c r="H49" s="73" t="inlineStr">
        <is>
          <t>💰 Best Value</t>
        </is>
      </c>
      <c r="I49" s="72" t="inlineStr">
        <is>
          <t>Gara Agena — Fluid Collective</t>
        </is>
      </c>
      <c r="J49" s="72" t="inlineStr">
        <is>
          <t>S$9 · Special Prep Ethiopian Washed · Hari's #1 list</t>
        </is>
      </c>
    </row>
    <row r="50" ht="12.75" customHeight="1" s="54">
      <c r="H50" s="75" t="inlineStr">
        <is>
          <t>⚠️ Palate Boundary</t>
        </is>
      </c>
      <c r="I50" s="74" t="inlineStr">
        <is>
          <t>Finca El Diviso — Oaks Coffee Co.</t>
        </is>
      </c>
      <c r="J50" s="74" t="inlineStr">
        <is>
          <t>Thermal Shock Anaerobic — intensity ceiling confirmed</t>
        </is>
      </c>
    </row>
    <row r="51" ht="7.5" customHeight="1" s="54"/>
    <row r="52" ht="15.75" customHeight="1" s="54">
      <c r="B52" s="67" t="inlineStr">
        <is>
          <t xml:space="preserve">  📖  THE ARCHIVE THESIS</t>
        </is>
      </c>
    </row>
    <row r="53" ht="13.5" customHeight="1" s="54">
      <c r="B53" s="79" t="inlineStr">
        <is>
          <t>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is>
      </c>
      <c r="C53" s="80" t="n"/>
      <c r="D53" s="80" t="n"/>
      <c r="E53" s="80" t="n"/>
      <c r="F53" s="80" t="n"/>
      <c r="G53" s="80" t="n"/>
      <c r="H53" s="80" t="n"/>
      <c r="I53" s="80" t="n"/>
      <c r="J53" s="80" t="n"/>
      <c r="K53" s="80" t="n"/>
      <c r="L53" s="80" t="n"/>
      <c r="M53" s="80" t="n"/>
    </row>
    <row r="54" ht="13.5" customHeight="1" s="54">
      <c r="B54" s="81" t="n"/>
    </row>
    <row r="55" ht="13.5" customHeight="1" s="54">
      <c r="B55" s="81" t="n"/>
    </row>
  </sheetData>
  <mergeCells count="12">
    <mergeCell ref="B2:M2"/>
    <mergeCell ref="B25:F25"/>
    <mergeCell ref="B27:G27"/>
    <mergeCell ref="H40:M40"/>
    <mergeCell ref="B53:M55"/>
    <mergeCell ref="H27:M27"/>
    <mergeCell ref="B40:G40"/>
    <mergeCell ref="B1:M1"/>
    <mergeCell ref="H11:M11"/>
    <mergeCell ref="B52:M52"/>
    <mergeCell ref="B4:M4"/>
    <mergeCell ref="B11:G1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6A1B9A"/>
    <outlinePr summaryBelow="1" summaryRight="1"/>
    <pageSetUpPr fitToPage="0"/>
  </sheetPr>
  <dimension ref="B1:L2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53" min="1" max="1"/>
    <col width="18" customWidth="1" style="53" min="2" max="2"/>
    <col width="8" customWidth="1" style="53" min="3" max="3"/>
    <col width="6" customWidth="1" style="53" min="4" max="4"/>
    <col width="30" customWidth="1" style="53" min="5" max="5"/>
    <col width="14" customWidth="1" style="53" min="6" max="6"/>
    <col width="5" customWidth="1" style="53" min="7" max="7"/>
    <col width="14" customWidth="1" style="53" min="8" max="8"/>
    <col width="8" customWidth="1" style="53" min="9" max="9"/>
    <col width="10" customWidth="1" style="53" min="10" max="10"/>
    <col width="38" customWidth="1" style="53" min="11" max="11"/>
    <col width="5" customWidth="1" style="53" min="12" max="12"/>
  </cols>
  <sheetData>
    <row r="1" ht="21.75" customHeight="1" s="54">
      <c r="B1" s="65" t="inlineStr">
        <is>
          <t>🧬  PALATE DNA FINGERPRINT</t>
        </is>
      </c>
    </row>
    <row r="2" ht="13.5" customHeight="1" s="54">
      <c r="B2" s="66" t="inlineStr">
        <is>
          <t>What 59 cups reveal about one palate — malic acid · linalool · flat-bottom geometry · washed clarity</t>
        </is>
      </c>
    </row>
    <row r="3" ht="6" customHeight="1" s="54"/>
    <row r="4" ht="15.75" customHeight="1" s="54">
      <c r="B4" s="67" t="inlineStr">
        <is>
          <t xml:space="preserve">  📖  THE PALATE THESIS</t>
        </is>
      </c>
    </row>
    <row r="5" ht="13.5" customHeight="1" s="54">
      <c r="B5" s="79" t="inlineStr">
        <is>
          <t>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is>
      </c>
      <c r="C5" s="80" t="n"/>
      <c r="D5" s="80" t="n"/>
      <c r="E5" s="80" t="n"/>
      <c r="F5" s="80" t="n"/>
      <c r="G5" s="80" t="n"/>
      <c r="H5" s="80" t="n"/>
      <c r="I5" s="80" t="n"/>
      <c r="J5" s="80" t="n"/>
      <c r="K5" s="80" t="n"/>
      <c r="L5" s="80" t="n"/>
    </row>
    <row r="6" ht="13.5" customHeight="1" s="54">
      <c r="B6" s="81" t="n"/>
    </row>
    <row r="7" ht="13.5" customHeight="1" s="54">
      <c r="B7" s="81" t="n"/>
    </row>
    <row r="9" ht="6" customHeight="1" s="54"/>
    <row r="10" ht="15.75" customHeight="1" s="54">
      <c r="B10" s="67" t="inlineStr">
        <is>
          <t xml:space="preserve">  🍯  PROCESS PREFERENCE SPECTRUM  —  Clarity dominates across 59 entries</t>
        </is>
      </c>
      <c r="H10" s="67" t="inlineStr">
        <is>
          <t xml:space="preserve">  🌡️  TEMPERATURE PROTOCOLS  —  88–93°C sweet spot</t>
        </is>
      </c>
    </row>
    <row r="11" ht="15.75" customHeight="1" s="54">
      <c r="B11" s="71" t="inlineStr">
        <is>
          <t>Process</t>
        </is>
      </c>
      <c r="C11" s="71" t="inlineStr">
        <is>
          <t>Entries</t>
        </is>
      </c>
      <c r="D11" s="71" t="inlineStr">
        <is>
          <t>%</t>
        </is>
      </c>
      <c r="E11" s="71" t="inlineStr">
        <is>
          <t>Palate Signal</t>
        </is>
      </c>
      <c r="F11" s="71" t="inlineStr">
        <is>
          <t>Affinity</t>
        </is>
      </c>
      <c r="H11" s="71" t="inlineStr">
        <is>
          <t>Protocol</t>
        </is>
      </c>
      <c r="I11" s="71" t="inlineStr">
        <is>
          <t>Entries</t>
        </is>
      </c>
      <c r="J11" s="71" t="inlineStr">
        <is>
          <t>Context</t>
        </is>
      </c>
    </row>
    <row r="12" ht="12.75" customHeight="1" s="54">
      <c r="B12" s="75" t="inlineStr">
        <is>
          <t>Washed</t>
        </is>
      </c>
      <c r="C12" s="74" t="inlineStr">
        <is>
          <t>22</t>
        </is>
      </c>
      <c r="D12" s="74" t="inlineStr">
        <is>
          <t>41%</t>
        </is>
      </c>
      <c r="E12" s="74" t="inlineStr">
        <is>
          <t>Malic acid clarity · jasmine lift · clean thermal arcs</t>
        </is>
      </c>
      <c r="F12" s="74" t="inlineStr">
        <is>
          <t>★★★★★ Primary</t>
        </is>
      </c>
      <c r="H12" s="75" t="inlineStr">
        <is>
          <t>85–89°C</t>
        </is>
      </c>
      <c r="I12" s="74" t="inlineStr">
        <is>
          <t>1</t>
        </is>
      </c>
      <c r="J12" s="74" t="inlineStr">
        <is>
          <t>Delicate / Nordic style — Abseil 88°C constant for LAB ester preservation</t>
        </is>
      </c>
    </row>
    <row r="13" ht="12.75" customHeight="1" s="54">
      <c r="B13" s="73" t="inlineStr">
        <is>
          <t>Natural</t>
        </is>
      </c>
      <c r="C13" s="72" t="inlineStr">
        <is>
          <t>12</t>
        </is>
      </c>
      <c r="D13" s="72" t="inlineStr">
        <is>
          <t>24%</t>
        </is>
      </c>
      <c r="E13" s="72" t="inlineStr">
        <is>
          <t>Stone fruit · berry complexity · terroir depth</t>
        </is>
      </c>
      <c r="F13" s="72" t="inlineStr">
        <is>
          <t>★★★★ Secondary</t>
        </is>
      </c>
      <c r="H13" s="73" t="inlineStr">
        <is>
          <t>90–91°C</t>
        </is>
      </c>
      <c r="I13" s="72" t="inlineStr">
        <is>
          <t>9</t>
        </is>
      </c>
      <c r="J13" s="72" t="inlineStr">
        <is>
          <t>Clean balanced extraction — Keryi descending protocol</t>
        </is>
      </c>
    </row>
    <row r="14" ht="12.75" customHeight="1" s="54">
      <c r="B14" s="75" t="inlineStr">
        <is>
          <t>Honey</t>
        </is>
      </c>
      <c r="C14" s="74" t="inlineStr">
        <is>
          <t>4</t>
        </is>
      </c>
      <c r="D14" s="74" t="inlineStr">
        <is>
          <t>9%</t>
        </is>
      </c>
      <c r="E14" s="74" t="inlineStr">
        <is>
          <t>Mucilage sweetness bridge · ketone fruit layer</t>
        </is>
      </c>
      <c r="F14" s="74" t="inlineStr">
        <is>
          <t>★★★★ Bridge</t>
        </is>
      </c>
      <c r="H14" s="75" t="inlineStr">
        <is>
          <t>92–94°C ⭐</t>
        </is>
      </c>
      <c r="I14" s="74" t="inlineStr">
        <is>
          <t>7</t>
        </is>
      </c>
      <c r="J14" s="74" t="inlineStr">
        <is>
          <t>Sweet spot — dominant single-temp protocol in Singapore cafés</t>
        </is>
      </c>
    </row>
    <row r="15" ht="12.75" customHeight="1" s="54">
      <c r="B15" s="73" t="inlineStr">
        <is>
          <t>Anaerobic Natural</t>
        </is>
      </c>
      <c r="C15" s="72" t="inlineStr">
        <is>
          <t>4</t>
        </is>
      </c>
      <c r="D15" s="72" t="inlineStr">
        <is>
          <t>9%</t>
        </is>
      </c>
      <c r="E15" s="72" t="inlineStr">
        <is>
          <t>Controlled funk · ester complexity · tropical esters</t>
        </is>
      </c>
      <c r="F15" s="72" t="inlineStr">
        <is>
          <t>★★★ Experimental</t>
        </is>
      </c>
      <c r="H15" s="73" t="inlineStr">
        <is>
          <t>95°C</t>
        </is>
      </c>
      <c r="I15" s="72" t="inlineStr">
        <is>
          <t>3</t>
        </is>
      </c>
      <c r="J15" s="72" t="inlineStr">
        <is>
          <t>Full extraction — bold washed profiles · Apartment Jalan Riang</t>
        </is>
      </c>
    </row>
    <row r="16" ht="12.75" customHeight="1" s="54">
      <c r="B16" s="75" t="inlineStr">
        <is>
          <t>Experimental Ferment</t>
        </is>
      </c>
      <c r="C16" s="74" t="inlineStr">
        <is>
          <t>3</t>
        </is>
      </c>
      <c r="D16" s="74" t="inlineStr">
        <is>
          <t>6%</t>
        </is>
      </c>
      <c r="E16" s="74" t="inlineStr">
        <is>
          <t>Yeast / mosto / co-ferment — frontier zone</t>
        </is>
      </c>
      <c r="F16" s="74" t="inlineStr">
        <is>
          <t>★★ Exploratory</t>
        </is>
      </c>
      <c r="H16" s="75" t="inlineStr">
        <is>
          <t>70→90→70°C 🏆</t>
        </is>
      </c>
      <c r="I16" s="74" t="inlineStr">
        <is>
          <t>7</t>
        </is>
      </c>
      <c r="J16" s="74" t="inlineStr">
        <is>
          <t>Fluid Collective signature oscillation — highest-rated cups in archive</t>
        </is>
      </c>
    </row>
    <row r="17" ht="12.75" customHeight="1" s="54">
      <c r="B17" s="73" t="inlineStr">
        <is>
          <t>Lactic Honey</t>
        </is>
      </c>
      <c r="C17" s="72" t="inlineStr">
        <is>
          <t>1</t>
        </is>
      </c>
      <c r="D17" s="72" t="inlineStr">
        <is>
          <t>2%</t>
        </is>
      </c>
      <c r="E17" s="72" t="inlineStr">
        <is>
          <t>Soft lactic body · glycerol · creamy mouthfeel</t>
        </is>
      </c>
      <c r="F17" s="72" t="inlineStr">
        <is>
          <t>★★★ Discovery</t>
        </is>
      </c>
      <c r="H17" s="73" t="inlineStr">
        <is>
          <t>90→70°C (descending)</t>
        </is>
      </c>
      <c r="I17" s="72" t="inlineStr">
        <is>
          <t>4</t>
        </is>
      </c>
      <c r="J17" s="72" t="inlineStr">
        <is>
          <t>Keryi / Pinhole / Double Shot — terpene preservation on honey/gesha</t>
        </is>
      </c>
    </row>
    <row r="18" ht="12.75" customHeight="1" s="54">
      <c r="B18" s="75" t="inlineStr">
        <is>
          <t>Thermal Shock Anaerobic</t>
        </is>
      </c>
      <c r="C18" s="74" t="inlineStr">
        <is>
          <t>1</t>
        </is>
      </c>
      <c r="D18" s="74" t="inlineStr">
        <is>
          <t>2%</t>
        </is>
      </c>
      <c r="E18" s="74" t="inlineStr">
        <is>
          <t>Intensity ceiling confirmed at Entry #059</t>
        </is>
      </c>
      <c r="F18" s="74" t="inlineStr">
        <is>
          <t>★ Boundary</t>
        </is>
      </c>
      <c r="H18" s="75" t="inlineStr">
        <is>
          <t>80→95→80°C</t>
        </is>
      </c>
      <c r="I18" s="74" t="inlineStr">
        <is>
          <t>1</t>
        </is>
      </c>
      <c r="J18" s="74" t="inlineStr">
        <is>
          <t>Kurasu Frinsa — honey process mucilage management</t>
        </is>
      </c>
    </row>
    <row r="19" ht="12.75" customHeight="1" s="54">
      <c r="B19" s="73" t="inlineStr">
        <is>
          <t>Wet-Hulled</t>
        </is>
      </c>
      <c r="C19" s="72" t="inlineStr">
        <is>
          <t>1</t>
        </is>
      </c>
      <c r="D19" s="72" t="inlineStr">
        <is>
          <t>2%</t>
        </is>
      </c>
      <c r="E19" s="72" t="inlineStr">
        <is>
          <t>Indonesian terroir · syrupy body · one-off</t>
        </is>
      </c>
      <c r="F19" s="72" t="inlineStr">
        <is>
          <t>★ Reference</t>
        </is>
      </c>
      <c r="H19" s="73" t="inlineStr">
        <is>
          <t>88°C constant</t>
        </is>
      </c>
      <c r="I19" s="72" t="inlineStr">
        <is>
          <t>1</t>
        </is>
      </c>
      <c r="J19" s="72" t="inlineStr">
        <is>
          <t>Oaks — LAB lactic ester preservation (Bolivia Pacamara)</t>
        </is>
      </c>
    </row>
    <row r="20" ht="7.5" customHeight="1" s="54"/>
    <row r="21" ht="15.75" customHeight="1" s="54">
      <c r="B21" s="67" t="inlineStr">
        <is>
          <t xml:space="preserve">  ⭐  COLOMBIA GESHA PROCESS TRILOGY  —  Completed 2026 · Three processes · One verdict</t>
        </is>
      </c>
      <c r="H21" s="67" t="inlineStr">
        <is>
          <t xml:space="preserve">  ⚖️  RATIO BAND ANALYSIS  —  1:15–1:17 Optimal Window</t>
        </is>
      </c>
    </row>
    <row r="22" ht="15.75" customHeight="1" s="54">
      <c r="B22" s="71" t="inlineStr">
        <is>
          <t>Process</t>
        </is>
      </c>
      <c r="C22" s="71" t="inlineStr">
        <is>
          <t>Café</t>
        </is>
      </c>
      <c r="D22" s="71" t="inlineStr">
        <is>
          <t>Sensory Arc</t>
        </is>
      </c>
      <c r="E22" s="71" t="inlineStr">
        <is>
          <t>Verdict</t>
        </is>
      </c>
      <c r="H22" s="71" t="inlineStr">
        <is>
          <t>Band</t>
        </is>
      </c>
      <c r="I22" s="71" t="inlineStr">
        <is>
          <t>Count</t>
        </is>
      </c>
      <c r="J22" s="71" t="inlineStr">
        <is>
          <t>Status</t>
        </is>
      </c>
      <c r="K22" s="71" t="inlineStr">
        <is>
          <t>Chemistry Note</t>
        </is>
      </c>
    </row>
    <row r="23" ht="12.75" customHeight="1" s="54">
      <c r="B23" s="73" t="inlineStr">
        <is>
          <t>Washed ⭐</t>
        </is>
      </c>
      <c r="C23" s="72" t="inlineStr">
        <is>
          <t>Fluid Collective (El Obraje)</t>
        </is>
      </c>
      <c r="D23" s="72" t="inlineStr">
        <is>
          <t>Mango · Orange Blossom · Nectarine · Honey — linalool apex</t>
        </is>
      </c>
      <c r="E23" s="72" t="inlineStr">
        <is>
          <t>CUP OF THE YEAR</t>
        </is>
      </c>
      <c r="H23" s="73" t="inlineStr">
        <is>
          <t>&lt;1:13</t>
        </is>
      </c>
      <c r="I23" s="72" t="inlineStr">
        <is>
          <t>1</t>
        </is>
      </c>
      <c r="J23" s="72" t="inlineStr">
        <is>
          <t>⚠️ Espresso</t>
        </is>
      </c>
      <c r="K23" s="72" t="inlineStr">
        <is>
          <t>Concentration removes filter brewing purpose</t>
        </is>
      </c>
    </row>
    <row r="24" ht="12.75" customHeight="1" s="54">
      <c r="B24" s="75" t="inlineStr">
        <is>
          <t>Honey</t>
        </is>
      </c>
      <c r="C24" s="74" t="inlineStr">
        <is>
          <t>Keryi Coffee (Finca La Esmaralda)</t>
        </is>
      </c>
      <c r="D24" s="74" t="inlineStr">
        <is>
          <t>Jasmine · Caramel · Stone Fruit · Tangerine — smooth arc</t>
        </is>
      </c>
      <c r="E24" s="74" t="inlineStr">
        <is>
          <t>EXCELLENT</t>
        </is>
      </c>
      <c r="H24" s="75" t="inlineStr">
        <is>
          <t>1:13–1:14</t>
        </is>
      </c>
      <c r="I24" s="74" t="inlineStr">
        <is>
          <t>1</t>
        </is>
      </c>
      <c r="J24" s="74" t="inlineStr">
        <is>
          <t>⚠️ Dense</t>
        </is>
      </c>
      <c r="K24" s="74" t="inlineStr">
        <is>
          <t>Polyphenolic bitterness amplified · sucrose suppressed (Entry #055)</t>
        </is>
      </c>
    </row>
    <row r="25" ht="12.75" customHeight="1" s="54">
      <c r="B25" s="73" t="inlineStr">
        <is>
          <t>Honey</t>
        </is>
      </c>
      <c r="C25" s="72" t="inlineStr">
        <is>
          <t>Pinhole Coffee Bar (Santa Barbara #1)</t>
        </is>
      </c>
      <c r="D25" s="72" t="inlineStr">
        <is>
          <t>Bergamot · Lychee · Mandarin · Honey — cold-cup revelation</t>
        </is>
      </c>
      <c r="E25" s="72" t="inlineStr">
        <is>
          <t>VERY GOOD</t>
        </is>
      </c>
      <c r="H25" s="73" t="inlineStr">
        <is>
          <t>1:14–1:15</t>
        </is>
      </c>
      <c r="I25" s="72" t="inlineStr">
        <is>
          <t>7</t>
        </is>
      </c>
      <c r="J25" s="72" t="inlineStr">
        <is>
          <t>⚠️ Edge</t>
        </is>
      </c>
      <c r="K25" s="72" t="inlineStr">
        <is>
          <t>Aromatic headspace compressed vs optimal</t>
        </is>
      </c>
    </row>
    <row r="26" ht="12.75" customHeight="1" s="54">
      <c r="B26" s="75" t="inlineStr">
        <is>
          <t>Natural</t>
        </is>
      </c>
      <c r="C26" s="74" t="inlineStr">
        <is>
          <t>Homeground (Inmaculada Estate)</t>
        </is>
      </c>
      <c r="D26" s="74" t="inlineStr">
        <is>
          <t>Hibiscus · Pomegranate · Darjeeling Tea — relaxing depth</t>
        </is>
      </c>
      <c r="E26" s="74" t="inlineStr">
        <is>
          <t>EXCELLENT</t>
        </is>
      </c>
      <c r="H26" s="75" t="inlineStr">
        <is>
          <t>1:15–1:17 ✅</t>
        </is>
      </c>
      <c r="I26" s="74" t="inlineStr">
        <is>
          <t>34</t>
        </is>
      </c>
      <c r="J26" s="74" t="inlineStr">
        <is>
          <t>✅ OPTIMAL</t>
        </is>
      </c>
      <c r="K26" s="74" t="inlineStr">
        <is>
          <t>Core extraction philosophy — 58% of all logged entries</t>
        </is>
      </c>
    </row>
    <row r="27" ht="12.75" customHeight="1" s="54">
      <c r="B27" s="73" t="inlineStr">
        <is>
          <t>Natural</t>
        </is>
      </c>
      <c r="C27" s="72" t="inlineStr">
        <is>
          <t>Cowpresso (Las Nubes)</t>
        </is>
      </c>
      <c r="D27" s="72" t="inlineStr">
        <is>
          <t>Lychee · Berry · Tropical — aggressive Natural expression</t>
        </is>
      </c>
      <c r="E27" s="72" t="inlineStr">
        <is>
          <t>GOOD</t>
        </is>
      </c>
      <c r="H27" s="73" t="inlineStr">
        <is>
          <t>&gt;1:17</t>
        </is>
      </c>
      <c r="I27" s="72" t="inlineStr">
        <is>
          <t>0</t>
        </is>
      </c>
      <c r="J27" s="72" t="inlineStr">
        <is>
          <t>—</t>
        </is>
      </c>
      <c r="K27" s="72" t="inlineStr">
        <is>
          <t>CGA lactone risk on Naturals — confirmed Entry #056 Nylon</t>
        </is>
      </c>
    </row>
    <row r="28" ht="12.75" customHeight="1" s="54">
      <c r="B28" s="77" t="inlineStr">
        <is>
          <t>Archive verdict on the Colombia Gesha Trilogy: Washed = genetic purity (apex). Honey = sweetness amplified. Natural = fermentation over clarity. Washed remains unmatched.</t>
        </is>
      </c>
      <c r="C28" s="78" t="n"/>
      <c r="D28" s="78" t="n"/>
      <c r="E28" s="78" t="n"/>
      <c r="F28" s="78" t="n"/>
      <c r="H28" s="75" t="inlineStr">
        <is>
          <t>Unknown</t>
        </is>
      </c>
      <c r="I28" s="74" t="inlineStr">
        <is>
          <t>16</t>
        </is>
      </c>
      <c r="J28" s="74" t="inlineStr">
        <is>
          <t>—</t>
        </is>
      </c>
      <c r="K28" s="74" t="inlineStr">
        <is>
          <t>Early entries pre-hardware protocol · improving each visit</t>
        </is>
      </c>
    </row>
  </sheetData>
  <mergeCells count="9">
    <mergeCell ref="B4:L4"/>
    <mergeCell ref="B10:G10"/>
    <mergeCell ref="H21:L21"/>
    <mergeCell ref="B28:F28"/>
    <mergeCell ref="H10:L10"/>
    <mergeCell ref="B2:L2"/>
    <mergeCell ref="B5:L7"/>
    <mergeCell ref="B21:G21"/>
    <mergeCell ref="B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D32"/>
    <outlinePr summaryBelow="1" summaryRight="1"/>
    <pageSetUpPr fitToPage="0"/>
  </sheetPr>
  <dimension ref="B1:L3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53" min="1" max="1"/>
    <col width="18" customWidth="1" style="53" min="2" max="2"/>
    <col width="14" customWidth="1" style="53" min="3" max="3"/>
    <col width="22" customWidth="1" style="53" min="4" max="4"/>
    <col width="24" customWidth="1" style="53" min="5" max="6"/>
    <col width="30" customWidth="1" style="53" min="7" max="7"/>
    <col width="16" customWidth="1" style="53" min="8" max="8"/>
    <col width="10" customWidth="1" style="53" min="9" max="10"/>
    <col width="38" customWidth="1" style="53" min="11" max="11"/>
    <col width="5" customWidth="1" style="53" min="12" max="12"/>
  </cols>
  <sheetData>
    <row r="1" ht="21.75" customHeight="1" s="54">
      <c r="B1" s="65" t="inlineStr">
        <is>
          <t>🌍  ORIGIN &amp; TERROIR ATLAS</t>
        </is>
      </c>
    </row>
    <row r="2" ht="13.5" customHeight="1" s="54">
      <c r="B2" s="66" t="inlineStr">
        <is>
          <t>Where the archive has travelled — 18 origins · Colombia leads at 30% · 12 Gesha entries across 6 countries</t>
        </is>
      </c>
    </row>
    <row r="3" ht="6" customHeight="1" s="54"/>
    <row r="4" ht="15.75" customHeight="1" s="54">
      <c r="B4" s="67" t="inlineStr">
        <is>
          <t xml:space="preserve">  🗺️  ORIGIN LEAGUE TABLE  —  live formula, auto-updates with new entries</t>
        </is>
      </c>
      <c r="H4" s="67" t="inlineStr">
        <is>
          <t xml:space="preserve">  ⭐  GESHA REGISTER  —  The Apex Varietal · 12 archive entries</t>
        </is>
      </c>
    </row>
    <row r="5" ht="15.75" customHeight="1" s="54">
      <c r="B5" s="71" t="inlineStr">
        <is>
          <t>Origin</t>
        </is>
      </c>
      <c r="C5" s="71" t="inlineStr">
        <is>
          <t>Entries</t>
        </is>
      </c>
      <c r="D5" s="71" t="inlineStr">
        <is>
          <t>Share</t>
        </is>
      </c>
      <c r="E5" s="71" t="inlineStr">
        <is>
          <t>Gesha?</t>
        </is>
      </c>
      <c r="F5" s="71" t="inlineStr">
        <is>
          <t>Palate DNA Fit</t>
        </is>
      </c>
      <c r="H5" s="71" t="inlineStr">
        <is>
          <t>Metric</t>
        </is>
      </c>
      <c r="I5" s="71" t="inlineStr">
        <is>
          <t>Value</t>
        </is>
      </c>
    </row>
    <row r="6" ht="12.75" customHeight="1" s="54">
      <c r="B6" s="75" t="inlineStr">
        <is>
          <t>Colombia</t>
        </is>
      </c>
      <c r="C6" s="74">
        <f>COUNTIF('Coffee Audit'!F2:F2000,"*Colombia*")</f>
        <v/>
      </c>
      <c r="D6" s="74" t="inlineStr">
        <is>
          <t>30%</t>
        </is>
      </c>
      <c r="E6" s="74">
        <f>COUNTIF('Coffee Audit'!G2:G2000,"*Gesha*")</f>
        <v/>
      </c>
      <c r="F6" s="74" t="inlineStr">
        <is>
          <t>HIGHEST — malic + Gesha depth</t>
        </is>
      </c>
      <c r="H6" s="75" t="inlineStr">
        <is>
          <t>Total Gesha/Geisha entries</t>
        </is>
      </c>
      <c r="I6" s="82">
        <f>COUNTIF('Coffee Audit'!W2:W2000,"⭐ GESHA")</f>
        <v/>
      </c>
    </row>
    <row r="7" ht="12.75" customHeight="1" s="54">
      <c r="B7" s="73" t="inlineStr">
        <is>
          <t>Ethiopia</t>
        </is>
      </c>
      <c r="C7" s="72">
        <f>COUNTIF('Coffee Audit'!F2:F2000,"*Ethiopia*")</f>
        <v/>
      </c>
      <c r="D7" s="72" t="inlineStr">
        <is>
          <t>13%</t>
        </is>
      </c>
      <c r="E7" s="72" t="inlineStr">
        <is>
          <t>—</t>
        </is>
      </c>
      <c r="F7" s="72" t="inlineStr">
        <is>
          <t>HIGH — linalool florals · heirloom terroir</t>
        </is>
      </c>
      <c r="H7" s="73" t="inlineStr">
        <is>
          <t>Washed Gesha</t>
        </is>
      </c>
      <c r="I7" s="83">
        <f>SUMPRODUCT(('Coffee Audit'!W2:W2000="⭐ GESHA")*(ISNUMBER(SEARCH("washed",'Coffee Audit'!H2:H2000))))</f>
        <v/>
      </c>
    </row>
    <row r="8" ht="12.75" customHeight="1" s="54">
      <c r="B8" s="75" t="inlineStr">
        <is>
          <t>Brazil</t>
        </is>
      </c>
      <c r="C8" s="74">
        <f>COUNTIF('Coffee Audit'!F2:F2000,"*Brazil*")</f>
        <v/>
      </c>
      <c r="D8" s="74" t="inlineStr">
        <is>
          <t>9%</t>
        </is>
      </c>
      <c r="E8" s="74" t="inlineStr">
        <is>
          <t>—</t>
        </is>
      </c>
      <c r="F8" s="74" t="inlineStr">
        <is>
          <t>MED — body · Maillard sweetness baseline</t>
        </is>
      </c>
      <c r="H8" s="75" t="inlineStr">
        <is>
          <t>Honey Gesha</t>
        </is>
      </c>
      <c r="I8" s="82">
        <f>SUMPRODUCT(('Coffee Audit'!W2:W2000="⭐ GESHA")*(ISNUMBER(SEARCH("honey",'Coffee Audit'!H2:H2000))))</f>
        <v/>
      </c>
    </row>
    <row r="9" ht="12.75" customHeight="1" s="54">
      <c r="B9" s="73" t="inlineStr">
        <is>
          <t>Honduras</t>
        </is>
      </c>
      <c r="C9" s="72">
        <f>COUNTIF('Coffee Audit'!F2:F2000,"*Honduras*")</f>
        <v/>
      </c>
      <c r="D9" s="72" t="inlineStr">
        <is>
          <t>6%</t>
        </is>
      </c>
      <c r="E9" s="72">
        <f>COUNTIF('Coffee Audit'!G2:G2000,"*Gesha*")</f>
        <v/>
      </c>
      <c r="F9" s="72" t="inlineStr">
        <is>
          <t>HIGH — malic stone fruit · clean finish</t>
        </is>
      </c>
      <c r="H9" s="73" t="inlineStr">
        <is>
          <t>Natural Gesha</t>
        </is>
      </c>
      <c r="I9" s="83">
        <f>SUMPRODUCT(('Coffee Audit'!W2:W2000="⭐ GESHA")*(ISNUMBER(SEARCH("natural",'Coffee Audit'!H2:H2000))))</f>
        <v/>
      </c>
    </row>
    <row r="10" ht="12.75" customHeight="1" s="54">
      <c r="B10" s="75" t="inlineStr">
        <is>
          <t>Indonesia</t>
        </is>
      </c>
      <c r="C10" s="74">
        <f>COUNTIF('Coffee Audit'!F2:F2000,"*Indonesia*")</f>
        <v/>
      </c>
      <c r="D10" s="74" t="inlineStr">
        <is>
          <t>6%</t>
        </is>
      </c>
      <c r="E10" s="74" t="inlineStr">
        <is>
          <t>—</t>
        </is>
      </c>
      <c r="F10" s="74" t="inlineStr">
        <is>
          <t>MED — wet-hulled texture study</t>
        </is>
      </c>
      <c r="H10" s="75" t="inlineStr">
        <is>
          <t>Avg Gesha price (SGD)</t>
        </is>
      </c>
      <c r="I10" s="82" t="inlineStr">
        <is>
          <t>S$14.70</t>
        </is>
      </c>
    </row>
    <row r="11" ht="12.75" customHeight="1" s="54">
      <c r="B11" s="73" t="inlineStr">
        <is>
          <t>Peru</t>
        </is>
      </c>
      <c r="C11" s="72">
        <f>COUNTIF('Coffee Audit'!F2:F2000,"*Peru*")</f>
        <v/>
      </c>
      <c r="D11" s="72" t="inlineStr">
        <is>
          <t>6%</t>
        </is>
      </c>
      <c r="E11" s="72" t="inlineStr">
        <is>
          <t>⭐ ×2</t>
        </is>
      </c>
      <c r="F11" s="72" t="inlineStr">
        <is>
          <t>HIGH — washed Gesha clarity (Wilder Garcia)</t>
        </is>
      </c>
      <c r="H11" s="73" t="inlineStr">
        <is>
          <t>Avg non-Gesha price (SGD)</t>
        </is>
      </c>
      <c r="I11" s="83" t="inlineStr">
        <is>
          <t>S$9.59</t>
        </is>
      </c>
    </row>
    <row r="12" ht="12.75" customHeight="1" s="54">
      <c r="B12" s="75" t="inlineStr">
        <is>
          <t>Kenya</t>
        </is>
      </c>
      <c r="C12" s="74">
        <f>COUNTIF('Coffee Audit'!F2:F2000,"*Kenya*")</f>
        <v/>
      </c>
      <c r="D12" s="74" t="inlineStr">
        <is>
          <t>4%</t>
        </is>
      </c>
      <c r="E12" s="74" t="inlineStr">
        <is>
          <t>—</t>
        </is>
      </c>
      <c r="F12" s="74" t="inlineStr">
        <is>
          <t>HIGH — phosphoric acid · blackcurrant benchmark</t>
        </is>
      </c>
      <c r="H12" s="75" t="inlineStr">
        <is>
          <t>Gesha price premium</t>
        </is>
      </c>
      <c r="I12" s="82" t="inlineStr">
        <is>
          <t>+53%</t>
        </is>
      </c>
    </row>
    <row r="13" ht="12.75" customHeight="1" s="54">
      <c r="B13" s="73" t="inlineStr">
        <is>
          <t>Panama</t>
        </is>
      </c>
      <c r="C13" s="72">
        <f>COUNTIF('Coffee Audit'!F2:F2000,"*Panama*")</f>
        <v/>
      </c>
      <c r="D13" s="72" t="inlineStr">
        <is>
          <t>4%</t>
        </is>
      </c>
      <c r="E13" s="72" t="inlineStr">
        <is>
          <t>⭐ ×2</t>
        </is>
      </c>
      <c r="F13" s="72" t="inlineStr">
        <is>
          <t>HIGHEST — Gesha heartland (Kotowa · Corpachi)</t>
        </is>
      </c>
      <c r="H13" s="73" t="inlineStr">
        <is>
          <t>Origins with Gesha entry</t>
        </is>
      </c>
      <c r="I13" s="83" t="inlineStr">
        <is>
          <t>Colombia · Peru · Panama · Ecuador · Honduras</t>
        </is>
      </c>
    </row>
    <row r="14" ht="12.75" customHeight="1" s="54">
      <c r="B14" s="75" t="inlineStr">
        <is>
          <t>Nicaragua</t>
        </is>
      </c>
      <c r="C14" s="74">
        <f>COUNTIF('Coffee Audit'!F2:F2000,"*Nicaragua*")</f>
        <v/>
      </c>
      <c r="D14" s="74" t="inlineStr">
        <is>
          <t>4%</t>
        </is>
      </c>
      <c r="E14" s="74" t="inlineStr">
        <is>
          <t>—</t>
        </is>
      </c>
      <c r="F14" s="74" t="inlineStr">
        <is>
          <t>MED — clean washed + anaerobic contrast</t>
        </is>
      </c>
      <c r="H14" s="75" t="inlineStr">
        <is>
          <t>Highest-priced Gesha</t>
        </is>
      </c>
      <c r="I14" s="82" t="inlineStr">
        <is>
          <t>S$21 — El Sauce (Abseil)</t>
        </is>
      </c>
    </row>
    <row r="15" ht="12.75" customHeight="1" s="54">
      <c r="B15" s="73" t="inlineStr">
        <is>
          <t>Bolivia</t>
        </is>
      </c>
      <c r="C15" s="72">
        <f>COUNTIF('Coffee Audit'!F2:F2000,"*Bolivia*")</f>
        <v/>
      </c>
      <c r="D15" s="72" t="inlineStr">
        <is>
          <t>3%</t>
        </is>
      </c>
      <c r="E15" s="72" t="inlineStr">
        <is>
          <t>—</t>
        </is>
      </c>
      <c r="F15" s="72" t="inlineStr">
        <is>
          <t>HIGH — Lactic Honey Pacamara · new frontier</t>
        </is>
      </c>
      <c r="H15" s="73" t="inlineStr">
        <is>
          <t>Best-value Gesha</t>
        </is>
      </c>
      <c r="I15" s="83" t="inlineStr">
        <is>
          <t>S$9.90 — Las Nubes (Cowpresso)</t>
        </is>
      </c>
    </row>
    <row r="16" ht="12.75" customHeight="1" s="54">
      <c r="B16" s="75" t="inlineStr">
        <is>
          <t>Ecuador</t>
        </is>
      </c>
      <c r="C16" s="74">
        <f>COUNTIF('Coffee Audit'!F2:F2000,"*Ecuador*")</f>
        <v/>
      </c>
      <c r="D16" s="74" t="inlineStr">
        <is>
          <t>2%</t>
        </is>
      </c>
      <c r="E16" s="74" t="inlineStr">
        <is>
          <t>⭐ ×1</t>
        </is>
      </c>
      <c r="F16" s="74" t="inlineStr">
        <is>
          <t>HIGHEST — #1 palate fit (Loja Gesha)</t>
        </is>
      </c>
      <c r="H16" s="75" t="inlineStr">
        <is>
          <t>Archive verdict — apex process</t>
        </is>
      </c>
      <c r="I16" s="82" t="inlineStr">
        <is>
          <t>Washed (genetic purity over fermentation)</t>
        </is>
      </c>
    </row>
    <row r="17" ht="12.75" customHeight="1" s="54">
      <c r="B17" s="73" t="inlineStr">
        <is>
          <t>India</t>
        </is>
      </c>
      <c r="C17" s="72">
        <f>COUNTIF('Coffee Audit'!F2:F2000,"*India*")</f>
        <v/>
      </c>
      <c r="D17" s="72" t="inlineStr">
        <is>
          <t>4%</t>
        </is>
      </c>
      <c r="E17" s="72" t="inlineStr">
        <is>
          <t>—</t>
        </is>
      </c>
      <c r="F17" s="72" t="inlineStr">
        <is>
          <t>MED — anaerobic exploration · Subko/Grey Soul</t>
        </is>
      </c>
    </row>
    <row r="18" ht="12.75" customHeight="1" s="54">
      <c r="B18" s="75" t="inlineStr">
        <is>
          <t>Malaysia</t>
        </is>
      </c>
      <c r="C18" s="74">
        <f>COUNTIF('Coffee Audit'!F2:F2000,"*Malaysia*")</f>
        <v/>
      </c>
      <c r="D18" s="74" t="inlineStr">
        <is>
          <t>2%</t>
        </is>
      </c>
      <c r="E18" s="74" t="inlineStr">
        <is>
          <t>—</t>
        </is>
      </c>
      <c r="F18" s="74" t="inlineStr">
        <is>
          <t>REF — Liberica · archive first non-Arabica</t>
        </is>
      </c>
    </row>
    <row r="19" ht="12.75" customHeight="1" s="54">
      <c r="B19" s="73" t="inlineStr">
        <is>
          <t>China</t>
        </is>
      </c>
      <c r="C19" s="72">
        <f>COUNTIF('Coffee Audit'!F2:F2000,"*China*")</f>
        <v/>
      </c>
      <c r="D19" s="72" t="inlineStr">
        <is>
          <t>2%</t>
        </is>
      </c>
      <c r="E19" s="72" t="inlineStr">
        <is>
          <t>—</t>
        </is>
      </c>
      <c r="F19" s="72" t="inlineStr">
        <is>
          <t>REF — Yunnan Purple Leaf Caturra · surprise entry</t>
        </is>
      </c>
    </row>
    <row r="20" ht="12.75" customHeight="1" s="54">
      <c r="B20" s="75" t="inlineStr">
        <is>
          <t>Rwanda</t>
        </is>
      </c>
      <c r="C20" s="74">
        <f>COUNTIF('Coffee Audit'!F2:F2000,"*Rwanda*")</f>
        <v/>
      </c>
      <c r="D20" s="74" t="inlineStr">
        <is>
          <t>2%</t>
        </is>
      </c>
      <c r="E20" s="74" t="inlineStr">
        <is>
          <t>—</t>
        </is>
      </c>
      <c r="F20" s="74" t="inlineStr">
        <is>
          <t>MED — baked apple · citric-malic duality</t>
        </is>
      </c>
    </row>
    <row r="21" ht="12.75" customHeight="1" s="54">
      <c r="B21" s="73" t="inlineStr">
        <is>
          <t>Myanmar</t>
        </is>
      </c>
      <c r="C21" s="72">
        <f>COUNTIF('Coffee Audit'!F2:F2000,"*Myanmar*")</f>
        <v/>
      </c>
      <c r="D21" s="72" t="inlineStr">
        <is>
          <t>2%</t>
        </is>
      </c>
      <c r="E21" s="72" t="inlineStr">
        <is>
          <t>—</t>
        </is>
      </c>
      <c r="F21" s="72" t="inlineStr">
        <is>
          <t>REF — batch-brew study · Catimor lineage</t>
        </is>
      </c>
    </row>
    <row r="22" ht="12.75" customHeight="1" s="54">
      <c r="B22" s="75" t="inlineStr">
        <is>
          <t>El Salvador</t>
        </is>
      </c>
      <c r="C22" s="74">
        <f>COUNTIF('Coffee Audit'!F2:F2000,"*Salvador*")</f>
        <v/>
      </c>
      <c r="D22" s="74" t="inlineStr">
        <is>
          <t>2%</t>
        </is>
      </c>
      <c r="E22" s="74" t="inlineStr">
        <is>
          <t>—</t>
        </is>
      </c>
      <c r="F22" s="74" t="inlineStr">
        <is>
          <t>MED — Pacamara Natural · Aanya's first filter</t>
        </is>
      </c>
    </row>
    <row r="23" ht="7.5" customHeight="1" s="54"/>
    <row r="24" ht="15.75" customHeight="1" s="54">
      <c r="B24" s="67" t="inlineStr">
        <is>
          <t xml:space="preserve">  🎯  VARIETAL TARGET REGISTER  —  what's been captured &amp; what remains</t>
        </is>
      </c>
    </row>
    <row r="25" ht="15.75" customHeight="1" s="54">
      <c r="B25" s="71" t="inlineStr">
        <is>
          <t>Varietal</t>
        </is>
      </c>
      <c r="C25" s="71" t="inlineStr">
        <is>
          <t>Status</t>
        </is>
      </c>
      <c r="D25" s="71" t="inlineStr">
        <is>
          <t>Archive Entry</t>
        </is>
      </c>
      <c r="E25" s="71" t="inlineStr">
        <is>
          <t>Process Encountered</t>
        </is>
      </c>
      <c r="F25" s="71" t="inlineStr">
        <is>
          <t>Note</t>
        </is>
      </c>
    </row>
    <row r="26" ht="12.75" customHeight="1" s="54">
      <c r="B26" s="84" t="inlineStr">
        <is>
          <t>Gesha/Geisha</t>
        </is>
      </c>
      <c r="C26" s="85" t="inlineStr">
        <is>
          <t>✅ CAPTURED</t>
        </is>
      </c>
      <c r="D26" s="85" t="inlineStr">
        <is>
          <t>Multiple — Entry #017 onward</t>
        </is>
      </c>
      <c r="E26" s="85" t="inlineStr">
        <is>
          <t>Washed · Honey · Natural · Anaerobic Washed</t>
        </is>
      </c>
      <c r="F26" s="85" t="inlineStr">
        <is>
          <t>Apex varietal · 12 entries</t>
        </is>
      </c>
    </row>
    <row r="27" ht="12.75" customHeight="1" s="54">
      <c r="B27" s="84" t="inlineStr">
        <is>
          <t>Pacamara</t>
        </is>
      </c>
      <c r="C27" s="85" t="inlineStr">
        <is>
          <t>✅ CAPTURED</t>
        </is>
      </c>
      <c r="D27" s="85" t="inlineStr">
        <is>
          <t>Entry #049 — Oaks Coffee Co.</t>
        </is>
      </c>
      <c r="E27" s="85" t="inlineStr">
        <is>
          <t>Lactic Honey (90hr)</t>
        </is>
      </c>
      <c r="F27" s="85" t="inlineStr">
        <is>
          <t>First Bolivia · first Pacamara</t>
        </is>
      </c>
    </row>
    <row r="28" ht="12.75" customHeight="1" s="54">
      <c r="B28" s="84" t="inlineStr">
        <is>
          <t>Aji Bourbon</t>
        </is>
      </c>
      <c r="C28" s="85" t="inlineStr">
        <is>
          <t>✅ CAPTURED</t>
        </is>
      </c>
      <c r="D28" s="85" t="inlineStr">
        <is>
          <t>Entry #059 — Oaks Coffee Co.</t>
        </is>
      </c>
      <c r="E28" s="85" t="inlineStr">
        <is>
          <t>Thermal Shock Anaerobic Natural</t>
        </is>
      </c>
      <c r="F28" s="85" t="inlineStr">
        <is>
          <t>Finca El Diviso · Nestor Lasso</t>
        </is>
      </c>
    </row>
    <row r="29" ht="12.75" customHeight="1" s="54">
      <c r="B29" s="84" t="inlineStr">
        <is>
          <t>Sudan Rume</t>
        </is>
      </c>
      <c r="C29" s="85" t="inlineStr">
        <is>
          <t>✅ CAPTURED</t>
        </is>
      </c>
      <c r="D29" s="85" t="inlineStr">
        <is>
          <t>Entry #018 — Maxi Coffee Bar</t>
        </is>
      </c>
      <c r="E29" s="85" t="inlineStr">
        <is>
          <t>Washed</t>
        </is>
      </c>
      <c r="F29" s="85" t="inlineStr">
        <is>
          <t>Yellow variant also at Asylum #038</t>
        </is>
      </c>
    </row>
    <row r="30" ht="12.75" customHeight="1" s="54">
      <c r="B30" s="84" t="inlineStr">
        <is>
          <t>Pink Bourbon</t>
        </is>
      </c>
      <c r="C30" s="85" t="inlineStr">
        <is>
          <t>✅ CAPTURED</t>
        </is>
      </c>
      <c r="D30" s="85" t="inlineStr">
        <is>
          <t>Entry #048 — Zerah Roasters</t>
        </is>
      </c>
      <c r="E30" s="85" t="inlineStr">
        <is>
          <t>Washed</t>
        </is>
      </c>
      <c r="F30" s="85" t="inlineStr">
        <is>
          <t>Finca Villarazo · DF83V debut</t>
        </is>
      </c>
    </row>
    <row r="31" ht="12.75" customHeight="1" s="54">
      <c r="B31" s="84" t="inlineStr">
        <is>
          <t>Wush Wush</t>
        </is>
      </c>
      <c r="C31" s="85" t="inlineStr">
        <is>
          <t>✅ CAPTURED</t>
        </is>
      </c>
      <c r="D31" s="85" t="inlineStr">
        <is>
          <t>Entry #011 — Apartment Selegie</t>
        </is>
      </c>
      <c r="E31" s="85" t="inlineStr">
        <is>
          <t>Washed</t>
        </is>
      </c>
      <c r="F31" s="85" t="inlineStr">
        <is>
          <t>Tea-like clarity standout</t>
        </is>
      </c>
    </row>
    <row r="32" ht="12.75" customHeight="1" s="54">
      <c r="B32" s="84" t="inlineStr">
        <is>
          <t>Hybrid Laurina</t>
        </is>
      </c>
      <c r="C32" s="85" t="inlineStr">
        <is>
          <t>✅ CAPTURED</t>
        </is>
      </c>
      <c r="D32" s="85" t="inlineStr">
        <is>
          <t>Entry #035 — Alchemist OFC</t>
        </is>
      </c>
      <c r="E32" s="85" t="inlineStr">
        <is>
          <t>Anaerobic Natural</t>
        </is>
      </c>
      <c r="F32" s="85" t="inlineStr">
        <is>
          <t>Low-caffeine mutation</t>
        </is>
      </c>
    </row>
    <row r="33" ht="12.75" customHeight="1" s="54">
      <c r="B33" s="84" t="inlineStr">
        <is>
          <t>Caturra Chiroso</t>
        </is>
      </c>
      <c r="C33" s="85" t="inlineStr">
        <is>
          <t>✅ CAPTURED</t>
        </is>
      </c>
      <c r="D33" s="85" t="inlineStr">
        <is>
          <t>Entry #025 — Zerah Roasters</t>
        </is>
      </c>
      <c r="E33" s="85" t="inlineStr">
        <is>
          <t>Yeast Anaerobic Natural</t>
        </is>
      </c>
      <c r="F33" s="85" t="inlineStr">
        <is>
          <t>Elongated Gesha-adjacent cell</t>
        </is>
      </c>
    </row>
    <row r="34" ht="12.75" customHeight="1" s="54">
      <c r="B34" s="84" t="inlineStr">
        <is>
          <t>Liberica</t>
        </is>
      </c>
      <c r="C34" s="85" t="inlineStr">
        <is>
          <t>✅ CAPTURED</t>
        </is>
      </c>
      <c r="D34" s="85" t="inlineStr">
        <is>
          <t>Entry #039 — Corner Corner</t>
        </is>
      </c>
      <c r="E34" s="85" t="inlineStr">
        <is>
          <t>JH Natural</t>
        </is>
      </c>
      <c r="F34" s="85" t="inlineStr">
        <is>
          <t>Archive's only non-Arabica</t>
        </is>
      </c>
    </row>
    <row r="35" ht="12.75" customHeight="1" s="54">
      <c r="B35" s="84" t="inlineStr">
        <is>
          <t>Purple Leaf Caturra</t>
        </is>
      </c>
      <c r="C35" s="85" t="inlineStr">
        <is>
          <t>✅ CAPTURED</t>
        </is>
      </c>
      <c r="D35" s="85" t="inlineStr">
        <is>
          <t>Entry #036 — Apartment</t>
        </is>
      </c>
      <c r="E35" s="85" t="inlineStr">
        <is>
          <t>Double Washed</t>
        </is>
      </c>
      <c r="F35" s="85" t="inlineStr">
        <is>
          <t>China Yunnan · anthocyanin clarity</t>
        </is>
      </c>
    </row>
    <row r="36" ht="12.75" customHeight="1" s="54">
      <c r="B36" s="84" t="inlineStr">
        <is>
          <t>Typica Mejorado</t>
        </is>
      </c>
      <c r="C36" s="85" t="inlineStr">
        <is>
          <t>✅ CAPTURED</t>
        </is>
      </c>
      <c r="D36" s="85" t="inlineStr">
        <is>
          <t>Entry #023 — Clod Coffee Bar</t>
        </is>
      </c>
      <c r="E36" s="85" t="inlineStr">
        <is>
          <t>Anaerobic Washed</t>
        </is>
      </c>
      <c r="F36" s="85" t="inlineStr">
        <is>
          <t>JB cross-border audit</t>
        </is>
      </c>
    </row>
    <row r="37" ht="12.75" customHeight="1" s="54">
      <c r="B37" s="86" t="inlineStr">
        <is>
          <t>Maragogipe</t>
        </is>
      </c>
      <c r="C37" s="87" t="inlineStr">
        <is>
          <t>❌ MISSING</t>
        </is>
      </c>
      <c r="D37" s="87" t="inlineStr">
        <is>
          <t>—</t>
        </is>
      </c>
      <c r="E37" s="87" t="inlineStr">
        <is>
          <t>—</t>
        </is>
      </c>
      <c r="F37" s="87" t="inlineStr">
        <is>
          <t>Large-bean ancestor of Pacamara — watchlist</t>
        </is>
      </c>
    </row>
    <row r="38" ht="12.75" customHeight="1" s="54">
      <c r="B38" s="86" t="inlineStr">
        <is>
          <t>Eugenioides</t>
        </is>
      </c>
      <c r="C38" s="87" t="inlineStr">
        <is>
          <t>❌ MISSING</t>
        </is>
      </c>
      <c r="D38" s="87" t="inlineStr">
        <is>
          <t>—</t>
        </is>
      </c>
      <c r="E38" s="87" t="inlineStr">
        <is>
          <t>—</t>
        </is>
      </c>
      <c r="F38" s="87" t="inlineStr">
        <is>
          <t>HIGHEST PRIORITY MISSING VARIETAL</t>
        </is>
      </c>
    </row>
    <row r="39" ht="12.75" customHeight="1" s="54">
      <c r="B39" s="86" t="inlineStr">
        <is>
          <t>Sidra</t>
        </is>
      </c>
      <c r="C39" s="87" t="inlineStr">
        <is>
          <t>❌ MISSING</t>
        </is>
      </c>
      <c r="D39" s="87" t="inlineStr">
        <is>
          <t>—</t>
        </is>
      </c>
      <c r="E39" s="87" t="inlineStr">
        <is>
          <t>—</t>
        </is>
      </c>
      <c r="F39" s="87" t="inlineStr">
        <is>
          <t>Watchlist — Fahrenheit Coffee target</t>
        </is>
      </c>
    </row>
  </sheetData>
  <mergeCells count="5">
    <mergeCell ref="B24:L24"/>
    <mergeCell ref="B2:L2"/>
    <mergeCell ref="B4:G4"/>
    <mergeCell ref="H4:L4"/>
    <mergeCell ref="B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1565C0"/>
    <outlinePr summaryBelow="1" summaryRight="1"/>
    <pageSetUpPr fitToPage="0"/>
  </sheetPr>
  <dimension ref="B1:K3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53" min="1" max="1"/>
    <col width="26" customWidth="1" style="53" min="2" max="2"/>
    <col width="8" customWidth="1" style="53" min="3" max="3"/>
    <col width="11" customWidth="1" style="53" min="4" max="4"/>
    <col width="13" customWidth="1" style="53" min="5" max="5"/>
    <col width="42" customWidth="1" style="53" min="6" max="6"/>
    <col width="5" customWidth="1" style="53" min="7" max="11"/>
  </cols>
  <sheetData>
    <row r="1" ht="21.75" customHeight="1" s="54">
      <c r="B1" s="65" t="inlineStr">
        <is>
          <t>⚙️  HARDWARE &amp; EXTRACTION PHYSICS</t>
        </is>
      </c>
    </row>
    <row r="2" ht="13.5" customHeight="1" s="54">
      <c r="B2" s="66" t="inlineStr">
        <is>
          <t>Flat burrs · flat beds · the physics of clarity  ·  precision instruments for a precision palate</t>
        </is>
      </c>
    </row>
    <row r="3" ht="6" customHeight="1" s="54"/>
    <row r="4" ht="15.75" customHeight="1" s="54">
      <c r="B4" s="67" t="inlineStr">
        <is>
          <t xml:space="preserve">  🔩  GRINDER PLATFORM REGISTER  —  flat burr platforms deliver the archive's best cups</t>
        </is>
      </c>
    </row>
    <row r="5" ht="15.75" customHeight="1" s="54">
      <c r="B5" s="71" t="inlineStr">
        <is>
          <t>Platform</t>
        </is>
      </c>
      <c r="C5" s="71" t="inlineStr">
        <is>
          <t>Entries</t>
        </is>
      </c>
      <c r="D5" s="71" t="inlineStr">
        <is>
          <t>Burr Size</t>
        </is>
      </c>
      <c r="E5" s="71" t="inlineStr">
        <is>
          <t>Palate Impact</t>
        </is>
      </c>
      <c r="F5" s="71" t="inlineStr">
        <is>
          <t>Archive Entries</t>
        </is>
      </c>
    </row>
    <row r="6" ht="12.75" customHeight="1" s="54">
      <c r="B6" s="75" t="inlineStr">
        <is>
          <t>Option-O Lagom P80</t>
        </is>
      </c>
      <c r="C6" s="74" t="inlineStr">
        <is>
          <t>2</t>
        </is>
      </c>
      <c r="D6" s="74" t="inlineStr">
        <is>
          <t>80mm flat</t>
        </is>
      </c>
      <c r="E6" s="74" t="inlineStr">
        <is>
          <t>First P80 in archive — Entry #049 Oaks. Unimodal PSD on oversized Pacamara beans.</t>
        </is>
      </c>
      <c r="F6" s="74" t="inlineStr">
        <is>
          <t>Oaks Coffee Co. ×2</t>
        </is>
      </c>
    </row>
    <row r="7" ht="12.75" customHeight="1" s="54">
      <c r="B7" s="73" t="inlineStr">
        <is>
          <t>Option-O Lagom P64</t>
        </is>
      </c>
      <c r="C7" s="72" t="inlineStr">
        <is>
          <t>8</t>
        </is>
      </c>
      <c r="D7" s="72" t="inlineStr">
        <is>
          <t>64mm flat</t>
        </is>
      </c>
      <c r="E7" s="72" t="inlineStr">
        <is>
          <t>Preferred precision platform — Fluid, Asylum, Abseil. Minimal fines.</t>
        </is>
      </c>
      <c r="F7" s="72" t="inlineStr">
        <is>
          <t>Fluid · Asylum · Zerah · Abseil</t>
        </is>
      </c>
    </row>
    <row r="8" ht="12.75" customHeight="1" s="54">
      <c r="B8" s="75" t="inlineStr">
        <is>
          <t>Mahlkönig EK43/EK43S</t>
        </is>
      </c>
      <c r="C8" s="74" t="inlineStr">
        <is>
          <t>12</t>
        </is>
      </c>
      <c r="D8" s="74" t="inlineStr">
        <is>
          <t>98mm flat</t>
        </is>
      </c>
      <c r="E8" s="74" t="inlineStr">
        <is>
          <t>Café workhorse — widest flat burr in archive. High throughput, competition heritage.</t>
        </is>
      </c>
      <c r="F8" s="74" t="inlineStr">
        <is>
          <t>Homeground · Lume · Keryi · Agora</t>
        </is>
      </c>
    </row>
    <row r="9" ht="12.75" customHeight="1" s="54">
      <c r="B9" s="73" t="inlineStr">
        <is>
          <t>Mahlkönig EK Omnia</t>
        </is>
      </c>
      <c r="C9" s="72" t="inlineStr">
        <is>
          <t>4</t>
        </is>
      </c>
      <c r="D9" s="72" t="inlineStr">
        <is>
          <t>98mm flat</t>
        </is>
      </c>
      <c r="E9" s="72" t="inlineStr">
        <is>
          <t>EK43 successor — Nylon standard grinder across all 6 visits.</t>
        </is>
      </c>
      <c r="F9" s="72" t="inlineStr">
        <is>
          <t>Nylon Coffee Roasters ×4</t>
        </is>
      </c>
    </row>
    <row r="10" ht="12.75" customHeight="1" s="54">
      <c r="B10" s="75" t="inlineStr">
        <is>
          <t>Ditting (63.5/98mm)</t>
        </is>
      </c>
      <c r="C10" s="74" t="inlineStr">
        <is>
          <t>2</t>
        </is>
      </c>
      <c r="D10" s="74" t="inlineStr">
        <is>
          <t>63.5–98mm flat</t>
        </is>
      </c>
      <c r="E10" s="74" t="inlineStr">
        <is>
          <t>Lab-grade narrow PSD — Double Shot + Keryi. Licensed aggressive ratios.</t>
        </is>
      </c>
      <c r="F10" s="74" t="inlineStr">
        <is>
          <t>Double Shot · Keryi Coffee</t>
        </is>
      </c>
    </row>
    <row r="11" ht="12.75" customHeight="1" s="54">
      <c r="B11" s="73" t="inlineStr">
        <is>
          <t>DF83V (83mm flat)</t>
        </is>
      </c>
      <c r="C11" s="72" t="inlineStr">
        <is>
          <t>1</t>
        </is>
      </c>
      <c r="D11" s="72" t="inlineStr">
        <is>
          <t>83mm flat</t>
        </is>
      </c>
      <c r="E11" s="72" t="inlineStr">
        <is>
          <t>First DF83 in archive — Zerah Pink Bourbon. Zero fines at 83mm.</t>
        </is>
      </c>
      <c r="F11" s="72" t="inlineStr">
        <is>
          <t>Zerah Roasters</t>
        </is>
      </c>
    </row>
    <row r="12" ht="12.75" customHeight="1" s="54">
      <c r="B12" s="75" t="inlineStr">
        <is>
          <t>Timemore Sculptor 078</t>
        </is>
      </c>
      <c r="C12" s="74" t="inlineStr">
        <is>
          <t>2</t>
        </is>
      </c>
      <c r="D12" s="74" t="inlineStr">
        <is>
          <t>78mm flat</t>
        </is>
      </c>
      <c r="E12" s="74" t="inlineStr">
        <is>
          <t>Compact 78mm — Maxi Coffee Bar · mid-range precision tier.</t>
        </is>
      </c>
      <c r="F12" s="74" t="inlineStr">
        <is>
          <t>Maxi Coffee Bar ×2</t>
        </is>
      </c>
    </row>
    <row r="13" ht="12.75" customHeight="1" s="54">
      <c r="B13" s="73" t="inlineStr">
        <is>
          <t>FM 120mm Hybrid</t>
        </is>
      </c>
      <c r="C13" s="72" t="inlineStr">
        <is>
          <t>2</t>
        </is>
      </c>
      <c r="D13" s="72" t="inlineStr">
        <is>
          <t>120mm hybrid</t>
        </is>
      </c>
      <c r="E13" s="72" t="inlineStr">
        <is>
          <t>Largest burr in archive — extreme fines reduction for SL28/SL34 Kenya.</t>
        </is>
      </c>
      <c r="F13" s="72" t="inlineStr">
        <is>
          <t>Kyuukei Coffee × 2</t>
        </is>
      </c>
    </row>
    <row r="14" ht="12.75" customHeight="1" s="54">
      <c r="B14" s="75" t="inlineStr">
        <is>
          <t>Mazzer MM (83mm)</t>
        </is>
      </c>
      <c r="C14" s="74" t="inlineStr">
        <is>
          <t>1</t>
        </is>
      </c>
      <c r="D14" s="74" t="inlineStr">
        <is>
          <t>83mm flat</t>
        </is>
      </c>
      <c r="E14" s="74" t="inlineStr">
        <is>
          <t>PPP Funan — wider fines than 98mm reference. Over-extraction documented.</t>
        </is>
      </c>
      <c r="F14" s="74" t="inlineStr">
        <is>
          <t>PPP Coffee (Funan)</t>
        </is>
      </c>
    </row>
    <row r="15" ht="12.75" customHeight="1" s="54">
      <c r="B15" s="73" t="inlineStr">
        <is>
          <t>Timemore Conical Gold</t>
        </is>
      </c>
      <c r="C15" s="72" t="inlineStr">
        <is>
          <t>1</t>
        </is>
      </c>
      <c r="D15" s="72" t="inlineStr">
        <is>
          <t>Conical</t>
        </is>
      </c>
      <c r="E15" s="72" t="inlineStr">
        <is>
          <t>Corner Corner — Liberica. Only conical burr in archive. Softer extraction.</t>
        </is>
      </c>
      <c r="F15" s="72" t="inlineStr">
        <is>
          <t>Corner Corner</t>
        </is>
      </c>
    </row>
    <row r="16" ht="7.5" customHeight="1" s="54"/>
    <row r="17" ht="15.75" customHeight="1" s="54">
      <c r="B17" s="67" t="inlineStr">
        <is>
          <t xml:space="preserve">  ☕  BREWER GEOMETRY ANALYSIS  —  flat-bottom wins every documented comparison</t>
        </is>
      </c>
    </row>
    <row r="18" ht="15.75" customHeight="1" s="54">
      <c r="B18" s="71" t="inlineStr">
        <is>
          <t>Geometry</t>
        </is>
      </c>
      <c r="C18" s="71" t="inlineStr">
        <is>
          <t>Entries</t>
        </is>
      </c>
      <c r="D18" s="71" t="inlineStr">
        <is>
          <t>Archive Status</t>
        </is>
      </c>
      <c r="E18" s="71" t="inlineStr">
        <is>
          <t>Chemistry Note</t>
        </is>
      </c>
    </row>
    <row r="19" ht="15.75" customHeight="1" s="54">
      <c r="B19" s="84" t="inlineStr">
        <is>
          <t>Flat-Bottom (Origami/OREA/April/xBloom/Alpha/Switch)</t>
        </is>
      </c>
      <c r="C19" s="85" t="inlineStr">
        <is>
          <t>28</t>
        </is>
      </c>
      <c r="D19" s="85" t="inlineStr">
        <is>
          <t>✅ PRIMARY PREFERENCE</t>
        </is>
      </c>
      <c r="E19" s="85" t="inlineStr">
        <is>
          <t>Even bed saturation · zero bypass · full contact geometry. Delivers archive's highest-rated cups consistently.</t>
        </is>
      </c>
    </row>
    <row r="20" ht="15.75" customHeight="1" s="54">
      <c r="B20" s="84" t="inlineStr">
        <is>
          <t>CT62 (Engineered Conical — 24-groove flow compensation)</t>
        </is>
      </c>
      <c r="C20" s="85" t="inlineStr">
        <is>
          <t>1</t>
        </is>
      </c>
      <c r="D20" s="85" t="inlineStr">
        <is>
          <t>✅ EXEMPTED</t>
        </is>
      </c>
      <c r="E20" s="85" t="inlineStr">
        <is>
          <t>Entry #057 Abseil. 12 long + 12 short grooves regulate flow rate = flat-bottom equivalent extraction consistency.</t>
        </is>
      </c>
    </row>
    <row r="21" ht="15.75" customHeight="1" s="54">
      <c r="B21" s="88" t="inlineStr">
        <is>
          <t>Standard Conical (V60)</t>
        </is>
      </c>
      <c r="C21" s="89" t="inlineStr">
        <is>
          <t>7</t>
        </is>
      </c>
      <c r="D21" s="89" t="inlineStr">
        <is>
          <t>⚠️ OVER-EXTRACTION FLAG</t>
        </is>
      </c>
      <c r="E21" s="89" t="inlineStr">
        <is>
          <t>Documented over-extraction pattern at Agora (Beloya), Kurasu (Rwanda), PPP (Suke Quto), Cowpresso. Fine particle apex creates CGA bitterness.</t>
        </is>
      </c>
    </row>
    <row r="22" ht="15.75" customHeight="1" s="54">
      <c r="B22" s="88" t="inlineStr">
        <is>
          <t>Automated (xBloom batch)</t>
        </is>
      </c>
      <c r="C22" s="89" t="inlineStr">
        <is>
          <t>4</t>
        </is>
      </c>
      <c r="D22" s="89" t="inlineStr">
        <is>
          <t>⚠️ METHODOLOGY NOTE</t>
        </is>
      </c>
      <c r="E22" s="89" t="inlineStr">
        <is>
          <t>xBloom at Nylon — flat-bottom geometry, but automation removes barista pour adjustment. Clips thermal arc expressiveness.</t>
        </is>
      </c>
    </row>
    <row r="23" ht="15.75" customHeight="1" s="54">
      <c r="B23" s="84" t="inlineStr">
        <is>
          <t>Immersion-assist (Hario Switch/Deep27)</t>
        </is>
      </c>
      <c r="C23" s="85" t="inlineStr">
        <is>
          <t>5</t>
        </is>
      </c>
      <c r="D23" s="85" t="inlineStr">
        <is>
          <t>✅ SECONDARY PREFERENCE</t>
        </is>
      </c>
      <c r="E23" s="85" t="inlineStr">
        <is>
          <t>Full bed saturation in immersion phase before drawdown. Strong on honey process (Keryi). Deep27 debut Entry #047 Kyuukei.</t>
        </is>
      </c>
    </row>
    <row r="24" ht="15.75" customHeight="1" s="54">
      <c r="B24" s="86" t="inlineStr">
        <is>
          <t>Automated Tap Dispenser</t>
        </is>
      </c>
      <c r="C24" s="87" t="inlineStr">
        <is>
          <t>1</t>
        </is>
      </c>
      <c r="D24" s="87" t="inlineStr">
        <is>
          <t>❌ REJECTED CONCEPT</t>
        </is>
      </c>
      <c r="E24" s="87" t="inlineStr">
        <is>
          <t>Entry #045 — 2050 Coffee. Hari's verdict: automation and pourover are philosophically incompatible. Not a return target.</t>
        </is>
      </c>
    </row>
    <row r="25" ht="7.5" customHeight="1" s="54"/>
    <row r="26" ht="15.75" customHeight="1" s="54">
      <c r="B26" s="67" t="inlineStr">
        <is>
          <t xml:space="preserve">  📜  SIX EXTRACTION LAWS  —  empirically proven across 59 field audits</t>
        </is>
      </c>
    </row>
    <row r="27" ht="19.5" customHeight="1" s="54">
      <c r="B27" s="90" t="inlineStr">
        <is>
          <t>Law 1:  Flat-bottom geometry outperforms conical for this palate. Every conical V60 entry carries a standing over-extraction risk flag in this archive.</t>
        </is>
      </c>
      <c r="C27" s="78" t="n"/>
      <c r="D27" s="78" t="n"/>
      <c r="E27" s="78" t="n"/>
      <c r="F27" s="78" t="n"/>
      <c r="G27" s="78" t="n"/>
      <c r="H27" s="78" t="n"/>
      <c r="I27" s="78" t="n"/>
      <c r="J27" s="78" t="n"/>
    </row>
    <row r="28" ht="19.5" customHeight="1" s="54">
      <c r="B28" s="91" t="inlineStr">
        <is>
          <t>Law 2:  1:13–1:14 concentration amplifies polyphenolic bitterness at cool phase and suppresses sucrose emergence. Documented at Double Shot (Entry #055) and Equate (Entry #039).</t>
        </is>
      </c>
      <c r="C28" s="78" t="n"/>
      <c r="D28" s="78" t="n"/>
      <c r="E28" s="78" t="n"/>
      <c r="F28" s="78" t="n"/>
      <c r="G28" s="78" t="n"/>
      <c r="H28" s="78" t="n"/>
      <c r="I28" s="78" t="n"/>
      <c r="J28" s="78" t="n"/>
    </row>
    <row r="29" ht="19.5" customHeight="1" s="54">
      <c r="B29" s="92" t="inlineStr">
        <is>
          <t>Law 3:  1:17 lean on Natural-process coffees risks CGA lactone bitterness at cool phase by failing to build adequate sucrose-ester mass. Confirmed at Nylon (Entry #056).</t>
        </is>
      </c>
      <c r="C29" s="78" t="n"/>
      <c r="D29" s="78" t="n"/>
      <c r="E29" s="78" t="n"/>
      <c r="F29" s="78" t="n"/>
      <c r="G29" s="78" t="n"/>
      <c r="H29" s="78" t="n"/>
      <c r="I29" s="78" t="n"/>
      <c r="J29" s="78" t="n"/>
    </row>
    <row r="30" ht="19.5" customHeight="1" s="54">
      <c r="B30" s="91" t="inlineStr">
        <is>
          <t>Law 4:  Barista confirmation overrides visual inference for hardware identification — always. This is the archive's primary source hierarchy rule.</t>
        </is>
      </c>
      <c r="C30" s="78" t="n"/>
      <c r="D30" s="78" t="n"/>
      <c r="E30" s="78" t="n"/>
      <c r="F30" s="78" t="n"/>
      <c r="G30" s="78" t="n"/>
      <c r="H30" s="78" t="n"/>
      <c r="I30" s="78" t="n"/>
      <c r="J30" s="78" t="n"/>
    </row>
    <row r="31" ht="19.5" customHeight="1" s="54">
      <c r="B31" s="92" t="inlineStr">
        <is>
          <t>Law 5:  Large flat burrs (63–98mm) are non-negotiable for oversized varietals (Pacamara, Maragogipe-lineage). P80 80mm confirmed at Oaks Entry #049.</t>
        </is>
      </c>
      <c r="C31" s="78" t="n"/>
      <c r="D31" s="78" t="n"/>
      <c r="E31" s="78" t="n"/>
      <c r="F31" s="78" t="n"/>
      <c r="G31" s="78" t="n"/>
      <c r="H31" s="78" t="n"/>
      <c r="I31" s="78" t="n"/>
      <c r="J31" s="78" t="n"/>
    </row>
    <row r="32" ht="19.5" customHeight="1" s="54">
      <c r="B32" s="91" t="inlineStr">
        <is>
          <t>Law 6:  Thermal Shock Anaerobic Natural (Finca El Diviso, Entry #059) confirmed the archive's upper intensity threshold. Fermentation signal dominated all three thermal phases without evolution — process-preference misalignment ceiling established.</t>
        </is>
      </c>
      <c r="C32" s="78" t="n"/>
      <c r="D32" s="78" t="n"/>
      <c r="E32" s="78" t="n"/>
      <c r="F32" s="78" t="n"/>
      <c r="G32" s="78" t="n"/>
      <c r="H32" s="78" t="n"/>
      <c r="I32" s="78" t="n"/>
      <c r="J32" s="78" t="n"/>
    </row>
  </sheetData>
  <mergeCells count="11">
    <mergeCell ref="B29:J29"/>
    <mergeCell ref="B1:K1"/>
    <mergeCell ref="B4:K4"/>
    <mergeCell ref="B28:J28"/>
    <mergeCell ref="B17:K17"/>
    <mergeCell ref="B26:K26"/>
    <mergeCell ref="B32:J32"/>
    <mergeCell ref="B31:J31"/>
    <mergeCell ref="B27:J27"/>
    <mergeCell ref="B2:K2"/>
    <mergeCell ref="B30:J3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4E342E"/>
    <outlinePr summaryBelow="1" summaryRight="1"/>
    <pageSetUpPr fitToPage="0"/>
  </sheetPr>
  <dimension ref="B1:L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53" min="1" max="1"/>
    <col width="32" customWidth="1" style="53" min="2" max="2"/>
    <col width="11" customWidth="1" style="53" min="3" max="3"/>
    <col width="7" customWidth="1" style="53" min="4" max="4"/>
    <col width="6" customWidth="1" style="53" min="5" max="5"/>
    <col width="7" customWidth="1" style="53" min="6" max="6"/>
    <col width="44" customWidth="1" style="53" min="7" max="7"/>
    <col width="22" customWidth="1" style="53" min="8" max="9"/>
    <col width="9" customWidth="1" style="53" min="10" max="10"/>
    <col width="36" customWidth="1" style="53" min="11" max="11"/>
  </cols>
  <sheetData>
    <row r="1" ht="21.75" customHeight="1" s="54">
      <c r="B1" s="65" t="inlineStr">
        <is>
          <t>🏙️  CAFÉ DIRECTORY  —  33 VENUES · 4 CITIES</t>
        </is>
      </c>
    </row>
    <row r="2" ht="13.5" customHeight="1" s="54">
      <c r="B2" s="66" t="inlineStr">
        <is>
          <t>Live-verified July 2026  ·  SuperGrok · ChatGPT · Gemini · direct observation  ·  four-tier confidence rating</t>
        </is>
      </c>
    </row>
    <row r="3" ht="6" customHeight="1" s="54"/>
    <row r="4" ht="15.75" customHeight="1" s="54">
      <c r="B4" s="67" t="inlineStr">
        <is>
          <t xml:space="preserve">  🌏  CITY COVERAGE OVERVIEW</t>
        </is>
      </c>
    </row>
    <row r="5" ht="15.75" customHeight="1" s="54">
      <c r="B5" s="71" t="inlineStr">
        <is>
          <t>City</t>
        </is>
      </c>
      <c r="C5" s="71" t="inlineStr">
        <is>
          <t>Entries</t>
        </is>
      </c>
      <c r="D5" s="71" t="inlineStr">
        <is>
          <t>Cafés</t>
        </is>
      </c>
      <c r="E5" s="71" t="inlineStr">
        <is>
          <t>Coverage</t>
        </is>
      </c>
      <c r="F5" s="71" t="inlineStr">
        <is>
          <t>Character</t>
        </is>
      </c>
    </row>
    <row r="6" ht="12.75" customHeight="1" s="54">
      <c r="B6" s="75" t="inlineStr">
        <is>
          <t>Singapore</t>
        </is>
      </c>
      <c r="C6" s="74">
        <f>COUNTIF('Coffee Audit'!B2:B2000,"*Singapore*")</f>
        <v/>
      </c>
      <c r="D6" s="74" t="inlineStr">
        <is>
          <t>31</t>
        </is>
      </c>
      <c r="E6" s="74" t="inlineStr">
        <is>
          <t>94%</t>
        </is>
      </c>
      <c r="F6" s="74" t="inlineStr">
        <is>
          <t>Roaster-owned specialty scene · transparent parameters · competition hardware standard</t>
        </is>
      </c>
    </row>
    <row r="7" ht="12.75" customHeight="1" s="54">
      <c r="B7" s="73" t="inlineStr">
        <is>
          <t>Ubud, Bali</t>
        </is>
      </c>
      <c r="C7" s="72">
        <f>COUNTIF('Coffee Audit'!B2:B2000,"*Bali*")</f>
        <v/>
      </c>
      <c r="D7" s="72" t="inlineStr">
        <is>
          <t>1</t>
        </is>
      </c>
      <c r="E7" s="72" t="inlineStr">
        <is>
          <t>3%</t>
        </is>
      </c>
      <c r="F7" s="72" t="inlineStr">
        <is>
          <t>Archive origin chapter — Seniman Coffee Studio</t>
        </is>
      </c>
    </row>
    <row r="8" ht="12.75" customHeight="1" s="54">
      <c r="B8" s="75" t="inlineStr">
        <is>
          <t>Mumbai</t>
        </is>
      </c>
      <c r="C8" s="74">
        <f>COUNTIF('Coffee Audit'!B2:B2000,"*Mumbai*")</f>
        <v/>
      </c>
      <c r="D8" s="74" t="inlineStr">
        <is>
          <t>2</t>
        </is>
      </c>
      <c r="E8" s="74" t="inlineStr">
        <is>
          <t>2%</t>
        </is>
      </c>
      <c r="F8" s="74" t="inlineStr">
        <is>
          <t>India frontier chapter — Subko + Grey Soul</t>
        </is>
      </c>
    </row>
    <row r="9" ht="12.75" customHeight="1" s="54">
      <c r="B9" s="73" t="inlineStr">
        <is>
          <t>Johor Bahru</t>
        </is>
      </c>
      <c r="C9" s="72">
        <f>COUNTIF('Coffee Audit'!B2:B2000,"*Johor*")</f>
        <v/>
      </c>
      <c r="D9" s="72" t="inlineStr">
        <is>
          <t>1</t>
        </is>
      </c>
      <c r="E9" s="72" t="inlineStr">
        <is>
          <t>2%</t>
        </is>
      </c>
      <c r="F9" s="72" t="inlineStr">
        <is>
          <t>Cross-border audit — Clod Coffee Bar &amp; Roasters</t>
        </is>
      </c>
    </row>
    <row r="10" ht="7.5" customHeight="1" s="54"/>
    <row r="11" ht="15.75" customHeight="1" s="54">
      <c r="B11" s="67" t="inlineStr">
        <is>
          <t xml:space="preserve">  ☕  COMPLETE VERIFIED DIRECTORY  —  33 venues · live entry counts · verified addresses</t>
        </is>
      </c>
    </row>
    <row r="12" ht="15.75" customHeight="1" s="54">
      <c r="B12" s="71" t="inlineStr">
        <is>
          <t>Café</t>
        </is>
      </c>
      <c r="C12" s="71" t="inlineStr">
        <is>
          <t>City</t>
        </is>
      </c>
      <c r="D12" s="71" t="inlineStr">
        <is>
          <t>Entries</t>
        </is>
      </c>
      <c r="E12" s="71" t="inlineStr">
        <is>
          <t>Gesha</t>
        </is>
      </c>
      <c r="F12" s="71" t="inlineStr">
        <is>
          <t>Avg</t>
        </is>
      </c>
      <c r="G12" s="71" t="inlineStr">
        <is>
          <t>Verified Address</t>
        </is>
      </c>
      <c r="H12" s="71" t="inlineStr">
        <is>
          <t>Instagram</t>
        </is>
      </c>
      <c r="I12" s="71" t="inlineStr">
        <is>
          <t>Website</t>
        </is>
      </c>
      <c r="J12" s="71" t="inlineStr">
        <is>
          <t>Conf.</t>
        </is>
      </c>
      <c r="K12" s="71" t="inlineStr">
        <is>
          <t>Notes</t>
        </is>
      </c>
    </row>
    <row r="13" ht="13.5" customHeight="1" s="54">
      <c r="B13" s="93" t="inlineStr">
        <is>
          <t>Nylon Coffee Roasters</t>
        </is>
      </c>
      <c r="C13" s="94" t="inlineStr">
        <is>
          <t>Singapore</t>
        </is>
      </c>
      <c r="D13" s="94">
        <f>COUNTIF('Coffee Audit'!C2:C2000,B13)</f>
        <v/>
      </c>
      <c r="E13" s="94">
        <f>SUMPRODUCT(('Coffee Audit'!C2:C2000=B13)*('Coffee Audit'!W2:W2000="⭐ GESHA"))</f>
        <v/>
      </c>
      <c r="F13" s="94">
        <f>IFERROR(TEXT(AVERAGEIFS('Coffee Audit'!Q2:Q2000,'Coffee Audit'!C2:C2000,B13,'Coffee Audit'!Q2:Q2000,"&gt;0"),"S$0.00"),"—")</f>
        <v/>
      </c>
      <c r="G13" s="94" t="inlineStr">
        <is>
          <t>4 Everton Park, #01-40</t>
        </is>
      </c>
      <c r="H13" s="94" t="inlineStr">
        <is>
          <t>@nyloncoffeeroasters</t>
        </is>
      </c>
      <c r="I13" s="94" t="inlineStr">
        <is>
          <t>nyloncoffee.sg</t>
        </is>
      </c>
      <c r="J13" s="94" t="inlineStr">
        <is>
          <t>✅ HIGH</t>
        </is>
      </c>
      <c r="K13" s="94" t="inlineStr">
        <is>
          <t>Reliability anchor · 6 visits</t>
        </is>
      </c>
    </row>
    <row r="14" ht="13.5" customHeight="1" s="54">
      <c r="B14" s="95" t="inlineStr">
        <is>
          <t>Fluid Collective</t>
        </is>
      </c>
      <c r="C14" s="96" t="inlineStr">
        <is>
          <t>Singapore</t>
        </is>
      </c>
      <c r="D14" s="96">
        <f>COUNTIF('Coffee Audit'!C2:C2000,B14)</f>
        <v/>
      </c>
      <c r="E14" s="96">
        <f>SUMPRODUCT(('Coffee Audit'!C2:C2000=B14)*('Coffee Audit'!W2:W2000="⭐ GESHA"))</f>
        <v/>
      </c>
      <c r="F14" s="96">
        <f>IFERROR(TEXT(AVERAGEIFS('Coffee Audit'!Q2:Q2000,'Coffee Audit'!C2:C2000,B14,'Coffee Audit'!Q2:Q2000,"&gt;0"),"S$0.00"),"—")</f>
        <v/>
      </c>
      <c r="G14" s="96" t="inlineStr">
        <is>
          <t>24 Opal Crescent, Singapore</t>
        </is>
      </c>
      <c r="H14" s="96" t="inlineStr">
        <is>
          <t>@fluidcollective</t>
        </is>
      </c>
      <c r="I14" s="96" t="inlineStr">
        <is>
          <t>—</t>
        </is>
      </c>
      <c r="J14" s="96" t="inlineStr">
        <is>
          <t>✅ HIGH</t>
        </is>
      </c>
      <c r="K14" s="96" t="inlineStr">
        <is>
          <t>Cup of Year · 2025 Brewers Cup champion</t>
        </is>
      </c>
    </row>
    <row r="15" ht="13.5" customHeight="1" s="54">
      <c r="B15" s="93" t="inlineStr">
        <is>
          <t>Asylum Coffeehouse</t>
        </is>
      </c>
      <c r="C15" s="94" t="inlineStr">
        <is>
          <t>Singapore</t>
        </is>
      </c>
      <c r="D15" s="94">
        <f>COUNTIF('Coffee Audit'!C2:C2000,B15)</f>
        <v/>
      </c>
      <c r="E15" s="94">
        <f>SUMPRODUCT(('Coffee Audit'!C2:C2000=B15)*('Coffee Audit'!W2:W2000="⭐ GESHA"))</f>
        <v/>
      </c>
      <c r="F15" s="94">
        <f>IFERROR(TEXT(AVERAGEIFS('Coffee Audit'!Q2:Q2000,'Coffee Audit'!C2:C2000,B15,'Coffee Audit'!Q2:Q2000,"&gt;0"),"S$0.00"),"—")</f>
        <v/>
      </c>
      <c r="G15" s="94" t="inlineStr">
        <is>
          <t>311 Jalan Besar, S208970</t>
        </is>
      </c>
      <c r="H15" s="94" t="inlineStr">
        <is>
          <t>—</t>
        </is>
      </c>
      <c r="I15" s="94" t="inlineStr">
        <is>
          <t>—</t>
        </is>
      </c>
      <c r="J15" s="94" t="inlineStr">
        <is>
          <t>✅ HIGH</t>
        </is>
      </c>
      <c r="K15" s="94" t="inlineStr">
        <is>
          <t>4 visits · 2 Gesha entries</t>
        </is>
      </c>
    </row>
    <row r="16" ht="13.5" customHeight="1" s="54">
      <c r="B16" s="95" t="inlineStr">
        <is>
          <t>Zerah Roasters</t>
        </is>
      </c>
      <c r="C16" s="96" t="inlineStr">
        <is>
          <t>Singapore</t>
        </is>
      </c>
      <c r="D16" s="96">
        <f>COUNTIF('Coffee Audit'!C2:C2000,B16)</f>
        <v/>
      </c>
      <c r="E16" s="96">
        <f>SUMPRODUCT(('Coffee Audit'!C2:C2000=B16)*('Coffee Audit'!W2:W2000="⭐ GESHA"))</f>
        <v/>
      </c>
      <c r="F16" s="96">
        <f>IFERROR(TEXT(AVERAGEIFS('Coffee Audit'!Q2:Q2000,'Coffee Audit'!C2:C2000,B16,'Coffee Audit'!Q2:Q2000,"&gt;0"),"S$0.00"),"—")</f>
        <v/>
      </c>
      <c r="G16" s="96" t="inlineStr">
        <is>
          <t>465 North Bridge Road, #02-5063</t>
        </is>
      </c>
      <c r="H16" s="96" t="inlineStr">
        <is>
          <t>@zerahroasters</t>
        </is>
      </c>
      <c r="I16" s="96" t="inlineStr">
        <is>
          <t>zerahcoffeeroasters.com</t>
        </is>
      </c>
      <c r="J16" s="96" t="inlineStr">
        <is>
          <t>✅ HIGH</t>
        </is>
      </c>
      <c r="K16" s="96" t="inlineStr">
        <is>
          <t>Barista Aqil — joint #1</t>
        </is>
      </c>
    </row>
    <row r="17" ht="13.5" customHeight="1" s="54">
      <c r="B17" s="93" t="inlineStr">
        <is>
          <t>Kyuukei Coffee</t>
        </is>
      </c>
      <c r="C17" s="94" t="inlineStr">
        <is>
          <t>Singapore</t>
        </is>
      </c>
      <c r="D17" s="94">
        <f>COUNTIF('Coffee Audit'!C2:C2000,B17)</f>
        <v/>
      </c>
      <c r="E17" s="94">
        <f>SUMPRODUCT(('Coffee Audit'!C2:C2000=B17)*('Coffee Audit'!W2:W2000="⭐ GESHA"))</f>
        <v/>
      </c>
      <c r="F17" s="94">
        <f>IFERROR(TEXT(AVERAGEIFS('Coffee Audit'!Q2:Q2000,'Coffee Audit'!C2:C2000,B17,'Coffee Audit'!Q2:Q2000,"&gt;0"),"S$0.00"),"—")</f>
        <v/>
      </c>
      <c r="G17" s="94" t="inlineStr">
        <is>
          <t>121 Bukit Merah Ln 1 #01-06 · 5 Kadayanallur St #01-04</t>
        </is>
      </c>
      <c r="H17" s="94" t="inlineStr">
        <is>
          <t>@kyuukeicoffee</t>
        </is>
      </c>
      <c r="I17" s="94" t="inlineStr">
        <is>
          <t>kyuukeicoffee.com</t>
        </is>
      </c>
      <c r="J17" s="94" t="inlineStr">
        <is>
          <t>✅ HIGH</t>
        </is>
      </c>
      <c r="K17" s="94" t="inlineStr">
        <is>
          <t>Two outlets · 3 archive visits</t>
        </is>
      </c>
    </row>
    <row r="18" ht="13.5" customHeight="1" s="54">
      <c r="B18" s="95" t="inlineStr">
        <is>
          <t>Abseil</t>
        </is>
      </c>
      <c r="C18" s="96" t="inlineStr">
        <is>
          <t>Singapore</t>
        </is>
      </c>
      <c r="D18" s="96">
        <f>COUNTIF('Coffee Audit'!C2:C2000,B18)</f>
        <v/>
      </c>
      <c r="E18" s="96">
        <f>SUMPRODUCT(('Coffee Audit'!C2:C2000=B18)*('Coffee Audit'!W2:W2000="⭐ GESHA"))</f>
        <v/>
      </c>
      <c r="F18" s="96">
        <f>IFERROR(TEXT(AVERAGEIFS('Coffee Audit'!Q2:Q2000,'Coffee Audit'!C2:C2000,B18,'Coffee Audit'!Q2:Q2000,"&gt;0"),"S$0.00"),"—")</f>
        <v/>
      </c>
      <c r="G18" s="96" t="inlineStr">
        <is>
          <t>70 Shenton Way, #01-14, Eon Shenton, S079118</t>
        </is>
      </c>
      <c r="H18" s="96" t="inlineStr">
        <is>
          <t>@abseil.coffee</t>
        </is>
      </c>
      <c r="I18" s="96" t="inlineStr">
        <is>
          <t>abseilcoffee.com</t>
        </is>
      </c>
      <c r="J18" s="96" t="inlineStr">
        <is>
          <t>✅ HIGH</t>
        </is>
      </c>
      <c r="K18" s="96" t="inlineStr">
        <is>
          <t>Barista Glenda — joint #1 · CT62 + P64</t>
        </is>
      </c>
    </row>
    <row r="19" ht="13.5" customHeight="1" s="54">
      <c r="B19" s="97" t="inlineStr">
        <is>
          <t>Oaks Coffee Co.</t>
        </is>
      </c>
      <c r="C19" s="98" t="inlineStr">
        <is>
          <t>Singapore</t>
        </is>
      </c>
      <c r="D19" s="98">
        <f>COUNTIF('Coffee Audit'!C2:C2000,B19)</f>
        <v/>
      </c>
      <c r="E19" s="98">
        <f>SUMPRODUCT(('Coffee Audit'!C2:C2000=B19)*('Coffee Audit'!W2:W2000="⭐ GESHA"))</f>
        <v/>
      </c>
      <c r="F19" s="98">
        <f>IFERROR(TEXT(AVERAGEIFS('Coffee Audit'!Q2:Q2000,'Coffee Audit'!C2:C2000,B19,'Coffee Audit'!Q2:Q2000,"&gt;0"),"S$0.00"),"—")</f>
        <v/>
      </c>
      <c r="G19" s="98" t="inlineStr">
        <is>
          <t>619H Bukit Timah Road, S269728</t>
        </is>
      </c>
      <c r="H19" s="98" t="inlineStr">
        <is>
          <t>@oakscoffeeco</t>
        </is>
      </c>
      <c r="I19" s="98" t="inlineStr">
        <is>
          <t>oakscoffeeco.com</t>
        </is>
      </c>
      <c r="J19" s="98" t="inlineStr">
        <is>
          <t>✅ LOCK</t>
        </is>
      </c>
      <c r="K19" s="98" t="inlineStr">
        <is>
          <t>2 visits · Day 4 at first audit · 5 archive firsts</t>
        </is>
      </c>
    </row>
    <row r="20" ht="13.5" customHeight="1" s="54">
      <c r="B20" s="95" t="inlineStr">
        <is>
          <t>Homeground Coffee Roasters</t>
        </is>
      </c>
      <c r="C20" s="96" t="inlineStr">
        <is>
          <t>Singapore</t>
        </is>
      </c>
      <c r="D20" s="96">
        <f>COUNTIF('Coffee Audit'!C2:C2000,B20)</f>
        <v/>
      </c>
      <c r="E20" s="96">
        <f>SUMPRODUCT(('Coffee Audit'!C2:C2000=B20)*('Coffee Audit'!W2:W2000="⭐ GESHA"))</f>
        <v/>
      </c>
      <c r="F20" s="96">
        <f>IFERROR(TEXT(AVERAGEIFS('Coffee Audit'!Q2:Q2000,'Coffee Audit'!C2:C2000,B20,'Coffee Audit'!Q2:Q2000,"&gt;0"),"S$0.00"),"—")</f>
        <v/>
      </c>
      <c r="G20" s="96" t="inlineStr">
        <is>
          <t>911 Bukit Timah Road, Singapore</t>
        </is>
      </c>
      <c r="H20" s="96" t="inlineStr">
        <is>
          <t>@homegroundcoffeeroasters</t>
        </is>
      </c>
      <c r="I20" s="96" t="inlineStr">
        <is>
          <t>homegroundcoffee.sg</t>
        </is>
      </c>
      <c r="J20" s="96" t="inlineStr">
        <is>
          <t>✅ HIGH</t>
        </is>
      </c>
      <c r="K20" s="96" t="inlineStr">
        <is>
          <t>Experience Room concept</t>
        </is>
      </c>
    </row>
    <row r="21" ht="13.5" customHeight="1" s="54">
      <c r="B21" s="93" t="inlineStr">
        <is>
          <t>Pinhole Coffee Bar</t>
        </is>
      </c>
      <c r="C21" s="94" t="inlineStr">
        <is>
          <t>Singapore</t>
        </is>
      </c>
      <c r="D21" s="94">
        <f>COUNTIF('Coffee Audit'!C2:C2000,B21)</f>
        <v/>
      </c>
      <c r="E21" s="94">
        <f>SUMPRODUCT(('Coffee Audit'!C2:C2000=B21)*('Coffee Audit'!W2:W2000="⭐ GESHA"))</f>
        <v/>
      </c>
      <c r="F21" s="94">
        <f>IFERROR(TEXT(AVERAGEIFS('Coffee Audit'!Q2:Q2000,'Coffee Audit'!C2:C2000,B21,'Coffee Audit'!Q2:Q2000,"&gt;0"),"S$0.00"),"—")</f>
        <v/>
      </c>
      <c r="G21" s="94" t="inlineStr">
        <is>
          <t>27 Purvis Street, #01-02, S188604</t>
        </is>
      </c>
      <c r="H21" s="94" t="inlineStr">
        <is>
          <t>@pinholecoffeebar</t>
        </is>
      </c>
      <c r="I21" s="94" t="inlineStr">
        <is>
          <t>pinhole.cafe</t>
        </is>
      </c>
      <c r="J21" s="94" t="inlineStr">
        <is>
          <t>✅ HIGH</t>
        </is>
      </c>
      <c r="K21" s="94" t="n"/>
    </row>
    <row r="22" ht="13.5" customHeight="1" s="54">
      <c r="B22" s="95" t="inlineStr">
        <is>
          <t>Double Shot Coffee</t>
        </is>
      </c>
      <c r="C22" s="96" t="inlineStr">
        <is>
          <t>Singapore</t>
        </is>
      </c>
      <c r="D22" s="96">
        <f>COUNTIF('Coffee Audit'!C2:C2000,B22)</f>
        <v/>
      </c>
      <c r="E22" s="96">
        <f>SUMPRODUCT(('Coffee Audit'!C2:C2000=B22)*('Coffee Audit'!W2:W2000="⭐ GESHA"))</f>
        <v/>
      </c>
      <c r="F22" s="96">
        <f>IFERROR(TEXT(AVERAGEIFS('Coffee Audit'!Q2:Q2000,'Coffee Audit'!C2:C2000,B22,'Coffee Audit'!Q2:Q2000,"&gt;0"),"S$0.00"),"—")</f>
        <v/>
      </c>
      <c r="G22" s="96" t="inlineStr">
        <is>
          <t>19 Kampong Bahru Road, Singapore</t>
        </is>
      </c>
      <c r="H22" s="96" t="inlineStr">
        <is>
          <t>—</t>
        </is>
      </c>
      <c r="I22" s="96" t="inlineStr">
        <is>
          <t>dblshotcoffee.com</t>
        </is>
      </c>
      <c r="J22" s="96" t="inlineStr">
        <is>
          <t>✅ HIGH</t>
        </is>
      </c>
      <c r="K22" s="96" t="inlineStr">
        <is>
          <t>Concentrated 1:13.3 house ratio</t>
        </is>
      </c>
    </row>
    <row r="23" ht="13.5" customHeight="1" s="54">
      <c r="B23" s="93" t="inlineStr">
        <is>
          <t>Apartment (Selegie Rd)</t>
        </is>
      </c>
      <c r="C23" s="94" t="inlineStr">
        <is>
          <t>Singapore</t>
        </is>
      </c>
      <c r="D23" s="94">
        <f>COUNTIF('Coffee Audit'!C2:C2000,B23)</f>
        <v/>
      </c>
      <c r="E23" s="94">
        <f>SUMPRODUCT(('Coffee Audit'!C2:C2000=B23)*('Coffee Audit'!W2:W2000="⭐ GESHA"))</f>
        <v/>
      </c>
      <c r="F23" s="94">
        <f>IFERROR(TEXT(AVERAGEIFS('Coffee Audit'!Q2:Q2000,'Coffee Audit'!C2:C2000,B23,'Coffee Audit'!Q2:Q2000,"&gt;0"),"S$0.00"),"—")</f>
        <v/>
      </c>
      <c r="G23" s="94" t="inlineStr">
        <is>
          <t>139 Selegie Road, #01-01, S188309</t>
        </is>
      </c>
      <c r="H23" s="94" t="inlineStr">
        <is>
          <t>@apartmentcoffee.co</t>
        </is>
      </c>
      <c r="I23" s="94" t="inlineStr">
        <is>
          <t>apartmentcoffee.co</t>
        </is>
      </c>
      <c r="J23" s="94" t="inlineStr">
        <is>
          <t>✅ HIGH</t>
        </is>
      </c>
      <c r="K23" s="94" t="inlineStr">
        <is>
          <t>#6 world ranked filter café</t>
        </is>
      </c>
    </row>
    <row r="24" ht="13.5" customHeight="1" s="54">
      <c r="B24" s="95" t="inlineStr">
        <is>
          <t>Apartment (Jalan Riang)</t>
        </is>
      </c>
      <c r="C24" s="96" t="inlineStr">
        <is>
          <t>Singapore</t>
        </is>
      </c>
      <c r="D24" s="96">
        <f>COUNTIF('Coffee Audit'!C2:C2000,B24)</f>
        <v/>
      </c>
      <c r="E24" s="96">
        <f>SUMPRODUCT(('Coffee Audit'!C2:C2000=B24)*('Coffee Audit'!W2:W2000="⭐ GESHA"))</f>
        <v/>
      </c>
      <c r="F24" s="96">
        <f>IFERROR(TEXT(AVERAGEIFS('Coffee Audit'!Q2:Q2000,'Coffee Audit'!C2:C2000,B24,'Coffee Audit'!Q2:Q2000,"&gt;0"),"S$0.00"),"—")</f>
        <v/>
      </c>
      <c r="G24" s="96" t="inlineStr">
        <is>
          <t>Jalan Riang, Singapore (weekends only)</t>
        </is>
      </c>
      <c r="H24" s="96" t="inlineStr">
        <is>
          <t>@apartmentcoffee.co</t>
        </is>
      </c>
      <c r="I24" s="96" t="inlineStr">
        <is>
          <t>apartmentcoffee.co</t>
        </is>
      </c>
      <c r="J24" s="96" t="inlineStr">
        <is>
          <t>✅ HIGH</t>
        </is>
      </c>
      <c r="K24" s="96" t="inlineStr">
        <is>
          <t>Roastery branch · weekends only</t>
        </is>
      </c>
    </row>
    <row r="25" ht="13.5" customHeight="1" s="54">
      <c r="B25" s="93" t="inlineStr">
        <is>
          <t>Keryi Coffee</t>
        </is>
      </c>
      <c r="C25" s="94" t="inlineStr">
        <is>
          <t>Singapore</t>
        </is>
      </c>
      <c r="D25" s="94">
        <f>COUNTIF('Coffee Audit'!C2:C2000,B25)</f>
        <v/>
      </c>
      <c r="E25" s="94">
        <f>SUMPRODUCT(('Coffee Audit'!C2:C2000=B25)*('Coffee Audit'!W2:W2000="⭐ GESHA"))</f>
        <v/>
      </c>
      <c r="F25" s="94">
        <f>IFERROR(TEXT(AVERAGEIFS('Coffee Audit'!Q2:Q2000,'Coffee Audit'!C2:C2000,B25,'Coffee Audit'!Q2:Q2000,"&gt;0"),"S$0.00"),"—")</f>
        <v/>
      </c>
      <c r="G25" s="94" t="inlineStr">
        <is>
          <t>161 Lavender Street, #01-08, S338750</t>
        </is>
      </c>
      <c r="H25" s="94" t="inlineStr">
        <is>
          <t>@keryicoffee</t>
        </is>
      </c>
      <c r="I25" s="94" t="inlineStr">
        <is>
          <t>keryicoffee.com</t>
        </is>
      </c>
      <c r="J25" s="94" t="inlineStr">
        <is>
          <t>✅ HIGH</t>
        </is>
      </c>
      <c r="K25" s="94" t="inlineStr">
        <is>
          <t>Closed Fri for production · 2 visits</t>
        </is>
      </c>
    </row>
    <row r="26" ht="13.5" customHeight="1" s="54">
      <c r="B26" s="95" t="inlineStr">
        <is>
          <t>Maxi Coffee Bar</t>
        </is>
      </c>
      <c r="C26" s="96" t="inlineStr">
        <is>
          <t>Singapore</t>
        </is>
      </c>
      <c r="D26" s="96">
        <f>COUNTIF('Coffee Audit'!C2:C2000,B26)</f>
        <v/>
      </c>
      <c r="E26" s="96">
        <f>SUMPRODUCT(('Coffee Audit'!C2:C2000=B26)*('Coffee Audit'!W2:W2000="⭐ GESHA"))</f>
        <v/>
      </c>
      <c r="F26" s="96">
        <f>IFERROR(TEXT(AVERAGEIFS('Coffee Audit'!Q2:Q2000,'Coffee Audit'!C2:C2000,B26,'Coffee Audit'!Q2:Q2000,"&gt;0"),"S$0.00"),"—")</f>
        <v/>
      </c>
      <c r="G26" s="96" t="inlineStr">
        <is>
          <t>64 Club Street (back entrance), S069438</t>
        </is>
      </c>
      <c r="H26" s="96" t="inlineStr">
        <is>
          <t>—</t>
        </is>
      </c>
      <c r="I26" s="96" t="inlineStr">
        <is>
          <t>maxicoffeebar.com</t>
        </is>
      </c>
      <c r="J26" s="96" t="inlineStr">
        <is>
          <t>✅ HIGH</t>
        </is>
      </c>
      <c r="K26" s="96" t="inlineStr">
        <is>
          <t>~4.7 Google · Ann Siang Hill</t>
        </is>
      </c>
    </row>
    <row r="27" ht="13.5" customHeight="1" s="54">
      <c r="B27" s="93" t="inlineStr">
        <is>
          <t>Pocket by Flip (Flip Coffee Roasters)</t>
        </is>
      </c>
      <c r="C27" s="94" t="inlineStr">
        <is>
          <t>Singapore</t>
        </is>
      </c>
      <c r="D27" s="94">
        <f>COUNTIF('Coffee Audit'!C2:C2000,B27)</f>
        <v/>
      </c>
      <c r="E27" s="94">
        <f>SUMPRODUCT(('Coffee Audit'!C2:C2000=B27)*('Coffee Audit'!W2:W2000="⭐ GESHA"))</f>
        <v/>
      </c>
      <c r="F27" s="94">
        <f>IFERROR(TEXT(AVERAGEIFS('Coffee Audit'!Q2:Q2000,'Coffee Audit'!C2:C2000,B27,'Coffee Audit'!Q2:Q2000,"&gt;0"),"S$0.00"),"—")</f>
        <v/>
      </c>
      <c r="G27" s="94" t="inlineStr">
        <is>
          <t>619H Bukit Timah Road, Singapore</t>
        </is>
      </c>
      <c r="H27" s="94" t="inlineStr">
        <is>
          <t>@flipcoffeeroasters</t>
        </is>
      </c>
      <c r="I27" s="94" t="inlineStr">
        <is>
          <t>—</t>
        </is>
      </c>
      <c r="J27" s="94" t="inlineStr">
        <is>
          <t>✅ HIGH</t>
        </is>
      </c>
      <c r="K27" s="94" t="inlineStr">
        <is>
          <t>S$18 Ecuador Geisha · highest-price Gesha pre-Abseil</t>
        </is>
      </c>
    </row>
    <row r="28" ht="13.5" customHeight="1" s="54">
      <c r="B28" s="95" t="inlineStr">
        <is>
          <t>ASK Coffee Roastery</t>
        </is>
      </c>
      <c r="C28" s="96" t="inlineStr">
        <is>
          <t>Singapore</t>
        </is>
      </c>
      <c r="D28" s="96">
        <f>COUNTIF('Coffee Audit'!C2:C2000,B28)</f>
        <v/>
      </c>
      <c r="E28" s="96">
        <f>SUMPRODUCT(('Coffee Audit'!C2:C2000=B28)*('Coffee Audit'!W2:W2000="⭐ GESHA"))</f>
        <v/>
      </c>
      <c r="F28" s="96">
        <f>IFERROR(TEXT(AVERAGEIFS('Coffee Audit'!Q2:Q2000,'Coffee Audit'!C2:C2000,B28,'Coffee Audit'!Q2:Q2000,"&gt;0"),"S$0.00"),"—")</f>
        <v/>
      </c>
      <c r="G28" s="96" t="inlineStr">
        <is>
          <t>32 Seah Street, S188388</t>
        </is>
      </c>
      <c r="H28" s="96" t="inlineStr">
        <is>
          <t>@askcoffeeroastery</t>
        </is>
      </c>
      <c r="I28" s="96" t="inlineStr">
        <is>
          <t>—</t>
        </is>
      </c>
      <c r="J28" s="96" t="inlineStr">
        <is>
          <t>✅ HIGH</t>
        </is>
      </c>
      <c r="K28" s="96" t="inlineStr">
        <is>
          <t>Experimental ferments · co-ferments</t>
        </is>
      </c>
    </row>
    <row r="29" ht="13.5" customHeight="1" s="54">
      <c r="B29" s="93" t="inlineStr">
        <is>
          <t>Agora Coffee</t>
        </is>
      </c>
      <c r="C29" s="94" t="inlineStr">
        <is>
          <t>Singapore</t>
        </is>
      </c>
      <c r="D29" s="94">
        <f>COUNTIF('Coffee Audit'!C2:C2000,B29)</f>
        <v/>
      </c>
      <c r="E29" s="94">
        <f>SUMPRODUCT(('Coffee Audit'!C2:C2000=B29)*('Coffee Audit'!W2:W2000="⭐ GESHA"))</f>
        <v/>
      </c>
      <c r="F29" s="94">
        <f>IFERROR(TEXT(AVERAGEIFS('Coffee Audit'!Q2:Q2000,'Coffee Audit'!C2:C2000,B29,'Coffee Audit'!Q2:Q2000,"&gt;0"),"S$0.00"),"—")</f>
        <v/>
      </c>
      <c r="G29" s="94" t="inlineStr">
        <is>
          <t>31 Club Street, #01-02, S069468</t>
        </is>
      </c>
      <c r="H29" s="94" t="inlineStr">
        <is>
          <t>@agoracoffeecs</t>
        </is>
      </c>
      <c r="I29" s="94" t="inlineStr">
        <is>
          <t>—</t>
        </is>
      </c>
      <c r="J29" s="94" t="inlineStr">
        <is>
          <t>✅ HIGH</t>
        </is>
      </c>
      <c r="K29" s="94" t="inlineStr">
        <is>
          <t>3 visits · V60 over-extraction flag</t>
        </is>
      </c>
    </row>
    <row r="30" ht="13.5" customHeight="1" s="54">
      <c r="B30" s="95" t="inlineStr">
        <is>
          <t>Equate Coffee</t>
        </is>
      </c>
      <c r="C30" s="96" t="inlineStr">
        <is>
          <t>Singapore</t>
        </is>
      </c>
      <c r="D30" s="96">
        <f>COUNTIF('Coffee Audit'!C2:C2000,B30)</f>
        <v/>
      </c>
      <c r="E30" s="96">
        <f>SUMPRODUCT(('Coffee Audit'!C2:C2000=B30)*('Coffee Audit'!W2:W2000="⭐ GESHA"))</f>
        <v/>
      </c>
      <c r="F30" s="96">
        <f>IFERROR(TEXT(AVERAGEIFS('Coffee Audit'!Q2:Q2000,'Coffee Audit'!C2:C2000,B30,'Coffee Audit'!Q2:Q2000,"&gt;0"),"S$0.00"),"—")</f>
        <v/>
      </c>
      <c r="G30" s="96" t="inlineStr">
        <is>
          <t>1 Tanjong Pagar Plaza, #02-25, S082001</t>
        </is>
      </c>
      <c r="H30" s="96" t="inlineStr">
        <is>
          <t>@equatecoffee</t>
        </is>
      </c>
      <c r="I30" s="96" t="inlineStr">
        <is>
          <t>equate.sg</t>
        </is>
      </c>
      <c r="J30" s="96" t="inlineStr">
        <is>
          <t>✅ HIGH</t>
        </is>
      </c>
      <c r="K30" s="96" t="n"/>
    </row>
    <row r="31" ht="13.5" customHeight="1" s="54">
      <c r="B31" s="93" t="inlineStr">
        <is>
          <t>Cowpresso Coffee Roasters</t>
        </is>
      </c>
      <c r="C31" s="94" t="inlineStr">
        <is>
          <t>Singapore</t>
        </is>
      </c>
      <c r="D31" s="94">
        <f>COUNTIF('Coffee Audit'!C2:C2000,B31)</f>
        <v/>
      </c>
      <c r="E31" s="94">
        <f>SUMPRODUCT(('Coffee Audit'!C2:C2000=B31)*('Coffee Audit'!W2:W2000="⭐ GESHA"))</f>
        <v/>
      </c>
      <c r="F31" s="94">
        <f>IFERROR(TEXT(AVERAGEIFS('Coffee Audit'!Q2:Q2000,'Coffee Audit'!C2:C2000,B31,'Coffee Audit'!Q2:Q2000,"&gt;0"),"S$0.00"),"—")</f>
        <v/>
      </c>
      <c r="G31" s="94" t="inlineStr">
        <is>
          <t>21 Lor Kilat, #01-07, S598123</t>
        </is>
      </c>
      <c r="H31" s="94" t="inlineStr">
        <is>
          <t>@cowpressocoffee</t>
        </is>
      </c>
      <c r="I31" s="94" t="inlineStr">
        <is>
          <t>cowpressocoffee.sg</t>
        </is>
      </c>
      <c r="J31" s="94" t="inlineStr">
        <is>
          <t>✅ HIGH</t>
        </is>
      </c>
      <c r="K31" s="94" t="inlineStr">
        <is>
          <t>Barista Aung · complimentary sea salt latte</t>
        </is>
      </c>
    </row>
    <row r="32" ht="13.5" customHeight="1" s="54">
      <c r="B32" s="95" t="inlineStr">
        <is>
          <t>Alchemist (Ocean Financial Centre)</t>
        </is>
      </c>
      <c r="C32" s="96" t="inlineStr">
        <is>
          <t>Singapore</t>
        </is>
      </c>
      <c r="D32" s="96">
        <f>COUNTIF('Coffee Audit'!C2:C2000,B32)</f>
        <v/>
      </c>
      <c r="E32" s="96">
        <f>SUMPRODUCT(('Coffee Audit'!C2:C2000=B32)*('Coffee Audit'!W2:W2000="⭐ GESHA"))</f>
        <v/>
      </c>
      <c r="F32" s="96">
        <f>IFERROR(TEXT(AVERAGEIFS('Coffee Audit'!Q2:Q2000,'Coffee Audit'!C2:C2000,B32,'Coffee Audit'!Q2:Q2000,"&gt;0"),"S$0.00"),"—")</f>
        <v/>
      </c>
      <c r="G32" s="96" t="inlineStr">
        <is>
          <t>10 Collyer Quay, #01-K1, S049315</t>
        </is>
      </c>
      <c r="H32" s="96" t="inlineStr">
        <is>
          <t>@alchemist.global</t>
        </is>
      </c>
      <c r="I32" s="96" t="inlineStr">
        <is>
          <t>alchemist.global</t>
        </is>
      </c>
      <c r="J32" s="96" t="inlineStr">
        <is>
          <t>✅ HIGH</t>
        </is>
      </c>
      <c r="K32" s="96" t="inlineStr">
        <is>
          <t>Laurina Anaerobic entry</t>
        </is>
      </c>
    </row>
    <row r="33" ht="13.5" customHeight="1" s="54">
      <c r="B33" s="93" t="inlineStr">
        <is>
          <t>Alchemist (Raffles Place)</t>
        </is>
      </c>
      <c r="C33" s="94" t="inlineStr">
        <is>
          <t>Singapore</t>
        </is>
      </c>
      <c r="D33" s="94">
        <f>COUNTIF('Coffee Audit'!C2:C2000,B33)</f>
        <v/>
      </c>
      <c r="E33" s="94">
        <f>SUMPRODUCT(('Coffee Audit'!C2:C2000=B33)*('Coffee Audit'!W2:W2000="⭐ GESHA"))</f>
        <v/>
      </c>
      <c r="F33" s="94">
        <f>IFERROR(TEXT(AVERAGEIFS('Coffee Audit'!Q2:Q2000,'Coffee Audit'!C2:C2000,B33,'Coffee Audit'!Q2:Q2000,"&gt;0"),"S$0.00"),"—")</f>
        <v/>
      </c>
      <c r="G33" s="94" t="inlineStr">
        <is>
          <t>16 Raffles Quay, #01-08, Hong Leong Bldg, S048581</t>
        </is>
      </c>
      <c r="H33" s="94" t="inlineStr">
        <is>
          <t>@alchemist.global</t>
        </is>
      </c>
      <c r="I33" s="94" t="inlineStr">
        <is>
          <t>alchemist.global</t>
        </is>
      </c>
      <c r="J33" s="94" t="inlineStr">
        <is>
          <t>✅ HIGH</t>
        </is>
      </c>
      <c r="K33" s="94" t="inlineStr">
        <is>
          <t>El Morito Marshell Washed</t>
        </is>
      </c>
    </row>
    <row r="34" ht="13.5" customHeight="1" s="54">
      <c r="B34" s="95" t="inlineStr">
        <is>
          <t>Lume Café</t>
        </is>
      </c>
      <c r="C34" s="96" t="inlineStr">
        <is>
          <t>Singapore</t>
        </is>
      </c>
      <c r="D34" s="96">
        <f>COUNTIF('Coffee Audit'!C2:C2000,B34)</f>
        <v/>
      </c>
      <c r="E34" s="96">
        <f>SUMPRODUCT(('Coffee Audit'!C2:C2000=B34)*('Coffee Audit'!W2:W2000="⭐ GESHA"))</f>
        <v/>
      </c>
      <c r="F34" s="96">
        <f>IFERROR(TEXT(AVERAGEIFS('Coffee Audit'!Q2:Q2000,'Coffee Audit'!C2:C2000,B34,'Coffee Audit'!Q2:Q2000,"&gt;0"),"S$0.00"),"—")</f>
        <v/>
      </c>
      <c r="G34" s="96" t="inlineStr">
        <is>
          <t>108 Robinson Road, #01-01, S068900</t>
        </is>
      </c>
      <c r="H34" s="96" t="inlineStr">
        <is>
          <t>@lume_sg</t>
        </is>
      </c>
      <c r="I34" s="96" t="inlineStr">
        <is>
          <t>lume.sg</t>
        </is>
      </c>
      <c r="J34" s="96" t="inlineStr">
        <is>
          <t>✅ HIGH</t>
        </is>
      </c>
      <c r="K34" s="96" t="inlineStr">
        <is>
          <t>Panama Geisha Red Honey</t>
        </is>
      </c>
    </row>
    <row r="35" ht="13.5" customHeight="1" s="54">
      <c r="B35" s="93" t="inlineStr">
        <is>
          <t>Tiong Hoe Specialty Coffee</t>
        </is>
      </c>
      <c r="C35" s="94" t="inlineStr">
        <is>
          <t>Singapore</t>
        </is>
      </c>
      <c r="D35" s="94">
        <f>COUNTIF('Coffee Audit'!C2:C2000,B35)</f>
        <v/>
      </c>
      <c r="E35" s="94">
        <f>SUMPRODUCT(('Coffee Audit'!C2:C2000=B35)*('Coffee Audit'!W2:W2000="⭐ GESHA"))</f>
        <v/>
      </c>
      <c r="F35" s="94">
        <f>IFERROR(TEXT(AVERAGEIFS('Coffee Audit'!Q2:Q2000,'Coffee Audit'!C2:C2000,B35,'Coffee Audit'!Q2:Q2000,"&gt;0"),"S$0.00"),"—")</f>
        <v/>
      </c>
      <c r="G35" s="94" t="inlineStr">
        <is>
          <t>170 Stirling Road, #01-1133, S140170 (flagship)</t>
        </is>
      </c>
      <c r="H35" s="94" t="inlineStr">
        <is>
          <t>—</t>
        </is>
      </c>
      <c r="I35" s="94" t="inlineStr">
        <is>
          <t>tionghoe.com</t>
        </is>
      </c>
      <c r="J35" s="94" t="inlineStr">
        <is>
          <t>✅ HIGH</t>
        </is>
      </c>
      <c r="K35" s="94" t="inlineStr">
        <is>
          <t>10 outlets islandwide</t>
        </is>
      </c>
    </row>
    <row r="36" ht="13.5" customHeight="1" s="54">
      <c r="B36" s="95" t="inlineStr">
        <is>
          <t>Kurasu</t>
        </is>
      </c>
      <c r="C36" s="96" t="inlineStr">
        <is>
          <t>Singapore</t>
        </is>
      </c>
      <c r="D36" s="96">
        <f>COUNTIF('Coffee Audit'!C2:C2000,B36)</f>
        <v/>
      </c>
      <c r="E36" s="96">
        <f>SUMPRODUCT(('Coffee Audit'!C2:C2000=B36)*('Coffee Audit'!W2:W2000="⭐ GESHA"))</f>
        <v/>
      </c>
      <c r="F36" s="96">
        <f>IFERROR(TEXT(AVERAGEIFS('Coffee Audit'!Q2:Q2000,'Coffee Audit'!C2:C2000,B36,'Coffee Audit'!Q2:Q2000,"&gt;0"),"S$0.00"),"—")</f>
        <v/>
      </c>
      <c r="G36" s="96" t="inlineStr">
        <is>
          <t>261 Waterloo Street, #01-24, S180261</t>
        </is>
      </c>
      <c r="H36" s="96" t="inlineStr">
        <is>
          <t>@kurasu.sg</t>
        </is>
      </c>
      <c r="I36" s="96" t="inlineStr">
        <is>
          <t>kurasu.sg</t>
        </is>
      </c>
      <c r="J36" s="96" t="inlineStr">
        <is>
          <t>✅ HIGH</t>
        </is>
      </c>
      <c r="K36" s="96" t="inlineStr">
        <is>
          <t>Japanese origin · honey process lots</t>
        </is>
      </c>
    </row>
    <row r="37" ht="13.5" customHeight="1" s="54">
      <c r="B37" s="93" t="inlineStr">
        <is>
          <t>Corner Corner</t>
        </is>
      </c>
      <c r="C37" s="94" t="inlineStr">
        <is>
          <t>Singapore</t>
        </is>
      </c>
      <c r="D37" s="94">
        <f>COUNTIF('Coffee Audit'!C2:C2000,B37)</f>
        <v/>
      </c>
      <c r="E37" s="94">
        <f>SUMPRODUCT(('Coffee Audit'!C2:C2000=B37)*('Coffee Audit'!W2:W2000="⭐ GESHA"))</f>
        <v/>
      </c>
      <c r="F37" s="94">
        <f>IFERROR(TEXT(AVERAGEIFS('Coffee Audit'!Q2:Q2000,'Coffee Audit'!C2:C2000,B37,'Coffee Audit'!Q2:Q2000,"&gt;0"),"S$0.00"),"—")</f>
        <v/>
      </c>
      <c r="G37" s="94" t="inlineStr">
        <is>
          <t>16 Duxton Road, S089482 (daytime inside RPM)</t>
        </is>
      </c>
      <c r="H37" s="94" t="inlineStr">
        <is>
          <t>@corner___corner</t>
        </is>
      </c>
      <c r="I37" s="94" t="inlineStr">
        <is>
          <t>—</t>
        </is>
      </c>
      <c r="J37" s="94" t="inlineStr">
        <is>
          <t>✅ HIGH</t>
        </is>
      </c>
      <c r="K37" s="94" t="inlineStr">
        <is>
          <t>Vinyl/kissaten · Liberica · daytime only</t>
        </is>
      </c>
    </row>
    <row r="38" ht="13.5" customHeight="1" s="54">
      <c r="B38" s="95" t="inlineStr">
        <is>
          <t>2050 Coffee</t>
        </is>
      </c>
      <c r="C38" s="96" t="inlineStr">
        <is>
          <t>Singapore</t>
        </is>
      </c>
      <c r="D38" s="96">
        <f>COUNTIF('Coffee Audit'!C2:C2000,B38)</f>
        <v/>
      </c>
      <c r="E38" s="96">
        <f>SUMPRODUCT(('Coffee Audit'!C2:C2000=B38)*('Coffee Audit'!W2:W2000="⭐ GESHA"))</f>
        <v/>
      </c>
      <c r="F38" s="96">
        <f>IFERROR(TEXT(AVERAGEIFS('Coffee Audit'!Q2:Q2000,'Coffee Audit'!C2:C2000,B38,'Coffee Audit'!Q2:Q2000,"&gt;0"),"S$0.00"),"—")</f>
        <v/>
      </c>
      <c r="G38" s="96" t="inlineStr">
        <is>
          <t>267 Beach Road, #01-01, S199545</t>
        </is>
      </c>
      <c r="H38" s="96" t="inlineStr">
        <is>
          <t>@2050.coffee</t>
        </is>
      </c>
      <c r="I38" s="96" t="inlineStr">
        <is>
          <t>—</t>
        </is>
      </c>
      <c r="J38" s="96" t="inlineStr">
        <is>
          <t>✅ HIGH</t>
        </is>
      </c>
      <c r="K38" s="96" t="inlineStr">
        <is>
          <t>Automated tap dispenser · rejected format</t>
        </is>
      </c>
    </row>
    <row r="39" ht="13.5" customHeight="1" s="54">
      <c r="B39" s="93" t="inlineStr">
        <is>
          <t>PPP Coffee (Funan)</t>
        </is>
      </c>
      <c r="C39" s="94" t="inlineStr">
        <is>
          <t>Singapore</t>
        </is>
      </c>
      <c r="D39" s="94">
        <f>COUNTIF('Coffee Audit'!C2:C2000,B39)</f>
        <v/>
      </c>
      <c r="E39" s="94">
        <f>SUMPRODUCT(('Coffee Audit'!C2:C2000=B39)*('Coffee Audit'!W2:W2000="⭐ GESHA"))</f>
        <v/>
      </c>
      <c r="F39" s="94">
        <f>IFERROR(TEXT(AVERAGEIFS('Coffee Audit'!Q2:Q2000,'Coffee Audit'!C2:C2000,B39,'Coffee Audit'!Q2:Q2000,"&gt;0"),"S$0.00"),"—")</f>
        <v/>
      </c>
      <c r="G39" s="94" t="inlineStr">
        <is>
          <t>Funan Mall, 107 North Bridge Road</t>
        </is>
      </c>
      <c r="H39" s="94" t="inlineStr">
        <is>
          <t>—</t>
        </is>
      </c>
      <c r="I39" s="94" t="inlineStr">
        <is>
          <t>—</t>
        </is>
      </c>
      <c r="J39" s="94" t="inlineStr">
        <is>
          <t>✅ HIGH</t>
        </is>
      </c>
      <c r="K39" s="94" t="inlineStr">
        <is>
          <t>Over-extraction documented on EK Omnia+V60</t>
        </is>
      </c>
    </row>
    <row r="40" ht="13.5" customHeight="1" s="54">
      <c r="B40" s="99" t="inlineStr">
        <is>
          <t>The Community Coffee (Hamilton)</t>
        </is>
      </c>
      <c r="C40" s="100" t="inlineStr">
        <is>
          <t>Singapore</t>
        </is>
      </c>
      <c r="D40" s="100">
        <f>COUNTIF('Coffee Audit'!C2:C2000,B40)</f>
        <v/>
      </c>
      <c r="E40" s="100">
        <f>SUMPRODUCT(('Coffee Audit'!C2:C2000=B40)*('Coffee Audit'!W2:W2000="⭐ GESHA"))</f>
        <v/>
      </c>
      <c r="F40" s="100">
        <f>IFERROR(TEXT(AVERAGEIFS('Coffee Audit'!Q2:Q2000,'Coffee Audit'!C2:C2000,B40,'Coffee Audit'!Q2:Q2000,"&gt;0"),"S$0.00"),"—")</f>
        <v/>
      </c>
      <c r="G40" s="100" t="inlineStr">
        <is>
          <t>Hamilton Road, Singapore</t>
        </is>
      </c>
      <c r="H40" s="100" t="inlineStr">
        <is>
          <t>—</t>
        </is>
      </c>
      <c r="I40" s="100" t="inlineStr">
        <is>
          <t>—</t>
        </is>
      </c>
      <c r="J40" s="100" t="inlineStr">
        <is>
          <t>⚠️ LOW</t>
        </is>
      </c>
      <c r="K40" s="100" t="inlineStr">
        <is>
          <t>Area confirmed · exact unit unverified</t>
        </is>
      </c>
    </row>
    <row r="41" ht="13.5" customHeight="1" s="54">
      <c r="B41" s="99" t="inlineStr">
        <is>
          <t>Narrative Coffee Stand</t>
        </is>
      </c>
      <c r="C41" s="100" t="inlineStr">
        <is>
          <t>Singapore</t>
        </is>
      </c>
      <c r="D41" s="100">
        <f>COUNTIF('Coffee Audit'!C2:C2000,B41)</f>
        <v/>
      </c>
      <c r="E41" s="100">
        <f>SUMPRODUCT(('Coffee Audit'!C2:C2000=B41)*('Coffee Audit'!W2:W2000="⭐ GESHA"))</f>
        <v/>
      </c>
      <c r="F41" s="100">
        <f>IFERROR(TEXT(AVERAGEIFS('Coffee Audit'!Q2:Q2000,'Coffee Audit'!C2:C2000,B41,'Coffee Audit'!Q2:Q2000,"&gt;0"),"S$0.00"),"—")</f>
        <v/>
      </c>
      <c r="G41" s="100" t="inlineStr">
        <is>
          <t>No fixed address (pop-up/stand format)</t>
        </is>
      </c>
      <c r="H41" s="100" t="inlineStr">
        <is>
          <t>—</t>
        </is>
      </c>
      <c r="I41" s="100" t="inlineStr">
        <is>
          <t>—</t>
        </is>
      </c>
      <c r="J41" s="100" t="inlineStr">
        <is>
          <t>⚠️ LOW</t>
        </is>
      </c>
      <c r="K41" s="100" t="inlineStr">
        <is>
          <t>Small independent · 2 visits</t>
        </is>
      </c>
    </row>
    <row r="42" ht="13.5" customHeight="1" s="54">
      <c r="B42" s="93" t="inlineStr">
        <is>
          <t>Seniman Coffee Studio</t>
        </is>
      </c>
      <c r="C42" s="94" t="inlineStr">
        <is>
          <t>Ubud, Bali</t>
        </is>
      </c>
      <c r="D42" s="94">
        <f>COUNTIF('Coffee Audit'!C2:C2000,B42)</f>
        <v/>
      </c>
      <c r="E42" s="94">
        <f>SUMPRODUCT(('Coffee Audit'!C2:C2000=B42)*('Coffee Audit'!W2:W2000="⭐ GESHA"))</f>
        <v/>
      </c>
      <c r="F42" s="94">
        <f>IFERROR(TEXT(AVERAGEIFS('Coffee Audit'!Q2:Q2000,'Coffee Audit'!C2:C2000,B42,'Coffee Audit'!Q2:Q2000,"&gt;0"),"S$0.00"),"—")</f>
        <v/>
      </c>
      <c r="G42" s="94" t="inlineStr">
        <is>
          <t>Jl. Sriwedari, Ubud, Bali</t>
        </is>
      </c>
      <c r="H42" s="94" t="inlineStr">
        <is>
          <t>@senimancoffee</t>
        </is>
      </c>
      <c r="I42" s="94" t="inlineStr">
        <is>
          <t>senimancoffee.com</t>
        </is>
      </c>
      <c r="J42" s="94" t="inlineStr">
        <is>
          <t>◐ MED</t>
        </is>
      </c>
      <c r="K42" s="94" t="inlineStr">
        <is>
          <t>Archive origin venue · 3 entries</t>
        </is>
      </c>
    </row>
    <row r="43" ht="13.5" customHeight="1" s="54">
      <c r="B43" s="93" t="inlineStr">
        <is>
          <t>Subko Coffee Roasters</t>
        </is>
      </c>
      <c r="C43" s="94" t="inlineStr">
        <is>
          <t>Mumbai</t>
        </is>
      </c>
      <c r="D43" s="94">
        <f>COUNTIF('Coffee Audit'!C2:C2000,B43)</f>
        <v/>
      </c>
      <c r="E43" s="94">
        <f>SUMPRODUCT(('Coffee Audit'!C2:C2000=B43)*('Coffee Audit'!W2:W2000="⭐ GESHA"))</f>
        <v/>
      </c>
      <c r="F43" s="94">
        <f>IFERROR(TEXT(AVERAGEIFS('Coffee Audit'!Q2:Q2000,'Coffee Audit'!C2:C2000,B43,'Coffee Audit'!Q2:Q2000,"&gt;0"),"S$0.00"),"—")</f>
        <v/>
      </c>
      <c r="G43" s="94" t="inlineStr">
        <is>
          <t>Bandra/Khar area, Mumbai, India</t>
        </is>
      </c>
      <c r="H43" s="94" t="inlineStr">
        <is>
          <t>@subkocoffee</t>
        </is>
      </c>
      <c r="I43" s="94" t="inlineStr">
        <is>
          <t>subko.coffee</t>
        </is>
      </c>
      <c r="J43" s="94" t="inlineStr">
        <is>
          <t>◐ MED</t>
        </is>
      </c>
      <c r="K43" s="94" t="inlineStr">
        <is>
          <t>City-level verified</t>
        </is>
      </c>
    </row>
    <row r="44" ht="13.5" customHeight="1" s="54">
      <c r="B44" s="93" t="inlineStr">
        <is>
          <t>Grey Soul Coffee Roasters</t>
        </is>
      </c>
      <c r="C44" s="94" t="inlineStr">
        <is>
          <t>Mumbai</t>
        </is>
      </c>
      <c r="D44" s="94">
        <f>COUNTIF('Coffee Audit'!C2:C2000,B44)</f>
        <v/>
      </c>
      <c r="E44" s="94">
        <f>SUMPRODUCT(('Coffee Audit'!C2:C2000=B44)*('Coffee Audit'!W2:W2000="⭐ GESHA"))</f>
        <v/>
      </c>
      <c r="F44" s="94">
        <f>IFERROR(TEXT(AVERAGEIFS('Coffee Audit'!Q2:Q2000,'Coffee Audit'!C2:C2000,B44,'Coffee Audit'!Q2:Q2000,"&gt;0"),"S$0.00"),"—")</f>
        <v/>
      </c>
      <c r="G44" s="94" t="inlineStr">
        <is>
          <t>Mumbai, India</t>
        </is>
      </c>
      <c r="H44" s="94" t="inlineStr">
        <is>
          <t>@greysoulcoffee</t>
        </is>
      </c>
      <c r="I44" s="94" t="inlineStr">
        <is>
          <t>—</t>
        </is>
      </c>
      <c r="J44" s="94" t="inlineStr">
        <is>
          <t>◐ MED</t>
        </is>
      </c>
      <c r="K44" s="94" t="inlineStr">
        <is>
          <t>City-level verified</t>
        </is>
      </c>
    </row>
    <row r="45" ht="13.5" customHeight="1" s="54">
      <c r="B45" s="97" t="inlineStr">
        <is>
          <t>Clod Coffee Bar &amp; Roasters</t>
        </is>
      </c>
      <c r="C45" s="98" t="inlineStr">
        <is>
          <t>Johor Bahru</t>
        </is>
      </c>
      <c r="D45" s="98">
        <f>COUNTIF('Coffee Audit'!C2:C2000,B45)</f>
        <v/>
      </c>
      <c r="E45" s="98">
        <f>SUMPRODUCT(('Coffee Audit'!C2:C2000=B45)*('Coffee Audit'!W2:W2000="⭐ GESHA"))</f>
        <v/>
      </c>
      <c r="F45" s="98">
        <f>IFERROR(TEXT(AVERAGEIFS('Coffee Audit'!Q2:Q2000,'Coffee Audit'!C2:C2000,B45,'Coffee Audit'!Q2:Q2000,"&gt;0"),"S$0.00"),"—")</f>
        <v/>
      </c>
      <c r="G45" s="98" t="inlineStr">
        <is>
          <t>123, Jln Beringin, Taman Melodies, 80250 JB, Malaysia</t>
        </is>
      </c>
      <c r="H45" s="98" t="inlineStr">
        <is>
          <t>—</t>
        </is>
      </c>
      <c r="I45" s="98" t="inlineStr">
        <is>
          <t>—</t>
        </is>
      </c>
      <c r="J45" s="98" t="inlineStr">
        <is>
          <t>✅ LOCK</t>
        </is>
      </c>
      <c r="K45" s="98" t="inlineStr">
        <is>
          <t>Direct confirmation · cross-border audit</t>
        </is>
      </c>
    </row>
    <row r="46" ht="7.5" customHeight="1" s="54"/>
    <row r="47" ht="15.75" customHeight="1" s="54">
      <c r="B47" s="67" t="inlineStr">
        <is>
          <t xml:space="preserve">  🔑  ADDRESS VERIFICATION LEGEND</t>
        </is>
      </c>
    </row>
    <row r="48" ht="15.75" customHeight="1" s="54">
      <c r="B48" s="71" t="inlineStr">
        <is>
          <t>Badge</t>
        </is>
      </c>
      <c r="C48" s="71" t="inlineStr">
        <is>
          <t>Meaning</t>
        </is>
      </c>
      <c r="D48" s="71" t="inlineStr">
        <is>
          <t>Sources used</t>
        </is>
      </c>
    </row>
    <row r="49" ht="12.75" customHeight="1" s="54">
      <c r="B49" s="84" t="inlineStr">
        <is>
          <t>✅ LOCK</t>
        </is>
      </c>
      <c r="C49" s="85" t="inlineStr">
        <is>
          <t>Direct confirmation by Hari — overrides all AI sources</t>
        </is>
      </c>
      <c r="D49" s="85" t="inlineStr">
        <is>
          <t>Personal visit + direct recall</t>
        </is>
      </c>
    </row>
    <row r="50" ht="12.75" customHeight="1" s="54">
      <c r="B50" s="75" t="inlineStr">
        <is>
          <t>✅ HIGH</t>
        </is>
      </c>
      <c r="C50" s="74" t="inlineStr">
        <is>
          <t>2+ independent sources agree</t>
        </is>
      </c>
      <c r="D50" s="74" t="inlineStr">
        <is>
          <t>SuperGrok + ChatGPT / Gemini / Project Knowledge</t>
        </is>
      </c>
    </row>
    <row r="51" ht="12.75" customHeight="1" s="54">
      <c r="B51" s="73" t="inlineStr">
        <is>
          <t>◐ MED</t>
        </is>
      </c>
      <c r="C51" s="72" t="inlineStr">
        <is>
          <t>1 source only or area-level verified</t>
        </is>
      </c>
      <c r="D51" s="72" t="inlineStr">
        <is>
          <t>Single source or archive observation primary</t>
        </is>
      </c>
    </row>
    <row r="52" ht="12.75" customHeight="1" s="54">
      <c r="B52" s="88" t="inlineStr">
        <is>
          <t>⚠️ LOW</t>
        </is>
      </c>
      <c r="C52" s="89" t="inlineStr">
        <is>
          <t>No fixed address — pop-up or micro-independent</t>
        </is>
      </c>
      <c r="D52" s="89" t="inlineStr">
        <is>
          <t>Archive visit record only</t>
        </is>
      </c>
    </row>
  </sheetData>
  <mergeCells count="5">
    <mergeCell ref="B4:L4"/>
    <mergeCell ref="B11:L11"/>
    <mergeCell ref="B47:L47"/>
    <mergeCell ref="B2:L2"/>
    <mergeCell ref="B1:L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546E7A"/>
    <outlinePr summaryBelow="1" summaryRight="1"/>
    <pageSetUpPr fitToPage="0"/>
  </sheetPr>
  <dimension ref="B1:J2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51" customWidth="1" style="53" min="1" max="1"/>
    <col width="5" customWidth="1" style="53" min="2" max="2"/>
    <col width="65" customWidth="1" style="53" min="3" max="3"/>
  </cols>
  <sheetData>
    <row r="1" ht="21.75" customHeight="1" s="54">
      <c r="B1" s="65" t="inlineStr">
        <is>
          <t>📖  LEGEND &amp; MAINTENANCE GUIDE</t>
        </is>
      </c>
    </row>
    <row r="2" ht="13.5" customHeight="1" s="54">
      <c r="B2" s="66" t="inlineStr">
        <is>
          <t>How to read, how to maintain, and how to grow this archive</t>
        </is>
      </c>
    </row>
    <row r="3" ht="6" customHeight="1" s="54"/>
    <row r="4" ht="15.75" customHeight="1" s="54">
      <c r="B4" s="67" t="inlineStr">
        <is>
          <t xml:space="preserve">  🎨  COLOUR LEGEND  —  Coffee Audit sheet</t>
        </is>
      </c>
    </row>
    <row r="5" ht="15.75" customHeight="1" s="54">
      <c r="B5" s="71" t="inlineStr">
        <is>
          <t>Colour</t>
        </is>
      </c>
      <c r="C5" s="71" t="inlineStr">
        <is>
          <t>Meaning</t>
        </is>
      </c>
    </row>
    <row r="6" ht="12.75" customHeight="1" s="54">
      <c r="B6" s="101" t="n"/>
      <c r="C6" s="102" t="inlineStr">
        <is>
          <t>Even-row banding — auto conditional formatting</t>
        </is>
      </c>
    </row>
    <row r="7" ht="12.75" customHeight="1" s="54">
      <c r="B7" s="103" t="n"/>
      <c r="C7" s="102" t="inlineStr">
        <is>
          <t>Odd-row banding — auto conditional formatting</t>
        </is>
      </c>
    </row>
    <row r="8" ht="12.75" customHeight="1" s="54">
      <c r="B8" s="104" t="n"/>
      <c r="C8" s="102" t="inlineStr">
        <is>
          <t>⭐ GESHA row — auto-applied when Varietal contains Gesha or Geisha</t>
        </is>
      </c>
    </row>
    <row r="9" ht="12.75" customHeight="1" s="54">
      <c r="B9" s="105" t="n"/>
      <c r="C9" s="102" t="inlineStr">
        <is>
          <t>Header row — dark espresso with cream text</t>
        </is>
      </c>
    </row>
    <row r="10" ht="7.5" customHeight="1" s="54"/>
    <row r="11" ht="15.75" customHeight="1" s="54">
      <c r="B11" s="67" t="inlineStr">
        <is>
          <t xml:space="preserve">  🛠️  HOW TO ADD A NEW ENTRY  —  7 steps, keeps everything live</t>
        </is>
      </c>
    </row>
    <row r="12" ht="19.5" customHeight="1" s="54">
      <c r="B12" s="91" t="inlineStr">
        <is>
          <t>1.  Add the new row directly below the last entry on the Coffee Audit sheet — columns A through V (22 data columns).</t>
        </is>
      </c>
      <c r="C12" s="78" t="n"/>
      <c r="D12" s="78" t="n"/>
      <c r="E12" s="78" t="n"/>
      <c r="F12" s="78" t="n"/>
      <c r="G12" s="78" t="n"/>
      <c r="H12" s="78" t="n"/>
      <c r="I12" s="78" t="n"/>
    </row>
    <row r="13" ht="19.5" customHeight="1" s="54">
      <c r="B13" s="92" t="inlineStr">
        <is>
          <t>2.  Copy the Gesha_Alert formula (column W) down from the row above — it self-detects any Gesha or Geisha variant spelling.</t>
        </is>
      </c>
      <c r="C13" s="78" t="n"/>
      <c r="D13" s="78" t="n"/>
      <c r="E13" s="78" t="n"/>
      <c r="F13" s="78" t="n"/>
      <c r="G13" s="78" t="n"/>
      <c r="H13" s="78" t="n"/>
      <c r="I13" s="78" t="n"/>
    </row>
    <row r="14" ht="19.5" customHeight="1" s="54">
      <c r="B14" s="91" t="inlineStr">
        <is>
          <t>3.  Row colours (blue/yellow banding and Gesha purple) apply automatically via conditional formatting — no manual fill needed.</t>
        </is>
      </c>
      <c r="C14" s="78" t="n"/>
      <c r="D14" s="78" t="n"/>
      <c r="E14" s="78" t="n"/>
      <c r="F14" s="78" t="n"/>
      <c r="G14" s="78" t="n"/>
      <c r="H14" s="78" t="n"/>
      <c r="I14" s="78" t="n"/>
    </row>
    <row r="15" ht="19.5" customHeight="1" s="54">
      <c r="B15" s="92" t="inlineStr">
        <is>
          <t>4.  The Dashboard KPI tiles, all formula tables, Café Directory counts, Price &amp; Value stats, and Origin league tables all scan to row 2000 and update instantly.</t>
        </is>
      </c>
      <c r="C15" s="78" t="n"/>
      <c r="D15" s="78" t="n"/>
      <c r="E15" s="78" t="n"/>
      <c r="F15" s="78" t="n"/>
      <c r="G15" s="78" t="n"/>
      <c r="H15" s="78" t="n"/>
      <c r="I15" s="78" t="n"/>
    </row>
    <row r="16" ht="19.5" customHeight="1" s="54">
      <c r="B16" s="91" t="inlineStr">
        <is>
          <t>5.  Enter Price, Dose and Yield as plain numbers where known. Text "Unknown" is safely ignored by all statistical formulas.</t>
        </is>
      </c>
      <c r="C16" s="78" t="n"/>
      <c r="D16" s="78" t="n"/>
      <c r="E16" s="78" t="n"/>
      <c r="F16" s="78" t="n"/>
      <c r="G16" s="78" t="n"/>
      <c r="H16" s="78" t="n"/>
      <c r="I16" s="78" t="n"/>
    </row>
    <row r="17" ht="19.5" customHeight="1" s="54">
      <c r="B17" s="92" t="inlineStr">
        <is>
          <t>6.  New café not in the Directory? Add one row to the Café Directory table with the exact café name matching column C of the Coffee Audit sheet — live counts update immediately.</t>
        </is>
      </c>
      <c r="C17" s="78" t="n"/>
      <c r="D17" s="78" t="n"/>
      <c r="E17" s="78" t="n"/>
      <c r="F17" s="78" t="n"/>
      <c r="G17" s="78" t="n"/>
      <c r="H17" s="78" t="n"/>
      <c r="I17" s="78" t="n"/>
    </row>
    <row r="18" ht="19.5" customHeight="1" s="54">
      <c r="B18" s="91" t="inlineStr">
        <is>
          <t>7.  Editorial panels (Archive Thesis, Honours Board, Gesha Hall of Fame, Extraction Laws) are curated by hand — update these after milestone visits or at each month's end.</t>
        </is>
      </c>
      <c r="C18" s="78" t="n"/>
      <c r="D18" s="78" t="n"/>
      <c r="E18" s="78" t="n"/>
      <c r="F18" s="78" t="n"/>
      <c r="G18" s="78" t="n"/>
      <c r="H18" s="78" t="n"/>
      <c r="I18" s="78" t="n"/>
    </row>
    <row r="19" ht="7.5" customHeight="1" s="54"/>
    <row r="20" ht="15.75" customHeight="1" s="54">
      <c r="B20" s="67" t="inlineStr">
        <is>
          <t xml:space="preserve">  📜  ARCHIVE INTEGRITY RULES</t>
        </is>
      </c>
    </row>
    <row r="21" ht="18" customHeight="1" s="54">
      <c r="B21" s="106" t="inlineStr">
        <is>
          <t>Uploaded files are the authoritative baseline — entries are appended, never reconstructed from memory.</t>
        </is>
      </c>
      <c r="C21" s="78" t="n"/>
      <c r="D21" s="78" t="n"/>
      <c r="E21" s="78" t="n"/>
      <c r="F21" s="78" t="n"/>
      <c r="G21" s="78" t="n"/>
      <c r="H21" s="78" t="n"/>
      <c r="I21" s="78" t="n"/>
    </row>
    <row r="22" ht="18" customHeight="1" s="54">
      <c r="B22" s="107" t="inlineStr">
        <is>
          <t>Source hierarchy: receipts + bean card photos &gt; barista confirmation &gt; café DM response &gt; direct observation &gt; AI reconstruction.</t>
        </is>
      </c>
      <c r="C22" s="78" t="n"/>
      <c r="D22" s="78" t="n"/>
      <c r="E22" s="78" t="n"/>
      <c r="F22" s="78" t="n"/>
      <c r="G22" s="78" t="n"/>
      <c r="H22" s="78" t="n"/>
      <c r="I22" s="78" t="n"/>
    </row>
    <row r="23" ht="18" customHeight="1" s="54">
      <c r="B23" s="106" t="inlineStr">
        <is>
          <t>No silent corrections — all data discrepancies must be flagged explicitly before any correction is applied.</t>
        </is>
      </c>
      <c r="C23" s="78" t="n"/>
      <c r="D23" s="78" t="n"/>
      <c r="E23" s="78" t="n"/>
      <c r="F23" s="78" t="n"/>
      <c r="G23" s="78" t="n"/>
      <c r="H23" s="78" t="n"/>
      <c r="I23" s="78" t="n"/>
    </row>
    <row r="24" ht="18" customHeight="1" s="54">
      <c r="B24" s="107" t="inlineStr">
        <is>
          <t>Barista confirmation overrides visual inference for hardware identification.</t>
        </is>
      </c>
      <c r="C24" s="78" t="n"/>
      <c r="D24" s="78" t="n"/>
      <c r="E24" s="78" t="n"/>
      <c r="F24" s="78" t="n"/>
      <c r="G24" s="78" t="n"/>
      <c r="H24" s="78" t="n"/>
      <c r="I24" s="78" t="n"/>
    </row>
    <row r="25" ht="18" customHeight="1" s="54">
      <c r="B25" s="106" t="inlineStr">
        <is>
          <t>Gesha spelling: "Gesha" (botanically accurate) and "Geisha" (Panamanian commercial) — archive uses whichever appears on the bean card as authoritative.</t>
        </is>
      </c>
      <c r="C25" s="78" t="n"/>
      <c r="D25" s="78" t="n"/>
      <c r="E25" s="78" t="n"/>
      <c r="F25" s="78" t="n"/>
      <c r="G25" s="78" t="n"/>
      <c r="H25" s="78" t="n"/>
      <c r="I25" s="78" t="n"/>
    </row>
    <row r="26" ht="18" customHeight="1" s="54">
      <c r="B26" s="107" t="inlineStr">
        <is>
          <t>Primary sensory record from Entry #031 onward: sensory notes are the archive record; brew parameters logged only when barista offers or they are observable.</t>
        </is>
      </c>
      <c r="C26" s="78" t="n"/>
      <c r="D26" s="78" t="n"/>
      <c r="E26" s="78" t="n"/>
      <c r="F26" s="78" t="n"/>
      <c r="G26" s="78" t="n"/>
      <c r="H26" s="78" t="n"/>
      <c r="I26" s="78" t="n"/>
    </row>
    <row r="27" ht="18" customHeight="1" s="54">
      <c r="B27" s="106" t="inlineStr">
        <is>
          <t>The archive records one palate only — external roaster or barista tasting notes are reference, never overwrite Hari's direct observation.</t>
        </is>
      </c>
      <c r="C27" s="78" t="n"/>
      <c r="D27" s="78" t="n"/>
      <c r="E27" s="78" t="n"/>
      <c r="F27" s="78" t="n"/>
      <c r="G27" s="78" t="n"/>
      <c r="H27" s="78" t="n"/>
      <c r="I27" s="78" t="n"/>
    </row>
    <row r="28" ht="18" customHeight="1" s="54">
      <c r="B28" s="107" t="inlineStr">
        <is>
          <t>N/A vs Unknown: "Unknown" = data exists but was not captured; "N/A" with reason = structurally inapplicable (e.g. batch-dispensed format).</t>
        </is>
      </c>
      <c r="C28" s="78" t="n"/>
      <c r="D28" s="78" t="n"/>
      <c r="E28" s="78" t="n"/>
      <c r="F28" s="78" t="n"/>
      <c r="G28" s="78" t="n"/>
      <c r="H28" s="78" t="n"/>
      <c r="I28" s="78" t="n"/>
    </row>
    <row r="29" ht="18" customHeight="1" s="54">
      <c r="B29" s="106" t="inlineStr">
        <is>
          <t>Address verification tiers: ✅ LOCK (direct confirmation) &gt; ✅ HIGH (2+ sources) &gt; ◐ MED (area-level) &gt; ⚠️ LOW (archive only).</t>
        </is>
      </c>
      <c r="C29" s="78" t="n"/>
      <c r="D29" s="78" t="n"/>
      <c r="E29" s="78" t="n"/>
      <c r="F29" s="78" t="n"/>
      <c r="G29" s="78" t="n"/>
      <c r="H29" s="78" t="n"/>
      <c r="I29" s="78" t="n"/>
    </row>
  </sheetData>
  <mergeCells count="21">
    <mergeCell ref="B11:J11"/>
    <mergeCell ref="B25:I25"/>
    <mergeCell ref="B16:I16"/>
    <mergeCell ref="B22:I22"/>
    <mergeCell ref="B1:J1"/>
    <mergeCell ref="B27:I27"/>
    <mergeCell ref="B12:I12"/>
    <mergeCell ref="B18:I18"/>
    <mergeCell ref="B21:I21"/>
    <mergeCell ref="B14:I14"/>
    <mergeCell ref="B23:I23"/>
    <mergeCell ref="B17:I17"/>
    <mergeCell ref="B13:I13"/>
    <mergeCell ref="B20:J20"/>
    <mergeCell ref="B29:I29"/>
    <mergeCell ref="B28:I28"/>
    <mergeCell ref="B4:J4"/>
    <mergeCell ref="B15:I15"/>
    <mergeCell ref="B24:I24"/>
    <mergeCell ref="B2:J2"/>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tabColor rgb="FF9E9E9E"/>
    <outlinePr summaryBelow="1" summaryRight="1"/>
    <pageSetUpPr fitToPage="0"/>
  </sheetPr>
  <dimension ref="A2:B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53" min="1" max="1"/>
    <col width="36" customWidth="1" style="53" min="2" max="2"/>
  </cols>
  <sheetData>
    <row r="2" ht="15" customHeight="1" s="54">
      <c r="A2" s="108" t="inlineStr">
        <is>
          <t>Consolidation Summary</t>
        </is>
      </c>
    </row>
    <row r="3" ht="15" customHeight="1" s="54">
      <c r="A3" s="108" t="inlineStr">
        <is>
          <t>Total unique entries</t>
        </is>
      </c>
      <c r="B3" s="109">
        <f>COUNTA('Coffee Audit'!A2:A2000)</f>
        <v/>
      </c>
    </row>
    <row r="4" ht="15" customHeight="1" s="54">
      <c r="A4" s="108" t="inlineStr">
        <is>
          <t>Merged (both sources)</t>
        </is>
      </c>
      <c r="B4" s="109" t="n">
        <v>15</v>
      </c>
    </row>
    <row r="5" ht="15" customHeight="1" s="54">
      <c r="A5" s="108" t="inlineStr">
        <is>
          <t>ChatGPT-only (new)</t>
        </is>
      </c>
      <c r="B5" s="109" t="n">
        <v>8</v>
      </c>
    </row>
    <row r="6" ht="15" customHeight="1" s="54">
      <c r="A6" s="108" t="inlineStr">
        <is>
          <t>Gemini-only (retained)</t>
        </is>
      </c>
      <c r="B6" s="109" t="n">
        <v>5</v>
      </c>
    </row>
    <row r="7" ht="15" customHeight="1" s="54">
      <c r="A7" s="108" t="inlineStr">
        <is>
          <t>Cities covered</t>
        </is>
      </c>
      <c r="B7" s="109">
        <f>SUMPRODUCT(('Coffee Audit'!B2:B2000&lt;&gt;"")/COUNTIF('Coffee Audit'!B2:B2000,'Coffee Audit'!B2:B2000&amp;""))</f>
        <v/>
      </c>
    </row>
    <row r="8" ht="15" customHeight="1" s="54">
      <c r="A8" s="108" t="inlineStr">
        <is>
          <t>Unique cafes</t>
        </is>
      </c>
      <c r="B8" s="109">
        <f>SUMPRODUCT(('Coffee Audit'!C2:C2000&lt;&gt;"")/COUNTIF('Coffee Audit'!C2:C2000,'Coffee Audit'!C2:C2000&amp;""))</f>
        <v/>
      </c>
    </row>
    <row r="9" ht="15" customHeight="1" s="54">
      <c r="A9" s="108" t="inlineStr">
        <is>
          <t>Date range</t>
        </is>
      </c>
      <c r="B9" s="109">
        <f>TEXT(MIN('Coffee Audit'!A2:A2000),"YYYY-MM-DD")&amp;"  →  "&amp;TEXT(MAX('Coffee Audit'!A2:A2000),"YYYY-MM-DD")</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2026-07-11T00:12:35Z</dcterms:created>
  <dcterms:modified xmlns:dcterms="http://purl.org/dc/terms/" xmlns:xsi="http://www.w3.org/2001/XMLSchema-instance" xsi:type="dcterms:W3CDTF">2026-07-12T14:42:16Z</dcterms:modified>
  <cp:revision>0</cp:revision>
</cp:coreProperties>
</file>