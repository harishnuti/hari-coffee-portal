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ffee Audit" sheetId="1" state="visible" r:id="rId1"/>
    <sheet xmlns:r="http://schemas.openxmlformats.org/officeDocument/2006/relationships" name="☕ Dashboard" sheetId="2" state="visible" r:id="rId2"/>
    <sheet xmlns:r="http://schemas.openxmlformats.org/officeDocument/2006/relationships" name="🧬 Palate DNA" sheetId="3" state="visible" r:id="rId3"/>
    <sheet xmlns:r="http://schemas.openxmlformats.org/officeDocument/2006/relationships" name="🌍 Origin &amp; Terroir" sheetId="4" state="visible" r:id="rId4"/>
    <sheet xmlns:r="http://schemas.openxmlformats.org/officeDocument/2006/relationships" name="⚙️ Hardware &amp; Extraction" sheetId="5" state="visible" r:id="rId5"/>
    <sheet xmlns:r="http://schemas.openxmlformats.org/officeDocument/2006/relationships" name="💰 Price &amp; Value" sheetId="6" state="visible" r:id="rId6"/>
    <sheet xmlns:r="http://schemas.openxmlformats.org/officeDocument/2006/relationships" name="📅 Archive Timeline" sheetId="7" state="visible" r:id="rId7"/>
    <sheet xmlns:r="http://schemas.openxmlformats.org/officeDocument/2006/relationships" name="🏙️ Café Directory" sheetId="8" state="visible" r:id="rId8"/>
    <sheet xmlns:r="http://schemas.openxmlformats.org/officeDocument/2006/relationships" name="Legend" sheetId="9" state="visible" r:id="rId9"/>
    <sheet xmlns:r="http://schemas.openxmlformats.org/officeDocument/2006/relationships" name="Stats" sheetId="10" state="visible" r:id="rId10"/>
  </sheets>
  <definedNames/>
  <calcPr calcId="124519" fullCalcOnLoad="1"/>
</workbook>
</file>

<file path=xl/styles.xml><?xml version="1.0" encoding="utf-8"?>
<styleSheet xmlns="http://schemas.openxmlformats.org/spreadsheetml/2006/main">
  <numFmts count="0"/>
  <fonts count="65">
    <font>
      <name val="Calibri"/>
      <family val="2"/>
      <color theme="1"/>
      <sz val="11"/>
      <scheme val="minor"/>
    </font>
    <font>
      <name val="Arial"/>
      <b val="1"/>
      <color rgb="00F2E8D5"/>
      <sz val="9"/>
    </font>
    <font>
      <name val="Arial"/>
      <sz val="9"/>
    </font>
    <font>
      <name val="Arial"/>
      <b val="1"/>
      <color rgb="001A1A1A"/>
      <sz val="9"/>
    </font>
    <font>
      <name val="Arial"/>
      <b val="1"/>
      <color rgb="002C1810"/>
      <sz val="9"/>
    </font>
    <font>
      <name val="Arial"/>
      <i val="1"/>
      <color rgb="004A0E8F"/>
      <sz val="9"/>
    </font>
    <font>
      <name val="Arial"/>
      <b val="1"/>
      <color rgb="007D3C00"/>
      <sz val="9"/>
    </font>
    <font>
      <name val="Arial"/>
      <b val="1"/>
      <color rgb="001E6B1E"/>
      <sz val="9"/>
    </font>
    <font>
      <name val="Arial"/>
      <i val="1"/>
      <color rgb="001A1A1A"/>
      <sz val="8"/>
    </font>
    <font>
      <name val="Arial"/>
      <b val="1"/>
      <color rgb="00444444"/>
      <sz val="9"/>
    </font>
    <font>
      <name val="Arial"/>
      <b val="1"/>
      <color rgb="00155724"/>
      <sz val="9"/>
    </font>
    <font>
      <name val="Arial"/>
      <b val="1"/>
      <color rgb="005B2C8B"/>
      <sz val="9"/>
    </font>
    <font>
      <name val="Arial"/>
      <b val="1"/>
      <color rgb="007D6000"/>
      <sz val="9"/>
    </font>
    <font>
      <name val="Arial"/>
      <b val="1"/>
      <color rgb="00721C24"/>
      <sz val="9"/>
    </font>
    <font>
      <name val="Arial"/>
      <b val="1"/>
      <color rgb="00D98D3A"/>
      <sz val="14"/>
    </font>
    <font>
      <name val="Arial"/>
      <b val="1"/>
      <color rgb="00F2E8D5"/>
      <sz val="10"/>
    </font>
    <font>
      <name val="Arial"/>
      <b val="1"/>
      <color rgb="008B1A2E"/>
      <sz val="9"/>
    </font>
    <font>
      <name val="Arial"/>
      <b val="1"/>
      <color rgb="000C5460"/>
      <sz val="9"/>
    </font>
    <font>
      <name val="Arial"/>
      <b val="1"/>
      <color rgb="001A5276"/>
      <sz val="9"/>
    </font>
    <font>
      <name val="Arial"/>
      <b val="1"/>
      <color rgb="00D98D3A"/>
      <sz val="9"/>
    </font>
    <font>
      <name val="Arial"/>
      <b val="1"/>
      <color rgb="00D98D3A"/>
      <sz val="13"/>
    </font>
    <font>
      <name val="Arial"/>
      <b val="1"/>
      <color rgb="00D98D3A"/>
      <sz val="11"/>
    </font>
    <font>
      <name val="Arial"/>
      <color rgb="00555555"/>
      <sz val="9"/>
    </font>
    <font>
      <name val="Arial"/>
      <b val="1"/>
      <color rgb="00FFFFFF"/>
      <sz val="9"/>
    </font>
    <font>
      <name val="Arial"/>
      <color rgb="001A0A00"/>
      <sz val="9"/>
    </font>
    <font>
      <name val="Arial"/>
      <color rgb="003D1C02"/>
      <sz val="9"/>
    </font>
    <font>
      <name val="Arial"/>
      <b val="1"/>
      <color rgb="00D4A017"/>
      <sz val="16"/>
    </font>
    <font>
      <name val="Arial"/>
      <color rgb="00F5E6D0"/>
      <sz val="10"/>
    </font>
    <font>
      <name val="Arial"/>
      <b val="1"/>
      <color rgb="00FFFFFF"/>
      <sz val="14"/>
    </font>
    <font>
      <name val="Arial"/>
      <b val="1"/>
      <color rgb="00F5E6D0"/>
      <sz val="8"/>
    </font>
    <font>
      <name val="Arial"/>
      <b val="1"/>
      <color rgb="00FFFFFF"/>
      <sz val="11"/>
    </font>
    <font>
      <name val="Arial"/>
      <b val="1"/>
      <color rgb="00D4A017"/>
      <sz val="14"/>
    </font>
    <font>
      <name val="Arial"/>
      <b val="1"/>
      <color rgb="00FFFFFF"/>
      <sz val="10"/>
    </font>
    <font>
      <name val="Arial"/>
      <b val="1"/>
      <color rgb="00FFFFFF"/>
      <sz val="12"/>
    </font>
    <font>
      <name val="Arial"/>
      <b val="1"/>
      <color rgb="001A0A00"/>
      <sz val="9"/>
    </font>
    <font>
      <name val="Arial"/>
      <b val="1"/>
      <color rgb="003D1C02"/>
      <sz val="9"/>
    </font>
    <font>
      <name val="Arial"/>
      <color rgb="00BBBBBB"/>
      <sz val="9"/>
    </font>
    <font>
      <name val="Arial"/>
      <color rgb="003D1C02"/>
      <sz val="8"/>
    </font>
    <font>
      <name val="Arial"/>
      <b val="1"/>
      <color rgb="003D1C02"/>
      <sz val="8"/>
    </font>
    <font>
      <name val="Arial"/>
      <b val="1"/>
      <color rgb="00F5E6D0"/>
      <sz val="9"/>
    </font>
    <font>
      <name val="Arial"/>
      <b val="1"/>
      <color rgb="00D4A017"/>
      <sz val="12"/>
    </font>
    <font>
      <name val="Arial"/>
      <i val="1"/>
      <color rgb="00F5E6C8"/>
      <sz val="9"/>
    </font>
    <font>
      <name val="Arial"/>
      <b val="1"/>
      <color rgb="00D4A017"/>
      <sz val="13"/>
    </font>
    <font>
      <name val="Arial"/>
      <color rgb="00E8B84B"/>
      <sz val="7"/>
    </font>
    <font>
      <name val="Arial"/>
      <b val="1"/>
      <color rgb="00E8B84B"/>
      <sz val="13"/>
    </font>
    <font>
      <name val="Arial"/>
      <color rgb="00F5E6C8"/>
      <sz val="7"/>
    </font>
    <font>
      <name val="Arial"/>
      <b val="1"/>
      <color rgb="00FFFFFF"/>
      <sz val="13"/>
    </font>
    <font>
      <name val="Arial"/>
      <color rgb="00EDE0FF"/>
      <sz val="7"/>
    </font>
    <font>
      <name val="Arial"/>
      <b val="1"/>
      <color rgb="00A8C49A"/>
      <sz val="13"/>
    </font>
    <font>
      <name val="Arial"/>
      <color rgb="00D8EDD0"/>
      <sz val="7"/>
    </font>
    <font>
      <name val="Arial"/>
      <color rgb="00D8EAF5"/>
      <sz val="7"/>
    </font>
    <font>
      <name val="Arial"/>
      <b val="1"/>
      <color rgb="00EDE0FF"/>
      <sz val="11"/>
    </font>
    <font>
      <name val="Arial"/>
      <i val="1"/>
      <color rgb="006B3600"/>
      <sz val="8"/>
    </font>
    <font>
      <name val="Arial"/>
      <b val="1"/>
      <color rgb="00FFFFFF"/>
      <sz val="8"/>
    </font>
    <font>
      <name val="Arial"/>
      <color rgb="004A2200"/>
      <sz val="9"/>
    </font>
    <font>
      <name val="Arial"/>
      <b val="1"/>
      <color rgb="00E8B84B"/>
      <sz val="11"/>
    </font>
    <font>
      <name val="Arial"/>
      <b val="1"/>
      <color rgb="00F5E6C8"/>
      <sz val="8"/>
    </font>
    <font>
      <name val="Arial"/>
      <b val="1"/>
      <color rgb="00A8C49A"/>
      <sz val="8"/>
    </font>
    <font>
      <name val="Arial"/>
      <b val="1"/>
      <color rgb="00D4A017"/>
      <sz val="11"/>
    </font>
    <font>
      <name val="Arial"/>
      <b val="1"/>
      <color rgb="004A2200"/>
      <sz val="9"/>
    </font>
    <font>
      <name val="Arial"/>
      <b val="1"/>
      <color rgb="002C1503"/>
      <sz val="11"/>
    </font>
    <font>
      <name val="Arial"/>
      <b val="1"/>
      <color rgb="002C1503"/>
      <sz val="8"/>
    </font>
    <font>
      <name val="Arial"/>
      <b val="1"/>
      <color rgb="00D4A017"/>
      <sz val="9"/>
    </font>
    <font>
      <name val="Arial"/>
      <b val="1"/>
      <color rgb="00F5E6C8"/>
      <sz val="9"/>
    </font>
    <font>
      <name val="Calibri"/>
      <sz val="10"/>
    </font>
  </fonts>
  <fills count="48">
    <fill>
      <patternFill/>
    </fill>
    <fill>
      <patternFill patternType="gray125"/>
    </fill>
    <fill>
      <patternFill patternType="solid">
        <fgColor rgb="002D1F0F"/>
      </patternFill>
    </fill>
    <fill>
      <patternFill patternType="solid">
        <fgColor rgb="FFE3F2FD"/>
      </patternFill>
    </fill>
    <fill>
      <patternFill patternType="solid">
        <fgColor rgb="00FFE4CC"/>
      </patternFill>
    </fill>
    <fill>
      <patternFill patternType="solid">
        <fgColor rgb="FFFFF9C4"/>
      </patternFill>
    </fill>
    <fill>
      <patternFill patternType="solid">
        <fgColor rgb="00F5F5F5"/>
      </patternFill>
    </fill>
    <fill>
      <patternFill patternType="solid">
        <fgColor rgb="00D4EDDA"/>
      </patternFill>
    </fill>
    <fill>
      <patternFill patternType="solid">
        <fgColor rgb="00E8D5F5"/>
      </patternFill>
    </fill>
    <fill>
      <patternFill patternType="solid">
        <fgColor rgb="00FFF3CD"/>
      </patternFill>
    </fill>
    <fill>
      <patternFill patternType="solid">
        <fgColor rgb="00F8D7DA"/>
      </patternFill>
    </fill>
    <fill>
      <patternFill patternType="solid">
        <fgColor rgb="00FFF8E7"/>
      </patternFill>
    </fill>
    <fill>
      <patternFill patternType="solid">
        <fgColor rgb="00FAFAFA"/>
      </patternFill>
    </fill>
    <fill>
      <patternFill patternType="solid">
        <fgColor rgb="00FAD7DD"/>
      </patternFill>
    </fill>
    <fill>
      <patternFill patternType="solid">
        <fgColor rgb="00D1ECF1"/>
      </patternFill>
    </fill>
    <fill>
      <patternFill patternType="solid">
        <fgColor rgb="00D6EAF8"/>
      </patternFill>
    </fill>
    <fill>
      <patternFill patternType="solid">
        <fgColor rgb="00E3F2FD"/>
      </patternFill>
    </fill>
    <fill>
      <patternFill patternType="solid">
        <fgColor rgb="00FFF9C4"/>
      </patternFill>
    </fill>
    <fill>
      <patternFill patternType="solid">
        <fgColor rgb="006B3FA0"/>
      </patternFill>
    </fill>
    <fill>
      <patternFill patternType="solid">
        <fgColor rgb="00FFF8F0"/>
      </patternFill>
    </fill>
    <fill>
      <patternFill patternType="solid">
        <fgColor rgb="00EDE0FF"/>
      </patternFill>
    </fill>
    <fill>
      <patternFill patternType="solid">
        <fgColor rgb="001A0A00"/>
      </patternFill>
    </fill>
    <fill>
      <patternFill patternType="solid">
        <fgColor rgb="003D1C02"/>
      </patternFill>
    </fill>
    <fill>
      <patternFill patternType="solid">
        <fgColor rgb="00B5651D"/>
      </patternFill>
    </fill>
    <fill>
      <patternFill patternType="solid">
        <fgColor rgb="004A2080"/>
      </patternFill>
    </fill>
    <fill>
      <patternFill patternType="solid">
        <fgColor rgb="00F3E8FF"/>
      </patternFill>
    </fill>
    <fill>
      <patternFill patternType="solid">
        <fgColor rgb="00F5E6D0"/>
      </patternFill>
    </fill>
    <fill>
      <patternFill patternType="solid">
        <fgColor rgb="00D4A017"/>
      </patternFill>
    </fill>
    <fill>
      <patternFill patternType="solid">
        <fgColor rgb="00D6F0E0"/>
      </patternFill>
    </fill>
    <fill>
      <patternFill patternType="solid">
        <fgColor rgb="002C6E49"/>
      </patternFill>
    </fill>
    <fill>
      <patternFill patternType="solid">
        <fgColor rgb="001B4332"/>
      </patternFill>
    </fill>
    <fill>
      <patternFill patternType="solid">
        <fgColor rgb="005C2D8A"/>
      </patternFill>
    </fill>
    <fill>
      <patternFill patternType="solid">
        <fgColor rgb="002C1503"/>
      </patternFill>
    </fill>
    <fill>
      <patternFill patternType="solid">
        <fgColor rgb="004A2200"/>
      </patternFill>
    </fill>
    <fill>
      <patternFill patternType="solid">
        <fgColor rgb="002D4A1E"/>
      </patternFill>
    </fill>
    <fill>
      <patternFill patternType="solid">
        <fgColor rgb="00C8780A"/>
      </patternFill>
    </fill>
    <fill>
      <patternFill patternType="solid">
        <fgColor rgb="001A4A6E"/>
      </patternFill>
    </fill>
    <fill>
      <patternFill patternType="solid">
        <fgColor rgb="008B4513"/>
      </patternFill>
    </fill>
    <fill>
      <patternFill patternType="solid">
        <fgColor rgb="006B3600"/>
      </patternFill>
    </fill>
    <fill>
      <patternFill patternType="solid">
        <fgColor rgb="00F5F0FF"/>
      </patternFill>
    </fill>
    <fill>
      <patternFill patternType="solid">
        <fgColor rgb="00D8EAF5"/>
      </patternFill>
    </fill>
    <fill>
      <patternFill patternType="solid">
        <fgColor rgb="00FDEECB"/>
      </patternFill>
    </fill>
    <fill>
      <patternFill patternType="solid">
        <fgColor rgb="00FAF0DC"/>
      </patternFill>
    </fill>
    <fill>
      <patternFill patternType="solid">
        <fgColor rgb="00FDF6EC"/>
      </patternFill>
    </fill>
    <fill>
      <patternFill patternType="solid">
        <fgColor rgb="00F5E6C8"/>
      </patternFill>
    </fill>
    <fill>
      <patternFill patternType="solid">
        <fgColor rgb="00F9E0D8"/>
      </patternFill>
    </fill>
    <fill>
      <patternFill patternType="solid">
        <fgColor rgb="00D8EDD0"/>
      </patternFill>
    </fill>
    <fill>
      <patternFill patternType="solid">
        <fgColor rgb="004A6741"/>
      </patternFill>
    </fill>
  </fills>
  <borders count="45">
    <border>
      <left/>
      <right/>
      <top/>
      <bottom/>
      <diagonal/>
    </border>
    <border>
      <left style="medium">
        <color rgb="00D98D3A"/>
      </left>
      <right style="medium">
        <color rgb="00D98D3A"/>
      </right>
      <top style="medium">
        <color rgb="00D98D3A"/>
      </top>
      <bottom style="medium">
        <color rgb="00D98D3A"/>
      </bottom>
    </border>
    <border>
      <left style="thin">
        <color rgb="00C8B89A"/>
      </left>
      <right style="thin">
        <color rgb="00C8B89A"/>
      </right>
      <top style="thin">
        <color rgb="00C8B89A"/>
      </top>
      <bottom style="thin">
        <color rgb="00C8B89A"/>
      </bottom>
    </border>
    <border>
      <left style="thin"/>
      <right style="thin"/>
      <top style="thin"/>
      <bottom style="thin"/>
    </border>
    <border>
      <left style="thin">
        <color rgb="00D0C8C0"/>
      </left>
      <right style="thin">
        <color rgb="00D0C8C0"/>
      </right>
      <top style="thin">
        <color rgb="00D0C8C0"/>
      </top>
      <bottom style="thin">
        <color rgb="00D0C8C0"/>
      </bottom>
    </border>
    <border>
      <left/>
      <right/>
      <top style="thin">
        <color rgb="00D0C8C0"/>
      </top>
      <bottom/>
      <diagonal/>
    </border>
    <border>
      <left/>
      <right style="thin">
        <color rgb="00D0C8C0"/>
      </right>
      <top style="thin">
        <color rgb="00D0C8C0"/>
      </top>
      <bottom/>
      <diagonal/>
    </border>
    <border>
      <left/>
      <right/>
      <top style="thin">
        <color rgb="00D0C8C0"/>
      </top>
      <bottom style="thin">
        <color rgb="00D0C8C0"/>
      </bottom>
      <diagonal/>
    </border>
    <border>
      <left/>
      <right style="thin">
        <color rgb="00D0C8C0"/>
      </right>
      <top style="thin">
        <color rgb="00D0C8C0"/>
      </top>
      <bottom style="thin">
        <color rgb="00D0C8C0"/>
      </bottom>
      <diagonal/>
    </border>
    <border>
      <left style="thin">
        <color rgb="00D4C4A8"/>
      </left>
      <right style="thin">
        <color rgb="00D4C4A8"/>
      </right>
      <top style="thin">
        <color rgb="00D4C4A8"/>
      </top>
      <bottom style="thin">
        <color rgb="00D4C4A8"/>
      </bottom>
    </border>
    <border>
      <left style="medium">
        <color rgb="008B4513"/>
      </left>
      <right style="medium">
        <color rgb="008B4513"/>
      </right>
      <top style="medium">
        <color rgb="008B4513"/>
      </top>
      <bottom style="medium">
        <color rgb="008B4513"/>
      </bottom>
    </border>
    <border>
      <left style="thin">
        <color rgb="008B4513"/>
      </left>
      <right style="thin">
        <color rgb="008B4513"/>
      </right>
      <top style="thin">
        <color rgb="008B4513"/>
      </top>
      <bottom style="thin">
        <color rgb="008B4513"/>
      </bottom>
    </border>
    <border>
      <left style="medium">
        <color rgb="005C2D8A"/>
      </left>
      <right style="medium">
        <color rgb="005C2D8A"/>
      </right>
      <top style="medium">
        <color rgb="005C2D8A"/>
      </top>
      <bottom style="medium">
        <color rgb="005C2D8A"/>
      </bottom>
    </border>
    <border>
      <left style="medium">
        <color rgb="004A2200"/>
      </left>
      <right style="medium">
        <color rgb="004A2200"/>
      </right>
      <top style="medium">
        <color rgb="004A2200"/>
      </top>
      <bottom style="medium">
        <color rgb="004A2200"/>
      </bottom>
    </border>
    <border>
      <left style="medium">
        <color rgb="002D4A1E"/>
      </left>
      <right style="medium">
        <color rgb="002D4A1E"/>
      </right>
      <top style="medium">
        <color rgb="002D4A1E"/>
      </top>
      <bottom style="medium">
        <color rgb="002D4A1E"/>
      </bottom>
    </border>
    <border>
      <left style="medium">
        <color rgb="002C1503"/>
      </left>
      <right style="medium">
        <color rgb="002C1503"/>
      </right>
      <top style="medium">
        <color rgb="002C1503"/>
      </top>
      <bottom style="medium">
        <color rgb="002C1503"/>
      </bottom>
    </border>
    <border>
      <left style="medium">
        <color rgb="00C8780A"/>
      </left>
      <right style="medium">
        <color rgb="00C8780A"/>
      </right>
      <top style="medium">
        <color rgb="00C8780A"/>
      </top>
      <bottom style="medium">
        <color rgb="00C8780A"/>
      </bottom>
    </border>
    <border>
      <left/>
      <right/>
      <top style="thin">
        <color rgb="008B4513"/>
      </top>
      <bottom/>
      <diagonal/>
    </border>
    <border>
      <left/>
      <right style="thin">
        <color rgb="008B4513"/>
      </right>
      <top style="thin">
        <color rgb="008B4513"/>
      </top>
      <bottom/>
      <diagonal/>
    </border>
    <border>
      <left/>
      <right/>
      <top style="thin">
        <color rgb="008B4513"/>
      </top>
      <bottom style="thin">
        <color rgb="008B4513"/>
      </bottom>
      <diagonal/>
    </border>
    <border>
      <left/>
      <right style="thin">
        <color rgb="008B4513"/>
      </right>
      <top style="thin">
        <color rgb="008B4513"/>
      </top>
      <bottom style="thin">
        <color rgb="008B4513"/>
      </bottom>
      <diagonal/>
    </border>
    <border>
      <left/>
      <right/>
      <top style="medium">
        <color rgb="002D4A1E"/>
      </top>
      <bottom/>
      <diagonal/>
    </border>
    <border>
      <left/>
      <right style="medium">
        <color rgb="002D4A1E"/>
      </right>
      <top style="medium">
        <color rgb="002D4A1E"/>
      </top>
      <bottom/>
      <diagonal/>
    </border>
    <border>
      <left/>
      <right/>
      <top style="medium">
        <color rgb="002D4A1E"/>
      </top>
      <bottom style="medium">
        <color rgb="002D4A1E"/>
      </bottom>
      <diagonal/>
    </border>
    <border>
      <left/>
      <right style="medium">
        <color rgb="002D4A1E"/>
      </right>
      <top style="medium">
        <color rgb="002D4A1E"/>
      </top>
      <bottom style="medium">
        <color rgb="002D4A1E"/>
      </bottom>
      <diagonal/>
    </border>
    <border>
      <left/>
      <right/>
      <top style="thin">
        <color rgb="00D4C4A8"/>
      </top>
      <bottom/>
      <diagonal/>
    </border>
    <border>
      <left/>
      <right style="thin">
        <color rgb="00D4C4A8"/>
      </right>
      <top style="thin">
        <color rgb="00D4C4A8"/>
      </top>
      <bottom/>
      <diagonal/>
    </border>
    <border>
      <left/>
      <right/>
      <top style="thin">
        <color rgb="00D4C4A8"/>
      </top>
      <bottom style="thin">
        <color rgb="00D4C4A8"/>
      </bottom>
      <diagonal/>
    </border>
    <border>
      <left/>
      <right style="thin">
        <color rgb="00D4C4A8"/>
      </right>
      <top style="thin">
        <color rgb="00D4C4A8"/>
      </top>
      <bottom style="thin">
        <color rgb="00D4C4A8"/>
      </bottom>
      <diagonal/>
    </border>
    <border>
      <left/>
      <right/>
      <top style="medium">
        <color rgb="005C2D8A"/>
      </top>
      <bottom/>
      <diagonal/>
    </border>
    <border>
      <left/>
      <right style="medium">
        <color rgb="005C2D8A"/>
      </right>
      <top style="medium">
        <color rgb="005C2D8A"/>
      </top>
      <bottom/>
      <diagonal/>
    </border>
    <border>
      <left/>
      <right/>
      <top style="medium">
        <color rgb="005C2D8A"/>
      </top>
      <bottom style="medium">
        <color rgb="005C2D8A"/>
      </bottom>
      <diagonal/>
    </border>
    <border>
      <left/>
      <right style="medium">
        <color rgb="005C2D8A"/>
      </right>
      <top style="medium">
        <color rgb="005C2D8A"/>
      </top>
      <bottom style="medium">
        <color rgb="005C2D8A"/>
      </bottom>
      <diagonal/>
    </border>
    <border>
      <left/>
      <right/>
      <top style="medium">
        <color rgb="004A2200"/>
      </top>
      <bottom/>
      <diagonal/>
    </border>
    <border>
      <left/>
      <right style="medium">
        <color rgb="004A2200"/>
      </right>
      <top style="medium">
        <color rgb="004A2200"/>
      </top>
      <bottom/>
      <diagonal/>
    </border>
    <border>
      <left/>
      <right/>
      <top style="medium">
        <color rgb="004A2200"/>
      </top>
      <bottom style="medium">
        <color rgb="004A2200"/>
      </bottom>
      <diagonal/>
    </border>
    <border>
      <left/>
      <right style="medium">
        <color rgb="004A2200"/>
      </right>
      <top style="medium">
        <color rgb="004A2200"/>
      </top>
      <bottom style="medium">
        <color rgb="004A2200"/>
      </bottom>
      <diagonal/>
    </border>
    <border>
      <left/>
      <right/>
      <top style="medium">
        <color rgb="002C1503"/>
      </top>
      <bottom/>
      <diagonal/>
    </border>
    <border>
      <left/>
      <right style="medium">
        <color rgb="002C1503"/>
      </right>
      <top style="medium">
        <color rgb="002C1503"/>
      </top>
      <bottom/>
      <diagonal/>
    </border>
    <border>
      <left/>
      <right/>
      <top style="medium">
        <color rgb="002C1503"/>
      </top>
      <bottom style="medium">
        <color rgb="002C1503"/>
      </bottom>
      <diagonal/>
    </border>
    <border>
      <left/>
      <right style="medium">
        <color rgb="002C1503"/>
      </right>
      <top style="medium">
        <color rgb="002C1503"/>
      </top>
      <bottom style="medium">
        <color rgb="002C1503"/>
      </bottom>
      <diagonal/>
    </border>
    <border>
      <left/>
      <right/>
      <top style="medium">
        <color rgb="00C8780A"/>
      </top>
      <bottom/>
      <diagonal/>
    </border>
    <border>
      <left/>
      <right style="medium">
        <color rgb="00C8780A"/>
      </right>
      <top style="medium">
        <color rgb="00C8780A"/>
      </top>
      <bottom/>
      <diagonal/>
    </border>
    <border>
      <left/>
      <right/>
      <top style="medium">
        <color rgb="00C8780A"/>
      </top>
      <bottom style="medium">
        <color rgb="00C8780A"/>
      </bottom>
      <diagonal/>
    </border>
    <border>
      <left/>
      <right style="medium">
        <color rgb="00C8780A"/>
      </right>
      <top style="medium">
        <color rgb="00C8780A"/>
      </top>
      <bottom style="medium">
        <color rgb="00C8780A"/>
      </bottom>
      <diagonal/>
    </border>
  </borders>
  <cellStyleXfs count="1">
    <xf numFmtId="0" fontId="0" fillId="0" borderId="0"/>
  </cellStyleXfs>
  <cellXfs count="200">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xf>
    <xf numFmtId="0" fontId="2" fillId="3"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6" fillId="4" borderId="2" applyAlignment="1" pivotButton="0" quotePrefix="0" xfId="0">
      <alignment horizontal="center" vertical="center" wrapText="1"/>
    </xf>
    <xf numFmtId="0" fontId="7" fillId="3" borderId="2" applyAlignment="1" pivotButton="0" quotePrefix="0" xfId="0">
      <alignment horizontal="center" vertical="top"/>
    </xf>
    <xf numFmtId="0" fontId="8" fillId="3" borderId="2" applyAlignment="1" pivotButton="0" quotePrefix="0" xfId="0">
      <alignment vertical="top" wrapText="1"/>
    </xf>
    <xf numFmtId="0" fontId="3" fillId="5" borderId="2" applyAlignment="1" pivotButton="0" quotePrefix="0" xfId="0">
      <alignment horizontal="center" vertical="top"/>
    </xf>
    <xf numFmtId="0" fontId="2" fillId="5"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9" fillId="6" borderId="2" applyAlignment="1" pivotButton="0" quotePrefix="0" xfId="0">
      <alignment horizontal="center" vertical="center" wrapText="1"/>
    </xf>
    <xf numFmtId="0" fontId="7" fillId="5" borderId="2" applyAlignment="1" pivotButton="0" quotePrefix="0" xfId="0">
      <alignment horizontal="center" vertical="top"/>
    </xf>
    <xf numFmtId="0" fontId="8" fillId="5" borderId="2" applyAlignment="1" pivotButton="0" quotePrefix="0" xfId="0">
      <alignment vertical="top" wrapText="1"/>
    </xf>
    <xf numFmtId="0" fontId="10"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3" fillId="11" borderId="1" applyAlignment="1" pivotButton="0" quotePrefix="0" xfId="0">
      <alignment horizontal="center" vertical="top"/>
    </xf>
    <xf numFmtId="0" fontId="2" fillId="11" borderId="1" applyAlignment="1" pivotButton="0" quotePrefix="0" xfId="0">
      <alignment vertical="top" wrapText="1"/>
    </xf>
    <xf numFmtId="0" fontId="4" fillId="11" borderId="1" applyAlignment="1" pivotButton="0" quotePrefix="0" xfId="0">
      <alignment vertical="top" wrapText="1"/>
    </xf>
    <xf numFmtId="0" fontId="5" fillId="11" borderId="1" applyAlignment="1" pivotButton="0" quotePrefix="0" xfId="0">
      <alignment vertical="top" wrapText="1"/>
    </xf>
    <xf numFmtId="0" fontId="10" fillId="11" borderId="1" applyAlignment="1" pivotButton="0" quotePrefix="0" xfId="0">
      <alignment horizontal="center" vertical="center" wrapText="1"/>
    </xf>
    <xf numFmtId="0" fontId="7" fillId="11" borderId="1" applyAlignment="1" pivotButton="0" quotePrefix="0" xfId="0">
      <alignment horizontal="center" vertical="top"/>
    </xf>
    <xf numFmtId="0" fontId="8" fillId="11" borderId="1" applyAlignment="1" pivotButton="0" quotePrefix="0" xfId="0">
      <alignment vertical="top" wrapText="1"/>
    </xf>
    <xf numFmtId="0" fontId="14" fillId="0" borderId="0" pivotButton="0" quotePrefix="0" xfId="0"/>
    <xf numFmtId="0" fontId="15" fillId="2" borderId="0" pivotButton="0" quotePrefix="0" xfId="0"/>
    <xf numFmtId="0" fontId="10" fillId="7" borderId="0" pivotButton="0" quotePrefix="0" xfId="0"/>
    <xf numFmtId="0" fontId="2" fillId="12" borderId="0" pivotButton="0" quotePrefix="0" xfId="0"/>
    <xf numFmtId="0" fontId="6" fillId="4" borderId="0" pivotButton="0" quotePrefix="0" xfId="0"/>
    <xf numFmtId="0" fontId="12" fillId="9" borderId="0" pivotButton="0" quotePrefix="0" xfId="0"/>
    <xf numFmtId="0" fontId="11" fillId="8" borderId="0" pivotButton="0" quotePrefix="0" xfId="0"/>
    <xf numFmtId="0" fontId="16" fillId="13" borderId="0" pivotButton="0" quotePrefix="0" xfId="0"/>
    <xf numFmtId="0" fontId="17" fillId="14" borderId="0" pivotButton="0" quotePrefix="0" xfId="0"/>
    <xf numFmtId="0" fontId="13" fillId="10" borderId="0" pivotButton="0" quotePrefix="0" xfId="0"/>
    <xf numFmtId="0" fontId="18" fillId="15" borderId="0" pivotButton="0" quotePrefix="0" xfId="0"/>
    <xf numFmtId="0" fontId="2" fillId="16" borderId="0" pivotButton="0" quotePrefix="0" xfId="0"/>
    <xf numFmtId="0" fontId="2" fillId="17" borderId="0" pivotButton="0" quotePrefix="0" xfId="0"/>
    <xf numFmtId="0" fontId="19" fillId="11" borderId="0" pivotButton="0" quotePrefix="0" xfId="0"/>
    <xf numFmtId="0" fontId="20" fillId="2" borderId="0" pivotButton="0" quotePrefix="0" xfId="0"/>
    <xf numFmtId="0" fontId="15" fillId="2" borderId="0" applyAlignment="1" pivotButton="0" quotePrefix="0" xfId="0">
      <alignment vertical="center"/>
    </xf>
    <xf numFmtId="0" fontId="21" fillId="0" borderId="0" applyAlignment="1" pivotButton="0" quotePrefix="0" xfId="0">
      <alignment vertical="center" wrapText="1"/>
    </xf>
    <xf numFmtId="0" fontId="22" fillId="0" borderId="0" applyAlignment="1" pivotButton="0" quotePrefix="0" xfId="0">
      <alignment vertical="center" wrapText="1"/>
    </xf>
    <xf numFmtId="0" fontId="2" fillId="3" borderId="0" applyAlignment="1" pivotButton="0" quotePrefix="0" xfId="0">
      <alignment vertical="top" wrapText="1"/>
    </xf>
    <xf numFmtId="0" fontId="2" fillId="5" borderId="3" applyAlignment="1" pivotButton="0" quotePrefix="0" xfId="0">
      <alignment vertical="top"/>
    </xf>
    <xf numFmtId="0" fontId="2" fillId="5" borderId="3" applyAlignment="1" pivotButton="0" quotePrefix="0" xfId="0">
      <alignment vertical="top" wrapText="1"/>
    </xf>
    <xf numFmtId="0" fontId="2" fillId="3" borderId="3" applyAlignment="1" pivotButton="0" quotePrefix="0" xfId="0">
      <alignment vertical="top"/>
    </xf>
    <xf numFmtId="0" fontId="2" fillId="3" borderId="3" applyAlignment="1" pivotButton="0" quotePrefix="0" xfId="0">
      <alignment vertical="top" wrapText="1"/>
    </xf>
    <xf numFmtId="0" fontId="2" fillId="5" borderId="0" applyAlignment="1" pivotButton="0" quotePrefix="0" xfId="0">
      <alignment vertical="top" wrapText="1"/>
    </xf>
    <xf numFmtId="0" fontId="23" fillId="18" borderId="4" applyAlignment="1" pivotButton="0" quotePrefix="0" xfId="0">
      <alignment horizontal="center" vertical="center"/>
    </xf>
    <xf numFmtId="0" fontId="24" fillId="19" borderId="4" applyAlignment="1" pivotButton="0" quotePrefix="0" xfId="0">
      <alignment horizontal="center" vertical="center"/>
    </xf>
    <xf numFmtId="0" fontId="25" fillId="20" borderId="2" applyAlignment="1" pivotButton="0" quotePrefix="0" xfId="0">
      <alignment horizontal="center" vertical="top"/>
    </xf>
    <xf numFmtId="0" fontId="25" fillId="20" borderId="2" applyAlignment="1" pivotButton="0" quotePrefix="0" xfId="0">
      <alignment vertical="top" wrapText="1"/>
    </xf>
    <xf numFmtId="0" fontId="25" fillId="20" borderId="2" applyAlignment="1" pivotButton="0" quotePrefix="0" xfId="0">
      <alignment horizontal="center" vertical="center" wrapText="1"/>
    </xf>
    <xf numFmtId="0" fontId="25" fillId="20" borderId="0" applyAlignment="1" pivotButton="0" quotePrefix="0" xfId="0">
      <alignment vertical="top" wrapText="1"/>
    </xf>
    <xf numFmtId="0" fontId="26" fillId="21" borderId="0" applyAlignment="1" pivotButton="0" quotePrefix="0" xfId="0">
      <alignment horizontal="center" vertical="center"/>
    </xf>
    <xf numFmtId="0" fontId="27" fillId="22" borderId="0" applyAlignment="1" pivotButton="0" quotePrefix="0" xfId="0">
      <alignment horizontal="center" vertical="center"/>
    </xf>
    <xf numFmtId="0" fontId="28" fillId="23" borderId="0" applyAlignment="1" pivotButton="0" quotePrefix="0" xfId="0">
      <alignment horizontal="center" vertical="center"/>
    </xf>
    <xf numFmtId="0" fontId="29" fillId="22" borderId="0" applyAlignment="1" pivotButton="0" quotePrefix="0" xfId="0">
      <alignment horizontal="center" vertical="center" wrapText="1"/>
    </xf>
    <xf numFmtId="0" fontId="30" fillId="18" borderId="0" applyAlignment="1" pivotButton="0" quotePrefix="0" xfId="0">
      <alignment horizontal="center" vertical="center"/>
    </xf>
    <xf numFmtId="0" fontId="30" fillId="23" borderId="0" applyAlignment="1" pivotButton="0" quotePrefix="0" xfId="0">
      <alignment horizontal="center" vertical="center"/>
    </xf>
    <xf numFmtId="0" fontId="23" fillId="24" borderId="0" applyAlignment="1" pivotButton="0" quotePrefix="0" xfId="0">
      <alignment horizontal="center" vertical="center"/>
    </xf>
    <xf numFmtId="0" fontId="23" fillId="22" borderId="0" applyAlignment="1" pivotButton="0" quotePrefix="0" xfId="0">
      <alignment horizontal="center" vertical="center"/>
    </xf>
    <xf numFmtId="0" fontId="25" fillId="20" borderId="4" applyAlignment="1" pivotButton="0" quotePrefix="0" xfId="0">
      <alignment horizontal="left" vertical="center"/>
    </xf>
    <xf numFmtId="0" fontId="25" fillId="20" borderId="4" applyAlignment="1" pivotButton="0" quotePrefix="0" xfId="0">
      <alignment horizontal="center" vertical="center"/>
    </xf>
    <xf numFmtId="0" fontId="25" fillId="19" borderId="4" applyAlignment="1" pivotButton="0" quotePrefix="0" xfId="0">
      <alignment horizontal="left" vertical="center"/>
    </xf>
    <xf numFmtId="0" fontId="25" fillId="19" borderId="4" applyAlignment="1" pivotButton="0" quotePrefix="0" xfId="0">
      <alignment horizontal="center" vertical="center"/>
    </xf>
    <xf numFmtId="0" fontId="25" fillId="25" borderId="4" applyAlignment="1" pivotButton="0" quotePrefix="0" xfId="0">
      <alignment horizontal="left" vertical="center"/>
    </xf>
    <xf numFmtId="0" fontId="25" fillId="25" borderId="4" applyAlignment="1" pivotButton="0" quotePrefix="0" xfId="0">
      <alignment horizontal="center" vertical="center"/>
    </xf>
    <xf numFmtId="0" fontId="25" fillId="26" borderId="4" applyAlignment="1" pivotButton="0" quotePrefix="0" xfId="0">
      <alignment horizontal="left" vertical="center"/>
    </xf>
    <xf numFmtId="0" fontId="25" fillId="26" borderId="4" applyAlignment="1" pivotButton="0" quotePrefix="0" xfId="0">
      <alignment horizontal="center" vertical="center"/>
    </xf>
    <xf numFmtId="0" fontId="31" fillId="21" borderId="0" applyAlignment="1" pivotButton="0" quotePrefix="0" xfId="0">
      <alignment horizontal="center" vertical="center"/>
    </xf>
    <xf numFmtId="0" fontId="32" fillId="23" borderId="4" applyAlignment="1" pivotButton="0" quotePrefix="0" xfId="0">
      <alignment horizontal="center" vertical="center"/>
    </xf>
    <xf numFmtId="0" fontId="33" fillId="21" borderId="0" applyAlignment="1" pivotButton="0" quotePrefix="0" xfId="0">
      <alignment horizontal="center" vertical="center"/>
    </xf>
    <xf numFmtId="0" fontId="23" fillId="22" borderId="4" applyAlignment="1" pivotButton="0" quotePrefix="0" xfId="0">
      <alignment horizontal="center" vertical="center"/>
    </xf>
    <xf numFmtId="0" fontId="24" fillId="19" borderId="4" applyAlignment="1" pivotButton="0" quotePrefix="0" xfId="0">
      <alignment horizontal="left" vertical="center"/>
    </xf>
    <xf numFmtId="0" fontId="34" fillId="19" borderId="4" applyAlignment="1" pivotButton="0" quotePrefix="0" xfId="0">
      <alignment horizontal="left" vertical="center"/>
    </xf>
    <xf numFmtId="0" fontId="35" fillId="27" borderId="4" applyAlignment="1" pivotButton="0" quotePrefix="0" xfId="0">
      <alignment horizontal="center" vertical="center"/>
    </xf>
    <xf numFmtId="0" fontId="25" fillId="28" borderId="4" applyAlignment="1" pivotButton="0" quotePrefix="0" xfId="0">
      <alignment horizontal="center" vertical="center"/>
    </xf>
    <xf numFmtId="0" fontId="36" fillId="19" borderId="4" applyAlignment="1" pivotButton="0" quotePrefix="0" xfId="0">
      <alignment horizontal="center" vertical="center"/>
    </xf>
    <xf numFmtId="0" fontId="24" fillId="26" borderId="4" applyAlignment="1" pivotButton="0" quotePrefix="0" xfId="0">
      <alignment horizontal="left" vertical="center"/>
    </xf>
    <xf numFmtId="0" fontId="24" fillId="26" borderId="4" applyAlignment="1" pivotButton="0" quotePrefix="0" xfId="0">
      <alignment horizontal="center" vertical="center"/>
    </xf>
    <xf numFmtId="0" fontId="34" fillId="26" borderId="4" applyAlignment="1" pivotButton="0" quotePrefix="0" xfId="0">
      <alignment horizontal="left" vertical="center"/>
    </xf>
    <xf numFmtId="0" fontId="36" fillId="26" borderId="4" applyAlignment="1" pivotButton="0" quotePrefix="0" xfId="0">
      <alignment horizontal="center" vertical="center"/>
    </xf>
    <xf numFmtId="0" fontId="33" fillId="18" borderId="0" applyAlignment="1" pivotButton="0" quotePrefix="0" xfId="0">
      <alignment horizontal="center" vertical="center"/>
    </xf>
    <xf numFmtId="0" fontId="23" fillId="24" borderId="4" applyAlignment="1" pivotButton="0" quotePrefix="0" xfId="0">
      <alignment horizontal="center" vertical="center"/>
    </xf>
    <xf numFmtId="0" fontId="24" fillId="20" borderId="4" applyAlignment="1" pivotButton="0" quotePrefix="0" xfId="0">
      <alignment horizontal="left" vertical="center"/>
    </xf>
    <xf numFmtId="0" fontId="24" fillId="20" borderId="4" applyAlignment="1" pivotButton="0" quotePrefix="0" xfId="0">
      <alignment horizontal="center" vertical="center"/>
    </xf>
    <xf numFmtId="0" fontId="24" fillId="25" borderId="4" applyAlignment="1" pivotButton="0" quotePrefix="0" xfId="0">
      <alignment horizontal="left" vertical="center"/>
    </xf>
    <xf numFmtId="0" fontId="24" fillId="25" borderId="4" applyAlignment="1" pivotButton="0" quotePrefix="0" xfId="0">
      <alignment horizontal="center" vertical="center"/>
    </xf>
    <xf numFmtId="0" fontId="33" fillId="22" borderId="0" applyAlignment="1" pivotButton="0" quotePrefix="0" xfId="0">
      <alignment horizontal="center" vertical="center"/>
    </xf>
    <xf numFmtId="0" fontId="33" fillId="29" borderId="0" applyAlignment="1" pivotButton="0" quotePrefix="0" xfId="0">
      <alignment horizontal="center" vertical="center"/>
    </xf>
    <xf numFmtId="0" fontId="23" fillId="29" borderId="0" applyAlignment="1" pivotButton="0" quotePrefix="0" xfId="0">
      <alignment horizontal="center" vertical="center"/>
    </xf>
    <xf numFmtId="0" fontId="23" fillId="29" borderId="4" applyAlignment="1" pivotButton="0" quotePrefix="0" xfId="0">
      <alignment horizontal="center" vertical="center"/>
    </xf>
    <xf numFmtId="0" fontId="33" fillId="30" borderId="0" applyAlignment="1" pivotButton="0" quotePrefix="0" xfId="0">
      <alignment horizontal="center" vertical="center"/>
    </xf>
    <xf numFmtId="0" fontId="23" fillId="30" borderId="4" applyAlignment="1" pivotButton="0" quotePrefix="0" xfId="0">
      <alignment horizontal="center" vertical="center"/>
    </xf>
    <xf numFmtId="0" fontId="33" fillId="23" borderId="0" applyAlignment="1" pivotButton="0" quotePrefix="0" xfId="0">
      <alignment horizontal="center" vertical="center"/>
    </xf>
    <xf numFmtId="0" fontId="23" fillId="23" borderId="4" applyAlignment="1" pivotButton="0" quotePrefix="0" xfId="0">
      <alignment horizontal="center" vertical="center"/>
    </xf>
    <xf numFmtId="0" fontId="35" fillId="20" borderId="4" applyAlignment="1" pivotButton="0" quotePrefix="0" xfId="0">
      <alignment horizontal="left" vertical="center"/>
    </xf>
    <xf numFmtId="0" fontId="35" fillId="20" borderId="4" applyAlignment="1" pivotButton="0" quotePrefix="0" xfId="0">
      <alignment horizontal="center" vertical="center"/>
    </xf>
    <xf numFmtId="0" fontId="34" fillId="26" borderId="4" applyAlignment="1" pivotButton="0" quotePrefix="0" xfId="0">
      <alignment horizontal="center" vertical="center"/>
    </xf>
    <xf numFmtId="0" fontId="37" fillId="19" borderId="4" applyAlignment="1" pivotButton="0" quotePrefix="0" xfId="0">
      <alignment horizontal="center" vertical="center"/>
    </xf>
    <xf numFmtId="0" fontId="37" fillId="19" borderId="4" applyAlignment="1" pivotButton="0" quotePrefix="0" xfId="0">
      <alignment horizontal="left" vertical="center"/>
    </xf>
    <xf numFmtId="0" fontId="37" fillId="26" borderId="4" applyAlignment="1" pivotButton="0" quotePrefix="0" xfId="0">
      <alignment horizontal="center" vertical="center"/>
    </xf>
    <xf numFmtId="0" fontId="37" fillId="26" borderId="4" applyAlignment="1" pivotButton="0" quotePrefix="0" xfId="0">
      <alignment horizontal="left" vertical="center"/>
    </xf>
    <xf numFmtId="0" fontId="37" fillId="20" borderId="4" applyAlignment="1" pivotButton="0" quotePrefix="0" xfId="0">
      <alignment horizontal="center" vertical="center"/>
    </xf>
    <xf numFmtId="0" fontId="38" fillId="20" borderId="4" applyAlignment="1" pivotButton="0" quotePrefix="0" xfId="0">
      <alignment horizontal="left" vertical="center"/>
    </xf>
    <xf numFmtId="0" fontId="37" fillId="20" borderId="4" applyAlignment="1" pivotButton="0" quotePrefix="0" xfId="0">
      <alignment horizontal="left" vertical="center"/>
    </xf>
    <xf numFmtId="0" fontId="40" fillId="21" borderId="0" applyAlignment="1" pivotButton="0" quotePrefix="0" xfId="0">
      <alignment horizontal="left" vertical="center"/>
    </xf>
    <xf numFmtId="0" fontId="39" fillId="22" borderId="0" applyAlignment="1" pivotButton="0" quotePrefix="0" xfId="0">
      <alignment horizontal="left" vertical="center"/>
    </xf>
    <xf numFmtId="0" fontId="32" fillId="23" borderId="0" applyAlignment="1" pivotButton="0" quotePrefix="0" xfId="0">
      <alignment horizontal="center" vertical="center"/>
    </xf>
    <xf numFmtId="0" fontId="37" fillId="26" borderId="0" applyAlignment="1" pivotButton="0" quotePrefix="0" xfId="0">
      <alignment horizontal="left" vertical="center"/>
    </xf>
    <xf numFmtId="0" fontId="24" fillId="19" borderId="9" applyAlignment="1" pivotButton="0" quotePrefix="0" xfId="0">
      <alignment horizontal="center" vertical="center"/>
    </xf>
    <xf numFmtId="0" fontId="23" fillId="31" borderId="9" applyAlignment="1" pivotButton="0" quotePrefix="0" xfId="0">
      <alignment horizontal="center" vertical="center"/>
    </xf>
    <xf numFmtId="0" fontId="26" fillId="32" borderId="0" applyAlignment="1" pivotButton="0" quotePrefix="0" xfId="0">
      <alignment horizontal="center" vertical="center"/>
    </xf>
    <xf numFmtId="0" fontId="41" fillId="33" borderId="0" applyAlignment="1" pivotButton="0" quotePrefix="0" xfId="0">
      <alignment horizontal="center" vertical="center"/>
    </xf>
    <xf numFmtId="0" fontId="42" fillId="32" borderId="10" applyAlignment="1" pivotButton="0" quotePrefix="0" xfId="0">
      <alignment horizontal="center" vertical="center"/>
    </xf>
    <xf numFmtId="0" fontId="44" fillId="33" borderId="10" applyAlignment="1" pivotButton="0" quotePrefix="0" xfId="0">
      <alignment horizontal="center" vertical="center"/>
    </xf>
    <xf numFmtId="0" fontId="46" fillId="31" borderId="10" applyAlignment="1" pivotButton="0" quotePrefix="0" xfId="0">
      <alignment horizontal="center" vertical="center"/>
    </xf>
    <xf numFmtId="0" fontId="48" fillId="34" borderId="10" applyAlignment="1" pivotButton="0" quotePrefix="0" xfId="0">
      <alignment horizontal="center" vertical="center"/>
    </xf>
    <xf numFmtId="0" fontId="46" fillId="35" borderId="10" applyAlignment="1" pivotButton="0" quotePrefix="0" xfId="0">
      <alignment horizontal="center" vertical="center"/>
    </xf>
    <xf numFmtId="0" fontId="46" fillId="36" borderId="10" applyAlignment="1" pivotButton="0" quotePrefix="0" xfId="0">
      <alignment horizontal="center" vertical="center"/>
    </xf>
    <xf numFmtId="0" fontId="46" fillId="37" borderId="10" applyAlignment="1" pivotButton="0" quotePrefix="0" xfId="0">
      <alignment horizontal="center" vertical="center"/>
    </xf>
    <xf numFmtId="0" fontId="44" fillId="38" borderId="10" applyAlignment="1" pivotButton="0" quotePrefix="0" xfId="0">
      <alignment horizontal="center" vertical="center"/>
    </xf>
    <xf numFmtId="0" fontId="43" fillId="33" borderId="11" applyAlignment="1" pivotButton="0" quotePrefix="0" xfId="0">
      <alignment horizontal="center" vertical="center" wrapText="1"/>
    </xf>
    <xf numFmtId="0" fontId="45" fillId="33" borderId="11" applyAlignment="1" pivotButton="0" quotePrefix="0" xfId="0">
      <alignment horizontal="center" vertical="center" wrapText="1"/>
    </xf>
    <xf numFmtId="0" fontId="47" fillId="33" borderId="11" applyAlignment="1" pivotButton="0" quotePrefix="0" xfId="0">
      <alignment horizontal="center" vertical="center" wrapText="1"/>
    </xf>
    <xf numFmtId="0" fontId="49" fillId="33" borderId="11" applyAlignment="1" pivotButton="0" quotePrefix="0" xfId="0">
      <alignment horizontal="center" vertical="center" wrapText="1"/>
    </xf>
    <xf numFmtId="0" fontId="50" fillId="33" borderId="11" applyAlignment="1" pivotButton="0" quotePrefix="0" xfId="0">
      <alignment horizontal="center" vertical="center" wrapText="1"/>
    </xf>
    <xf numFmtId="0" fontId="51" fillId="31" borderId="12" applyAlignment="1" pivotButton="0" quotePrefix="0" xfId="0">
      <alignment horizontal="left" vertical="center"/>
    </xf>
    <xf numFmtId="0" fontId="55" fillId="33" borderId="13" applyAlignment="1" pivotButton="0" quotePrefix="0" xfId="0">
      <alignment horizontal="left" vertical="center"/>
    </xf>
    <xf numFmtId="0" fontId="52" fillId="39" borderId="9" applyAlignment="1" pivotButton="0" quotePrefix="0" xfId="0">
      <alignment horizontal="left" vertical="center" wrapText="1"/>
    </xf>
    <xf numFmtId="0" fontId="52" fillId="43" borderId="9" applyAlignment="1" pivotButton="0" quotePrefix="0" xfId="0">
      <alignment horizontal="left" vertical="center" wrapText="1"/>
    </xf>
    <xf numFmtId="0" fontId="53" fillId="31" borderId="11" applyAlignment="1" pivotButton="0" quotePrefix="0" xfId="0">
      <alignment horizontal="center" vertical="center"/>
    </xf>
    <xf numFmtId="0" fontId="56" fillId="38" borderId="11" applyAlignment="1" pivotButton="0" quotePrefix="0" xfId="0">
      <alignment horizontal="center" vertical="center"/>
    </xf>
    <xf numFmtId="0" fontId="54" fillId="20" borderId="9" applyAlignment="1" pivotButton="0" quotePrefix="0" xfId="0">
      <alignment horizontal="center" vertical="center"/>
    </xf>
    <xf numFmtId="0" fontId="54" fillId="20" borderId="9" applyAlignment="1" pivotButton="0" quotePrefix="0" xfId="0">
      <alignment horizontal="left" vertical="center"/>
    </xf>
    <xf numFmtId="0" fontId="54" fillId="42" borderId="9" applyAlignment="1" pivotButton="0" quotePrefix="0" xfId="0">
      <alignment horizontal="left" vertical="center"/>
    </xf>
    <xf numFmtId="0" fontId="54" fillId="42" borderId="9" applyAlignment="1" pivotButton="0" quotePrefix="0" xfId="0">
      <alignment horizontal="center" vertical="center"/>
    </xf>
    <xf numFmtId="0" fontId="54" fillId="39" borderId="9" applyAlignment="1" pivotButton="0" quotePrefix="0" xfId="0">
      <alignment horizontal="center" vertical="center"/>
    </xf>
    <xf numFmtId="0" fontId="54" fillId="39" borderId="9" applyAlignment="1" pivotButton="0" quotePrefix="0" xfId="0">
      <alignment horizontal="left" vertical="center"/>
    </xf>
    <xf numFmtId="0" fontId="54" fillId="44" borderId="9" applyAlignment="1" pivotButton="0" quotePrefix="0" xfId="0">
      <alignment horizontal="left" vertical="center"/>
    </xf>
    <xf numFmtId="0" fontId="54" fillId="44" borderId="9" applyAlignment="1" pivotButton="0" quotePrefix="0" xfId="0">
      <alignment horizontal="center" vertical="center"/>
    </xf>
    <xf numFmtId="0" fontId="55" fillId="34" borderId="14" applyAlignment="1" pivotButton="0" quotePrefix="0" xfId="0">
      <alignment horizontal="left" vertical="center"/>
    </xf>
    <xf numFmtId="0" fontId="57" fillId="34" borderId="11" applyAlignment="1" pivotButton="0" quotePrefix="0" xfId="0">
      <alignment horizontal="center" vertical="center"/>
    </xf>
    <xf numFmtId="0" fontId="54" fillId="40" borderId="9" applyAlignment="1" pivotButton="0" quotePrefix="0" xfId="0">
      <alignment horizontal="left" vertical="center"/>
    </xf>
    <xf numFmtId="0" fontId="54" fillId="40" borderId="9" applyAlignment="1" pivotButton="0" quotePrefix="0" xfId="0">
      <alignment horizontal="center" vertical="center"/>
    </xf>
    <xf numFmtId="0" fontId="54" fillId="41" borderId="9" applyAlignment="1" pivotButton="0" quotePrefix="0" xfId="0">
      <alignment horizontal="left" vertical="center"/>
    </xf>
    <xf numFmtId="0" fontId="54" fillId="41" borderId="9" applyAlignment="1" pivotButton="0" quotePrefix="0" xfId="0">
      <alignment horizontal="center" vertical="center"/>
    </xf>
    <xf numFmtId="0" fontId="58" fillId="32" borderId="15" applyAlignment="1" pivotButton="0" quotePrefix="0" xfId="0">
      <alignment horizontal="left" vertical="center"/>
    </xf>
    <xf numFmtId="0" fontId="54" fillId="45" borderId="9" applyAlignment="1" pivotButton="0" quotePrefix="0" xfId="0">
      <alignment horizontal="left" vertical="center"/>
    </xf>
    <xf numFmtId="0" fontId="54" fillId="45" borderId="9" applyAlignment="1" pivotButton="0" quotePrefix="0" xfId="0">
      <alignment horizontal="center" vertical="center"/>
    </xf>
    <xf numFmtId="0" fontId="54" fillId="46" borderId="9" applyAlignment="1" pivotButton="0" quotePrefix="0" xfId="0">
      <alignment horizontal="left" vertical="center"/>
    </xf>
    <xf numFmtId="0" fontId="54" fillId="46" borderId="9" applyAlignment="1" pivotButton="0" quotePrefix="0" xfId="0">
      <alignment horizontal="center" vertical="center"/>
    </xf>
    <xf numFmtId="0" fontId="59" fillId="46" borderId="9" applyAlignment="1" pivotButton="0" quotePrefix="0" xfId="0">
      <alignment horizontal="left" vertical="center"/>
    </xf>
    <xf numFmtId="0" fontId="59" fillId="46" borderId="9" applyAlignment="1" pivotButton="0" quotePrefix="0" xfId="0">
      <alignment horizontal="center" vertical="center"/>
    </xf>
    <xf numFmtId="0" fontId="59" fillId="20" borderId="9" applyAlignment="1" pivotButton="0" quotePrefix="0" xfId="0">
      <alignment horizontal="left" vertical="center"/>
    </xf>
    <xf numFmtId="0" fontId="59" fillId="20" borderId="9" applyAlignment="1" pivotButton="0" quotePrefix="0" xfId="0">
      <alignment horizontal="center" vertical="center"/>
    </xf>
    <xf numFmtId="0" fontId="59" fillId="41" borderId="9" applyAlignment="1" pivotButton="0" quotePrefix="0" xfId="0">
      <alignment horizontal="left" vertical="center"/>
    </xf>
    <xf numFmtId="0" fontId="59" fillId="41" borderId="9" applyAlignment="1" pivotButton="0" quotePrefix="0" xfId="0">
      <alignment horizontal="center" vertical="center"/>
    </xf>
    <xf numFmtId="0" fontId="59" fillId="40" borderId="9" applyAlignment="1" pivotButton="0" quotePrefix="0" xfId="0">
      <alignment horizontal="left" vertical="center"/>
    </xf>
    <xf numFmtId="0" fontId="52" fillId="41" borderId="9" applyAlignment="1" pivotButton="0" quotePrefix="0" xfId="0">
      <alignment horizontal="left" vertical="center" wrapText="1"/>
    </xf>
    <xf numFmtId="0" fontId="59" fillId="45" borderId="9" applyAlignment="1" pivotButton="0" quotePrefix="0" xfId="0">
      <alignment horizontal="left" vertical="center"/>
    </xf>
    <xf numFmtId="0" fontId="52" fillId="40" borderId="9" applyAlignment="1" pivotButton="0" quotePrefix="0" xfId="0">
      <alignment horizontal="left" vertical="center" wrapText="1"/>
    </xf>
    <xf numFmtId="0" fontId="52" fillId="45" borderId="9" applyAlignment="1" pivotButton="0" quotePrefix="0" xfId="0">
      <alignment horizontal="left" vertical="center" wrapText="1"/>
    </xf>
    <xf numFmtId="0" fontId="52" fillId="44" borderId="9" applyAlignment="1" pivotButton="0" quotePrefix="0" xfId="0">
      <alignment horizontal="left" vertical="center" wrapText="1"/>
    </xf>
    <xf numFmtId="0" fontId="60" fillId="35" borderId="16" applyAlignment="1" pivotButton="0" quotePrefix="0" xfId="0">
      <alignment horizontal="left" vertical="center"/>
    </xf>
    <xf numFmtId="0" fontId="61" fillId="35" borderId="11" applyAlignment="1" pivotButton="0" quotePrefix="0" xfId="0">
      <alignment horizontal="center" vertical="center"/>
    </xf>
    <xf numFmtId="0" fontId="59" fillId="45" borderId="9" applyAlignment="1" pivotButton="0" quotePrefix="0" xfId="0">
      <alignment horizontal="center" vertical="center"/>
    </xf>
    <xf numFmtId="0" fontId="46" fillId="33" borderId="10" applyAlignment="1" pivotButton="0" quotePrefix="0" xfId="0">
      <alignment horizontal="center" vertical="center"/>
    </xf>
    <xf numFmtId="0" fontId="46" fillId="38" borderId="10" applyAlignment="1" pivotButton="0" quotePrefix="0" xfId="0">
      <alignment horizontal="center" vertical="center"/>
    </xf>
    <xf numFmtId="0" fontId="46" fillId="34" borderId="10" applyAlignment="1" pivotButton="0" quotePrefix="0" xfId="0">
      <alignment horizontal="center" vertical="center"/>
    </xf>
    <xf numFmtId="0" fontId="46" fillId="47" borderId="10" applyAlignment="1" pivotButton="0" quotePrefix="0" xfId="0">
      <alignment horizontal="center" vertical="center"/>
    </xf>
    <xf numFmtId="0" fontId="0" fillId="0" borderId="19" pivotButton="0" quotePrefix="0" xfId="0"/>
    <xf numFmtId="0" fontId="0" fillId="0" borderId="20" pivotButton="0" quotePrefix="0" xfId="0"/>
    <xf numFmtId="0" fontId="30" fillId="31" borderId="12" applyAlignment="1" pivotButton="0" quotePrefix="0" xfId="0">
      <alignment horizontal="left" vertical="center"/>
    </xf>
    <xf numFmtId="0" fontId="62" fillId="32" borderId="10" applyAlignment="1" pivotButton="0" quotePrefix="0" xfId="0">
      <alignment horizontal="left" vertical="center"/>
    </xf>
    <xf numFmtId="0" fontId="62" fillId="32" borderId="10" applyAlignment="1" pivotButton="0" quotePrefix="0" xfId="0">
      <alignment horizontal="center" vertical="center"/>
    </xf>
    <xf numFmtId="0" fontId="61" fillId="35" borderId="0" applyAlignment="1" pivotButton="0" quotePrefix="0" xfId="0">
      <alignment horizontal="left" vertical="center"/>
    </xf>
    <xf numFmtId="0" fontId="59" fillId="44" borderId="9" applyAlignment="1" pivotButton="0" quotePrefix="0" xfId="0">
      <alignment horizontal="left" vertical="center"/>
    </xf>
    <xf numFmtId="0" fontId="58" fillId="32" borderId="11" applyAlignment="1" pivotButton="0" quotePrefix="0" xfId="0">
      <alignment horizontal="left" vertical="center" indent="1"/>
    </xf>
    <xf numFmtId="0" fontId="63" fillId="33" borderId="11" applyAlignment="1" pivotButton="0" quotePrefix="0" xfId="0">
      <alignment horizontal="left" vertical="center" indent="1"/>
    </xf>
    <xf numFmtId="0" fontId="32" fillId="35" borderId="11" applyAlignment="1" pivotButton="0" quotePrefix="0" xfId="0">
      <alignment horizontal="center" vertical="center"/>
    </xf>
    <xf numFmtId="0" fontId="0" fillId="0" borderId="31" pivotButton="0" quotePrefix="0" xfId="0"/>
    <xf numFmtId="0" fontId="0" fillId="0" borderId="32" pivotButton="0" quotePrefix="0" xfId="0"/>
    <xf numFmtId="0" fontId="0" fillId="0" borderId="35" pivotButton="0" quotePrefix="0" xfId="0"/>
    <xf numFmtId="0" fontId="0" fillId="0" borderId="36" pivotButton="0" quotePrefix="0" xfId="0"/>
    <xf numFmtId="0" fontId="0" fillId="0" borderId="27" pivotButton="0" quotePrefix="0" xfId="0"/>
    <xf numFmtId="0" fontId="0" fillId="0" borderId="28" pivotButton="0" quotePrefix="0" xfId="0"/>
    <xf numFmtId="0" fontId="0" fillId="0" borderId="23" pivotButton="0" quotePrefix="0" xfId="0"/>
    <xf numFmtId="0" fontId="0" fillId="0" borderId="24" pivotButton="0" quotePrefix="0" xfId="0"/>
    <xf numFmtId="0" fontId="0" fillId="0" borderId="39" pivotButton="0" quotePrefix="0" xfId="0"/>
    <xf numFmtId="0" fontId="0" fillId="0" borderId="40" pivotButton="0" quotePrefix="0" xfId="0"/>
    <xf numFmtId="0" fontId="0" fillId="0" borderId="43" pivotButton="0" quotePrefix="0" xfId="0"/>
    <xf numFmtId="0" fontId="0" fillId="0" borderId="44" pivotButton="0" quotePrefix="0" xfId="0"/>
    <xf numFmtId="0" fontId="0" fillId="20" borderId="0" applyAlignment="1" pivotButton="0" quotePrefix="0" xfId="0">
      <alignment vertical="top" wrapText="1"/>
    </xf>
    <xf numFmtId="0" fontId="0" fillId="20" borderId="0" pivotButton="0" quotePrefix="0" xfId="0"/>
    <xf numFmtId="0" fontId="64" fillId="5" borderId="0" applyAlignment="1" pivotButton="0" quotePrefix="0" xfId="0">
      <alignment vertical="top" wrapText="1"/>
    </xf>
  </cellXfs>
  <cellStyles count="1">
    <cellStyle name="Normal" xfId="0" builtinId="0" hidden="0"/>
  </cellStyles>
  <dxfs count="6">
    <dxf>
      <font>
        <name val="Arial"/>
        <color rgb="005C2D8A"/>
        <sz val="9"/>
      </font>
      <fill>
        <patternFill patternType="solid">
          <fgColor rgb="00EDE0FF"/>
        </patternFill>
      </fill>
    </dxf>
    <dxf>
      <font>
        <name val="Arial"/>
        <color rgb="001A4A6E"/>
        <sz val="9"/>
      </font>
      <fill>
        <patternFill patternType="solid">
          <fgColor rgb="00D8EAF5"/>
        </patternFill>
      </fill>
    </dxf>
    <dxf>
      <font>
        <name val="Arial"/>
        <color rgb="008B2500"/>
        <sz val="9"/>
      </font>
      <fill>
        <patternFill patternType="solid">
          <fgColor rgb="00F9E0D0"/>
        </patternFill>
      </fill>
    </dxf>
    <dxf>
      <font>
        <name val="Arial"/>
        <color rgb="00B5651D"/>
        <sz val="9"/>
      </font>
      <fill>
        <patternFill patternType="solid">
          <fgColor rgb="00FDEECB"/>
        </patternFill>
      </fill>
    </dxf>
    <dxf>
      <font>
        <name val="Arial"/>
        <color rgb="002D4A1E"/>
        <sz val="9"/>
      </font>
      <fill>
        <patternFill patternType="solid">
          <fgColor rgb="00D8EDD0"/>
        </patternFill>
      </fill>
    </dxf>
    <dxf>
      <font>
        <name val="Arial"/>
        <color rgb="002D4A1E"/>
        <sz val="9"/>
      </font>
      <fill>
        <patternFill patternType="solid">
          <fgColor rgb="00E8F5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Process Distribution</a:t>
            </a:r>
          </a:p>
        </rich>
      </tx>
    </title>
    <plotArea>
      <pieChart>
        <varyColors val="1"/>
        <ser>
          <idx val="0"/>
          <order val="0"/>
          <tx>
            <strRef>
              <f>'🧬 Palate DNA'!C200</f>
            </strRef>
          </tx>
          <spPr>
            <a:ln xmlns:a="http://schemas.openxmlformats.org/drawingml/2006/main">
              <a:prstDash val="solid"/>
            </a:ln>
          </spPr>
          <cat>
            <numRef>
              <f>'🧬 Palate DNA'!$B$201:$B$208</f>
            </numRef>
          </cat>
          <val>
            <numRef>
              <f>'🧬 Palate DNA'!$C$201:$C$208</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Entries by Origin</a:t>
            </a:r>
          </a:p>
        </rich>
      </tx>
    </title>
    <plotArea>
      <barChart>
        <barDir val="bar"/>
        <grouping val="clustered"/>
        <ser>
          <idx val="0"/>
          <order val="0"/>
          <tx>
            <strRef>
              <f>'🌍 Origin &amp; Terroir'!C200</f>
            </strRef>
          </tx>
          <spPr>
            <a:solidFill xmlns:a="http://schemas.openxmlformats.org/drawingml/2006/main">
              <a:srgbClr val="C8780A"/>
            </a:solidFill>
            <a:ln xmlns:a="http://schemas.openxmlformats.org/drawingml/2006/main">
              <a:solidFill>
                <a:srgbClr val="8B4513"/>
              </a:solidFill>
              <a:prstDash val="solid"/>
            </a:ln>
          </spPr>
          <cat>
            <numRef>
              <f>'🌍 Origin &amp; Terroir'!$B$201:$B$210</f>
            </numRef>
          </cat>
          <val>
            <numRef>
              <f>'🌍 Origin &amp; Terroir'!$C$201:$C$210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Entries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Origin</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Average Price by Origin (SGD)</a:t>
            </a:r>
          </a:p>
        </rich>
      </tx>
    </title>
    <plotArea>
      <barChart>
        <barDir val="col"/>
        <grouping val="clustered"/>
        <ser>
          <idx val="0"/>
          <order val="0"/>
          <tx>
            <strRef>
              <f>'💰 Price &amp; Value'!C200</f>
            </strRef>
          </tx>
          <spPr>
            <a:solidFill xmlns:a="http://schemas.openxmlformats.org/drawingml/2006/main">
              <a:srgbClr val="D4A017"/>
            </a:solidFill>
            <a:ln xmlns:a="http://schemas.openxmlformats.org/drawingml/2006/main">
              <a:solidFill>
                <a:srgbClr val="C8780A"/>
              </a:solidFill>
              <a:prstDash val="solid"/>
            </a:ln>
          </spPr>
          <cat>
            <numRef>
              <f>'💰 Price &amp; Value'!$B$201:$B$208</f>
            </numRef>
          </cat>
          <val>
            <numRef>
              <f>'💰 Price &amp; Value'!$C$201:$C$208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Archive Growth — Entries per Month</a:t>
            </a:r>
          </a:p>
        </rich>
      </tx>
    </title>
    <plotArea>
      <lineChart>
        <grouping val="standard"/>
        <ser>
          <idx val="0"/>
          <order val="0"/>
          <tx>
            <strRef>
              <f>'📅 Archive Timeline'!C200</f>
            </strRef>
          </tx>
          <spPr>
            <a:ln xmlns:a="http://schemas.openxmlformats.org/drawingml/2006/main" w="25000">
              <a:solidFill>
                <a:srgbClr val="C8780A"/>
              </a:solidFill>
              <a:prstDash val="solid"/>
            </a:ln>
          </spPr>
          <marker>
            <symbol val="none"/>
            <spPr>
              <a:ln xmlns:a="http://schemas.openxmlformats.org/drawingml/2006/main">
                <a:prstDash val="solid"/>
              </a:ln>
            </spPr>
          </marker>
          <cat>
            <numRef>
              <f>'📅 Archive Timeline'!$B$201:$B$207</f>
            </numRef>
          </cat>
          <val>
            <numRef>
              <f>'📅 Archive Timeline'!$C$201:$C$207</f>
            </numRef>
          </val>
        </ser>
        <ser>
          <idx val="1"/>
          <order val="1"/>
          <tx>
            <strRef>
              <f>'📅 Archive Timeline'!D200</f>
            </strRef>
          </tx>
          <spPr>
            <a:ln xmlns:a="http://schemas.openxmlformats.org/drawingml/2006/main" w="20000">
              <a:solidFill>
                <a:srgbClr val="5C2D8A"/>
              </a:solidFill>
              <a:prstDash val="solid"/>
            </a:ln>
          </spPr>
          <marker>
            <symbol val="none"/>
            <spPr>
              <a:ln xmlns:a="http://schemas.openxmlformats.org/drawingml/2006/main">
                <a:prstDash val="solid"/>
              </a:ln>
            </spPr>
          </marker>
          <cat>
            <numRef>
              <f>'📅 Archive Timeline'!$B$201:$B$207</f>
            </numRef>
          </cat>
          <val>
            <numRef>
              <f>'📅 Archive Timeline'!$D$201:$D$207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Entries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7</col>
      <colOff>0</colOff>
      <row>31</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27</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27</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C1503"/>
    <outlinePr summaryBelow="1" summaryRight="1"/>
    <pageSetUpPr/>
  </sheetPr>
  <dimension ref="A1:W57"/>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6" customWidth="1" min="4" max="4"/>
    <col width="22" customWidth="1" min="5" max="5"/>
    <col width="20" customWidth="1" min="6" max="6"/>
    <col width="16" customWidth="1" min="7" max="7"/>
    <col width="16" customWidth="1" min="8" max="8"/>
    <col width="12" customWidth="1" min="9" max="9"/>
    <col width="22" customWidth="1" min="10" max="10"/>
    <col width="8" customWidth="1" min="11" max="11"/>
    <col width="8" customWidth="1" min="12" max="12"/>
    <col width="8" customWidth="1" min="13" max="13"/>
    <col width="10" customWidth="1" min="14" max="14"/>
    <col width="14" customWidth="1" min="15" max="15"/>
    <col width="24" customWidth="1" min="16" max="16"/>
    <col width="9" customWidth="1" min="17" max="17"/>
    <col width="28" customWidth="1" min="18" max="18"/>
    <col width="40" customWidth="1" min="19" max="19"/>
    <col width="44" customWidth="1" min="20" max="20"/>
    <col width="28" customWidth="1" min="21" max="21"/>
    <col width="22" customWidth="1" min="22" max="22"/>
    <col width="14" customWidth="1" min="23" max="23"/>
  </cols>
  <sheetData>
    <row r="1" ht="36" customHeight="1">
      <c r="A1" s="1" t="inlineStr">
        <is>
          <t>Date</t>
        </is>
      </c>
      <c r="B1" s="1" t="inlineStr">
        <is>
          <t>City</t>
        </is>
      </c>
      <c r="C1" s="1" t="inlineStr">
        <is>
          <t>Cafe_Name</t>
        </is>
      </c>
      <c r="D1" s="1" t="inlineStr">
        <is>
          <t>Coffee_Name</t>
        </is>
      </c>
      <c r="E1" s="1" t="inlineStr">
        <is>
          <t>Producer_Farm</t>
        </is>
      </c>
      <c r="F1" s="1" t="inlineStr">
        <is>
          <t>Origin</t>
        </is>
      </c>
      <c r="G1" s="1" t="inlineStr">
        <is>
          <t>Varietal</t>
        </is>
      </c>
      <c r="H1" s="1" t="inlineStr">
        <is>
          <t>Process</t>
        </is>
      </c>
      <c r="I1" s="1" t="inlineStr">
        <is>
          <t>Roast_Level</t>
        </is>
      </c>
      <c r="J1" s="1" t="inlineStr">
        <is>
          <t>Brew_Method</t>
        </is>
      </c>
      <c r="K1" s="1" t="inlineStr">
        <is>
          <t>Dose_g</t>
        </is>
      </c>
      <c r="L1" s="1" t="inlineStr">
        <is>
          <t>Yield_g</t>
        </is>
      </c>
      <c r="M1" s="1" t="inlineStr">
        <is>
          <t>Ratio</t>
        </is>
      </c>
      <c r="N1" s="1" t="inlineStr">
        <is>
          <t>Water_Temp_C</t>
        </is>
      </c>
      <c r="O1" s="1" t="inlineStr">
        <is>
          <t>Bloom</t>
        </is>
      </c>
      <c r="P1" s="1" t="inlineStr">
        <is>
          <t>Grinder</t>
        </is>
      </c>
      <c r="Q1" s="1" t="inlineStr">
        <is>
          <t>Price_SGD</t>
        </is>
      </c>
      <c r="R1" s="1" t="inlineStr">
        <is>
          <t>Official_Notes</t>
        </is>
      </c>
      <c r="S1" s="1" t="inlineStr">
        <is>
          <t>Your_Verdict</t>
        </is>
      </c>
      <c r="T1" s="1" t="inlineStr">
        <is>
          <t>Technical_Enrichment</t>
        </is>
      </c>
      <c r="U1" s="1" t="inlineStr">
        <is>
          <t>Visit_Context</t>
        </is>
      </c>
      <c r="V1" s="1" t="inlineStr">
        <is>
          <t>Source</t>
        </is>
      </c>
      <c r="W1" s="51" t="inlineStr">
        <is>
          <t>Gesha_Alert</t>
        </is>
      </c>
    </row>
    <row r="2" ht="70" customHeight="1">
      <c r="A2" s="2" t="inlineStr">
        <is>
          <t>2026-01-03</t>
        </is>
      </c>
      <c r="B2" s="3" t="inlineStr">
        <is>
          <t>Ubud, Bali</t>
        </is>
      </c>
      <c r="C2" s="4" t="inlineStr">
        <is>
          <t>Seniman Coffee Studio</t>
        </is>
      </c>
      <c r="D2" s="3" t="inlineStr">
        <is>
          <t>Bali Karana Kintamanis</t>
        </is>
      </c>
      <c r="E2" s="3" t="inlineStr">
        <is>
          <t>Unknown</t>
        </is>
      </c>
      <c r="F2" s="3" t="inlineStr">
        <is>
          <t>Kintamani, Bali</t>
        </is>
      </c>
      <c r="G2" s="5" t="inlineStr">
        <is>
          <t>Unknown</t>
        </is>
      </c>
      <c r="H2" s="6" t="inlineStr">
        <is>
          <t>Natural</t>
        </is>
      </c>
      <c r="I2" s="3" t="inlineStr">
        <is>
          <t>Light</t>
        </is>
      </c>
      <c r="J2" s="3" t="inlineStr">
        <is>
          <t>Filter</t>
        </is>
      </c>
      <c r="K2" s="3" t="inlineStr">
        <is>
          <t>Unknown</t>
        </is>
      </c>
      <c r="L2" s="3" t="inlineStr">
        <is>
          <t>Unknown</t>
        </is>
      </c>
      <c r="M2" s="3" t="inlineStr">
        <is>
          <t>Unknown</t>
        </is>
      </c>
      <c r="N2" s="3" t="inlineStr">
        <is>
          <t>Unknown</t>
        </is>
      </c>
      <c r="O2" s="3" t="inlineStr">
        <is>
          <t>Unknown</t>
        </is>
      </c>
      <c r="P2" s="3" t="inlineStr">
        <is>
          <t>Unknown</t>
        </is>
      </c>
      <c r="Q2" s="7" t="inlineStr">
        <is>
          <t>Unknown</t>
        </is>
      </c>
      <c r="R2" s="3" t="inlineStr">
        <is>
          <t>Clean citrus; floral</t>
        </is>
      </c>
      <c r="S2" s="8" t="inlineStr">
        <is>
          <t>Excellent clarity for a natural process; clean citrus and floral notes.</t>
        </is>
      </c>
      <c r="T2" s="3" t="inlineStr">
        <is>
          <t>Natural processing contributed mild fruit-forward esters with relatively clean finish; foundational exposure to local Indonesian origins.</t>
        </is>
      </c>
      <c r="U2" s="3" t="inlineStr">
        <is>
          <t>Bali family trip</t>
        </is>
      </c>
      <c r="V2" s="3" t="inlineStr">
        <is>
          <t>Merged (Gemini + ChatGPT)</t>
        </is>
      </c>
      <c r="W2" s="114" t="inlineStr"/>
    </row>
    <row r="3" ht="70" customHeight="1">
      <c r="A3" s="9" t="inlineStr">
        <is>
          <t>2026-01-04</t>
        </is>
      </c>
      <c r="B3" s="10" t="inlineStr">
        <is>
          <t>Ubud, Bali</t>
        </is>
      </c>
      <c r="C3" s="11" t="inlineStr">
        <is>
          <t>Seniman Coffee Studio</t>
        </is>
      </c>
      <c r="D3" s="10" t="inlineStr">
        <is>
          <t>Sulawesi Toraja</t>
        </is>
      </c>
      <c r="E3" s="10" t="inlineStr">
        <is>
          <t>Unknown</t>
        </is>
      </c>
      <c r="F3" s="10" t="inlineStr">
        <is>
          <t>Sulawesi, Indonesia</t>
        </is>
      </c>
      <c r="G3" s="12" t="inlineStr">
        <is>
          <t>Unknown</t>
        </is>
      </c>
      <c r="H3" s="13" t="inlineStr">
        <is>
          <t>Wet-Hulled</t>
        </is>
      </c>
      <c r="I3" s="10" t="inlineStr">
        <is>
          <t>Medium</t>
        </is>
      </c>
      <c r="J3" s="10" t="inlineStr">
        <is>
          <t>Pour-over</t>
        </is>
      </c>
      <c r="K3" s="10" t="inlineStr">
        <is>
          <t>Unknown</t>
        </is>
      </c>
      <c r="L3" s="10" t="inlineStr">
        <is>
          <t>Unknown</t>
        </is>
      </c>
      <c r="M3" s="10" t="inlineStr">
        <is>
          <t>Unknown</t>
        </is>
      </c>
      <c r="N3" s="10" t="inlineStr">
        <is>
          <t>Unknown</t>
        </is>
      </c>
      <c r="O3" s="10" t="inlineStr">
        <is>
          <t>Unknown</t>
        </is>
      </c>
      <c r="P3" s="10" t="inlineStr">
        <is>
          <t>Unknown</t>
        </is>
      </c>
      <c r="Q3" s="14" t="inlineStr">
        <is>
          <t>Unknown</t>
        </is>
      </c>
      <c r="R3" s="10" t="inlineStr">
        <is>
          <t>Cocoa; earthy structures</t>
        </is>
      </c>
      <c r="S3" s="15" t="inlineStr">
        <is>
          <t>Heavy body with rich cocoa and earthy notes; low acidity; dense mouthfeel.</t>
        </is>
      </c>
      <c r="T3" s="10" t="inlineStr">
        <is>
          <t>Classic Giling Basah wet-hulled process emphasized earthy compounds and syrupy mouthfeel; structural density confirmed.</t>
        </is>
      </c>
      <c r="U3" s="10" t="inlineStr">
        <is>
          <t>Bali family trip</t>
        </is>
      </c>
      <c r="V3" s="10" t="inlineStr">
        <is>
          <t>Merged (Gemini + ChatGPT)</t>
        </is>
      </c>
      <c r="W3" s="114" t="inlineStr"/>
    </row>
    <row r="4" ht="70" customHeight="1">
      <c r="A4" s="2" t="inlineStr">
        <is>
          <t>2026-01-04</t>
        </is>
      </c>
      <c r="B4" s="3" t="inlineStr">
        <is>
          <t>Ubud, Bali</t>
        </is>
      </c>
      <c r="C4" s="4" t="inlineStr">
        <is>
          <t>Seniman Coffee Studio</t>
        </is>
      </c>
      <c r="D4" s="3" t="inlineStr">
        <is>
          <t>House Blend</t>
        </is>
      </c>
      <c r="E4" s="3" t="inlineStr">
        <is>
          <t>Unknown</t>
        </is>
      </c>
      <c r="F4" s="3" t="inlineStr">
        <is>
          <t>Unknown</t>
        </is>
      </c>
      <c r="G4" s="5" t="inlineStr">
        <is>
          <t>Unknown</t>
        </is>
      </c>
      <c r="H4" s="13" t="inlineStr">
        <is>
          <t>Unknown</t>
        </is>
      </c>
      <c r="I4" s="3" t="inlineStr">
        <is>
          <t>Espresso Roast</t>
        </is>
      </c>
      <c r="J4" s="3" t="inlineStr">
        <is>
          <t>Piccolo</t>
        </is>
      </c>
      <c r="K4" s="3" t="inlineStr">
        <is>
          <t>Unknown</t>
        </is>
      </c>
      <c r="L4" s="3" t="inlineStr">
        <is>
          <t>Unknown</t>
        </is>
      </c>
      <c r="M4" s="3" t="inlineStr">
        <is>
          <t>Unknown</t>
        </is>
      </c>
      <c r="N4" s="3" t="inlineStr">
        <is>
          <t>Unknown</t>
        </is>
      </c>
      <c r="O4" s="3" t="inlineStr">
        <is>
          <t>Unknown</t>
        </is>
      </c>
      <c r="P4" s="3" t="inlineStr">
        <is>
          <t>Unknown</t>
        </is>
      </c>
      <c r="Q4" s="7" t="inlineStr">
        <is>
          <t>Unknown</t>
        </is>
      </c>
      <c r="R4" s="3" t="inlineStr">
        <is>
          <t>Balanced</t>
        </is>
      </c>
      <c r="S4" s="8" t="inlineStr">
        <is>
          <t>Great milk integration; standard espresso + milk calibration.</t>
        </is>
      </c>
      <c r="T4" s="3" t="inlineStr">
        <is>
          <t>Baseline milk pairing; milk fats softened acidity and amplified sweetness and body.</t>
        </is>
      </c>
      <c r="U4" s="3" t="inlineStr">
        <is>
          <t>Bali family trip</t>
        </is>
      </c>
      <c r="V4" s="3" t="inlineStr">
        <is>
          <t>Merged (Gemini + ChatGPT)</t>
        </is>
      </c>
      <c r="W4" s="114" t="inlineStr"/>
    </row>
    <row r="5" ht="70" customHeight="1">
      <c r="A5" s="9" t="inlineStr">
        <is>
          <t>2026-02-10</t>
        </is>
      </c>
      <c r="B5" s="10" t="inlineStr">
        <is>
          <t>Singapore</t>
        </is>
      </c>
      <c r="C5" s="11" t="inlineStr">
        <is>
          <t>Kyuukei Coffee</t>
        </is>
      </c>
      <c r="D5" s="10" t="inlineStr">
        <is>
          <t>Kenya Kiamugumo AA</t>
        </is>
      </c>
      <c r="E5" s="10" t="inlineStr">
        <is>
          <t>New Ngariama Farmer's Cooperative Society</t>
        </is>
      </c>
      <c r="F5" s="10" t="inlineStr">
        <is>
          <t>Kiamugumo, Murang'a County, Kenya</t>
        </is>
      </c>
      <c r="G5" s="12" t="inlineStr">
        <is>
          <t>SL28 / SL34</t>
        </is>
      </c>
      <c r="H5" s="16" t="inlineStr">
        <is>
          <t>Washed</t>
        </is>
      </c>
      <c r="I5" s="10" t="inlineStr">
        <is>
          <t>Unknown</t>
        </is>
      </c>
      <c r="J5" s="10" t="inlineStr">
        <is>
          <t>Pour-over (Flat-Bottom)</t>
        </is>
      </c>
      <c r="K5" s="10" t="inlineStr">
        <is>
          <t>15</t>
        </is>
      </c>
      <c r="L5" s="10" t="inlineStr">
        <is>
          <t>240</t>
        </is>
      </c>
      <c r="M5" s="10" t="inlineStr">
        <is>
          <t>1:16</t>
        </is>
      </c>
      <c r="N5" s="10" t="inlineStr">
        <is>
          <t>93</t>
        </is>
      </c>
      <c r="O5" s="10" t="inlineStr">
        <is>
          <t>Unknown</t>
        </is>
      </c>
      <c r="P5" s="10" t="inlineStr">
        <is>
          <t>120mm Hybrid Burr</t>
        </is>
      </c>
      <c r="Q5" s="14" t="inlineStr">
        <is>
          <t>8.00</t>
        </is>
      </c>
      <c r="R5" s="10" t="inlineStr">
        <is>
          <t>Blackcurrant, Lemon, Citrus Zest, Mineral Finish</t>
        </is>
      </c>
      <c r="S5" s="15" t="inlineStr">
        <is>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is>
      </c>
      <c r="T5" s="10" t="inlineStr">
        <is>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is>
      </c>
      <c r="U5" s="10" t="inlineStr">
        <is>
          <t>Solo visit — early archive period, first Kyūkei filter audit</t>
        </is>
      </c>
      <c r="V5" s="10" t="inlineStr">
        <is>
          <t>Direct observation + infographic + Google review (10 Feb 2026)</t>
        </is>
      </c>
      <c r="W5" s="114" t="inlineStr"/>
    </row>
    <row r="6" ht="70" customHeight="1">
      <c r="A6" s="2" t="inlineStr">
        <is>
          <t>2026-03-01</t>
        </is>
      </c>
      <c r="B6" s="3" t="inlineStr">
        <is>
          <t>Mumbai</t>
        </is>
      </c>
      <c r="C6" s="4" t="inlineStr">
        <is>
          <t>Subko Coffee Roasters</t>
        </is>
      </c>
      <c r="D6" s="3" t="inlineStr">
        <is>
          <t>Project Pearl Ratnagiri</t>
        </is>
      </c>
      <c r="E6" s="3" t="inlineStr">
        <is>
          <t>Ratnagiri Estate</t>
        </is>
      </c>
      <c r="F6" s="3" t="inlineStr">
        <is>
          <t>India</t>
        </is>
      </c>
      <c r="G6" s="5" t="inlineStr">
        <is>
          <t>Unknown</t>
        </is>
      </c>
      <c r="H6" s="6" t="inlineStr">
        <is>
          <t>Anaerobic Natural</t>
        </is>
      </c>
      <c r="I6" s="3" t="inlineStr">
        <is>
          <t>Light (Agtron 89)</t>
        </is>
      </c>
      <c r="J6" s="3" t="inlineStr">
        <is>
          <t>Filter</t>
        </is>
      </c>
      <c r="K6" s="3" t="inlineStr">
        <is>
          <t>Unknown</t>
        </is>
      </c>
      <c r="L6" s="3" t="inlineStr">
        <is>
          <t>Unknown</t>
        </is>
      </c>
      <c r="M6" s="3" t="inlineStr">
        <is>
          <t>Unknown</t>
        </is>
      </c>
      <c r="N6" s="3" t="inlineStr">
        <is>
          <t>Unknown</t>
        </is>
      </c>
      <c r="O6" s="3" t="inlineStr">
        <is>
          <t>Unknown</t>
        </is>
      </c>
      <c r="P6" s="3" t="inlineStr">
        <is>
          <t>Unknown</t>
        </is>
      </c>
      <c r="Q6" s="7" t="inlineStr">
        <is>
          <t>Unknown</t>
        </is>
      </c>
      <c r="R6" s="3" t="inlineStr">
        <is>
          <t>Unknown</t>
        </is>
      </c>
      <c r="S6" s="8" t="inlineStr">
        <is>
          <t>Clean and balanced; interesting but restrained anaerobic expression.</t>
        </is>
      </c>
      <c r="T6" s="3" t="inlineStr">
        <is>
          <t>Very light roast (Agtron 89) suppressed ester development despite anaerobic process; muted expected fermented intensity.</t>
        </is>
      </c>
      <c r="U6" s="3" t="inlineStr">
        <is>
          <t>Mumbai café exploration</t>
        </is>
      </c>
      <c r="V6" s="3" t="inlineStr">
        <is>
          <t>Merged (Gemini + ChatGPT)</t>
        </is>
      </c>
      <c r="W6" s="114" t="inlineStr"/>
    </row>
    <row r="7" ht="70" customHeight="1">
      <c r="A7" s="9" t="inlineStr">
        <is>
          <t>2026-03-08</t>
        </is>
      </c>
      <c r="B7" s="10" t="inlineStr">
        <is>
          <t>Mumbai</t>
        </is>
      </c>
      <c r="C7" s="11" t="inlineStr">
        <is>
          <t>Grey Soul Coffee Roasters</t>
        </is>
      </c>
      <c r="D7" s="10" t="inlineStr">
        <is>
          <t>Raspberry in Loop - Zoya Estate</t>
        </is>
      </c>
      <c r="E7" s="10" t="inlineStr">
        <is>
          <t>Zoya Estate</t>
        </is>
      </c>
      <c r="F7" s="10" t="inlineStr">
        <is>
          <t>India</t>
        </is>
      </c>
      <c r="G7" s="12" t="inlineStr">
        <is>
          <t>Unknown</t>
        </is>
      </c>
      <c r="H7" s="17" t="inlineStr">
        <is>
          <t>Multi-stage Anaerobic</t>
        </is>
      </c>
      <c r="I7" s="10" t="inlineStr">
        <is>
          <t>Medium</t>
        </is>
      </c>
      <c r="J7" s="10" t="inlineStr">
        <is>
          <t>Filter</t>
        </is>
      </c>
      <c r="K7" s="10" t="inlineStr">
        <is>
          <t>Unknown</t>
        </is>
      </c>
      <c r="L7" s="10" t="inlineStr">
        <is>
          <t>Unknown</t>
        </is>
      </c>
      <c r="M7" s="10" t="inlineStr">
        <is>
          <t>Unknown</t>
        </is>
      </c>
      <c r="N7" s="10" t="inlineStr">
        <is>
          <t>Unknown</t>
        </is>
      </c>
      <c r="O7" s="10" t="inlineStr">
        <is>
          <t>Unknown</t>
        </is>
      </c>
      <c r="P7" s="10" t="inlineStr">
        <is>
          <t>Unknown</t>
        </is>
      </c>
      <c r="Q7" s="14" t="inlineStr">
        <is>
          <t>Unknown</t>
        </is>
      </c>
      <c r="R7" s="10" t="inlineStr">
        <is>
          <t>Chocolate</t>
        </is>
      </c>
      <c r="S7" s="15" t="inlineStr">
        <is>
          <t>Heavy body; over-smoothed expression muted brightness and terroir.</t>
        </is>
      </c>
      <c r="T7" s="10" t="inlineStr">
        <is>
          <t>Higher development in medium roast reduced aggressive fruit acidity; heavy multi-stage fermentation suppressed terroir expression.</t>
        </is>
      </c>
      <c r="U7" s="10" t="inlineStr">
        <is>
          <t>Mumbai café exploration</t>
        </is>
      </c>
      <c r="V7" s="10" t="inlineStr">
        <is>
          <t>Merged (Gemini + ChatGPT)</t>
        </is>
      </c>
      <c r="W7" s="114" t="inlineStr"/>
    </row>
    <row r="8" ht="70" customHeight="1">
      <c r="A8" s="2" t="inlineStr">
        <is>
          <t>2026-03-18</t>
        </is>
      </c>
      <c r="B8" s="3" t="inlineStr">
        <is>
          <t>Singapore</t>
        </is>
      </c>
      <c r="C8" s="4" t="inlineStr">
        <is>
          <t>Narrative Coffee Stand</t>
        </is>
      </c>
      <c r="D8" s="3" t="inlineStr">
        <is>
          <t>Finca La Siberia</t>
        </is>
      </c>
      <c r="E8" s="3" t="inlineStr">
        <is>
          <t>Unknown</t>
        </is>
      </c>
      <c r="F8" s="3" t="inlineStr">
        <is>
          <t>El Salvador</t>
        </is>
      </c>
      <c r="G8" s="5" t="inlineStr">
        <is>
          <t>Pacamara</t>
        </is>
      </c>
      <c r="H8" s="6" t="inlineStr">
        <is>
          <t>Natural</t>
        </is>
      </c>
      <c r="I8" s="3" t="inlineStr">
        <is>
          <t>Light</t>
        </is>
      </c>
      <c r="J8" s="3" t="inlineStr">
        <is>
          <t>Pour-over</t>
        </is>
      </c>
      <c r="K8" s="3" t="inlineStr">
        <is>
          <t>Unknown</t>
        </is>
      </c>
      <c r="L8" s="3" t="inlineStr">
        <is>
          <t>Unknown</t>
        </is>
      </c>
      <c r="M8" s="3" t="inlineStr">
        <is>
          <t>Unknown</t>
        </is>
      </c>
      <c r="N8" s="3" t="inlineStr">
        <is>
          <t>Unknown</t>
        </is>
      </c>
      <c r="O8" s="3" t="inlineStr">
        <is>
          <t>Unknown</t>
        </is>
      </c>
      <c r="P8" s="3" t="inlineStr">
        <is>
          <t>Unknown</t>
        </is>
      </c>
      <c r="Q8" s="7" t="inlineStr">
        <is>
          <t>Unknown</t>
        </is>
      </c>
      <c r="R8" s="3" t="inlineStr">
        <is>
          <t>Unknown</t>
        </is>
      </c>
      <c r="S8" s="8" t="inlineStr">
        <is>
          <t>Stewed apples; Apricot; Pu'er tea — Aanya's first specialty filter experience.</t>
        </is>
      </c>
      <c r="T8" s="3" t="inlineStr">
        <is>
          <t>Natural Pacamara generated beginner-friendly fruit esters and approachable sweetness; large Pacamara bean size aided even extraction.</t>
        </is>
      </c>
      <c r="U8" s="3" t="inlineStr">
        <is>
          <t>Father-daughter coffee exploration</t>
        </is>
      </c>
      <c r="V8" s="3" t="inlineStr">
        <is>
          <t>ChatGPT only</t>
        </is>
      </c>
      <c r="W8" s="114" t="inlineStr"/>
    </row>
    <row r="9" ht="70" customHeight="1">
      <c r="A9" s="9" t="inlineStr">
        <is>
          <t>2026-03-18</t>
        </is>
      </c>
      <c r="B9" s="10" t="inlineStr">
        <is>
          <t>Singapore</t>
        </is>
      </c>
      <c r="C9" s="11" t="inlineStr">
        <is>
          <t>Narrative Coffee Stand</t>
        </is>
      </c>
      <c r="D9" s="10" t="inlineStr">
        <is>
          <t>El Puente</t>
        </is>
      </c>
      <c r="E9" s="10" t="inlineStr">
        <is>
          <t>Unknown</t>
        </is>
      </c>
      <c r="F9" s="10" t="inlineStr">
        <is>
          <t>Honduras</t>
        </is>
      </c>
      <c r="G9" s="12" t="inlineStr">
        <is>
          <t>Catuai</t>
        </is>
      </c>
      <c r="H9" s="16" t="inlineStr">
        <is>
          <t>Washed</t>
        </is>
      </c>
      <c r="I9" s="10" t="inlineStr">
        <is>
          <t>Medium-Light</t>
        </is>
      </c>
      <c r="J9" s="10" t="inlineStr">
        <is>
          <t>Espresso</t>
        </is>
      </c>
      <c r="K9" s="10" t="inlineStr">
        <is>
          <t>Unknown</t>
        </is>
      </c>
      <c r="L9" s="10" t="inlineStr">
        <is>
          <t>Unknown</t>
        </is>
      </c>
      <c r="M9" s="10" t="inlineStr">
        <is>
          <t>Unknown</t>
        </is>
      </c>
      <c r="N9" s="10" t="inlineStr">
        <is>
          <t>Unknown</t>
        </is>
      </c>
      <c r="O9" s="10" t="inlineStr">
        <is>
          <t>Unknown</t>
        </is>
      </c>
      <c r="P9" s="10" t="inlineStr">
        <is>
          <t>Unknown</t>
        </is>
      </c>
      <c r="Q9" s="14" t="inlineStr">
        <is>
          <t>Unknown</t>
        </is>
      </c>
      <c r="R9" s="10" t="inlineStr">
        <is>
          <t>Unknown</t>
        </is>
      </c>
      <c r="S9" s="15" t="inlineStr">
        <is>
          <t>Black cherry; Apricot; Pecan — ordered for espresso contrast.</t>
        </is>
      </c>
      <c r="T9" s="10" t="inlineStr">
        <is>
          <t>Washed Central American espresso balanced nutty sweetness and fruit acidity; Catuai's consistent cell structure aided uniform extraction.</t>
        </is>
      </c>
      <c r="U9" s="10" t="inlineStr">
        <is>
          <t>Father-daughter coffee exploration</t>
        </is>
      </c>
      <c r="V9" s="10" t="inlineStr">
        <is>
          <t>ChatGPT only</t>
        </is>
      </c>
      <c r="W9" s="114" t="inlineStr"/>
    </row>
    <row r="10" ht="70" customHeight="1">
      <c r="A10" s="2" t="inlineStr">
        <is>
          <t>2026-03-18</t>
        </is>
      </c>
      <c r="B10" s="3" t="inlineStr">
        <is>
          <t>Singapore</t>
        </is>
      </c>
      <c r="C10" s="4" t="inlineStr">
        <is>
          <t>ASK Coffee Roastery</t>
        </is>
      </c>
      <c r="D10" s="3" t="inlineStr">
        <is>
          <t>Honduras Masaguara (S13)</t>
        </is>
      </c>
      <c r="E10" s="3" t="inlineStr">
        <is>
          <t>Unknown</t>
        </is>
      </c>
      <c r="F10" s="3" t="inlineStr">
        <is>
          <t>Honduras</t>
        </is>
      </c>
      <c r="G10" s="5" t="inlineStr">
        <is>
          <t>Catuai / Caturra</t>
        </is>
      </c>
      <c r="H10" s="16" t="inlineStr">
        <is>
          <t>Washed Co-Ferment</t>
        </is>
      </c>
      <c r="I10" s="3" t="inlineStr">
        <is>
          <t>Light</t>
        </is>
      </c>
      <c r="J10" s="3" t="inlineStr">
        <is>
          <t>Pour-over</t>
        </is>
      </c>
      <c r="K10" s="3" t="inlineStr">
        <is>
          <t>Unknown</t>
        </is>
      </c>
      <c r="L10" s="3" t="inlineStr">
        <is>
          <t>Unknown</t>
        </is>
      </c>
      <c r="M10" s="3" t="inlineStr">
        <is>
          <t>Unknown</t>
        </is>
      </c>
      <c r="N10" s="3" t="inlineStr">
        <is>
          <t>Unknown</t>
        </is>
      </c>
      <c r="O10" s="3" t="inlineStr">
        <is>
          <t>Unknown</t>
        </is>
      </c>
      <c r="P10" s="3" t="inlineStr">
        <is>
          <t>Unknown</t>
        </is>
      </c>
      <c r="Q10" s="7" t="inlineStr">
        <is>
          <t>15</t>
        </is>
      </c>
      <c r="R10" s="3" t="inlineStr">
        <is>
          <t>Lychee; Brandy; Honeydew; Milk Chocolate</t>
        </is>
      </c>
      <c r="S10" s="8" t="inlineStr">
        <is>
          <t>Premium but memorable; highly complex tropical profile.</t>
        </is>
      </c>
      <c r="T10" s="3" t="inlineStr">
        <is>
          <t>Co-fermentation amplified tropical ester complexity; co-ferment substrates introduced lychee lactones and brandy-like ethyl esters.</t>
        </is>
      </c>
      <c r="U10" s="3" t="inlineStr">
        <is>
          <t>Father-daughter coffee exploration</t>
        </is>
      </c>
      <c r="V10" s="3" t="inlineStr">
        <is>
          <t>ChatGPT only</t>
        </is>
      </c>
      <c r="W10" s="114" t="inlineStr"/>
    </row>
    <row r="11" ht="70" customHeight="1">
      <c r="A11" s="9" t="inlineStr">
        <is>
          <t>2026-03-18</t>
        </is>
      </c>
      <c r="B11" s="10" t="inlineStr">
        <is>
          <t>Singapore</t>
        </is>
      </c>
      <c r="C11" s="11" t="inlineStr">
        <is>
          <t>ASK Coffee Roastery</t>
        </is>
      </c>
      <c r="D11" s="10" t="inlineStr">
        <is>
          <t>House Blend</t>
        </is>
      </c>
      <c r="E11" s="10" t="inlineStr">
        <is>
          <t>Unknown</t>
        </is>
      </c>
      <c r="F11" s="10" t="inlineStr">
        <is>
          <t>Unknown</t>
        </is>
      </c>
      <c r="G11" s="12" t="inlineStr">
        <is>
          <t>Unknown</t>
        </is>
      </c>
      <c r="H11" s="13" t="inlineStr">
        <is>
          <t>Unknown</t>
        </is>
      </c>
      <c r="I11" s="10" t="inlineStr">
        <is>
          <t>Unknown</t>
        </is>
      </c>
      <c r="J11" s="10" t="inlineStr">
        <is>
          <t>Magic (Ristretto Milk)</t>
        </is>
      </c>
      <c r="K11" s="10" t="inlineStr">
        <is>
          <t>Unknown</t>
        </is>
      </c>
      <c r="L11" s="10" t="inlineStr">
        <is>
          <t>Unknown</t>
        </is>
      </c>
      <c r="M11" s="10" t="inlineStr">
        <is>
          <t>Unknown</t>
        </is>
      </c>
      <c r="N11" s="10" t="inlineStr">
        <is>
          <t>Unknown</t>
        </is>
      </c>
      <c r="O11" s="10" t="inlineStr">
        <is>
          <t>Unknown</t>
        </is>
      </c>
      <c r="P11" s="10" t="inlineStr">
        <is>
          <t>Unknown</t>
        </is>
      </c>
      <c r="Q11" s="14" t="inlineStr">
        <is>
          <t>Unknown</t>
        </is>
      </c>
      <c r="R11" s="10" t="inlineStr">
        <is>
          <t>Unknown</t>
        </is>
      </c>
      <c r="S11" s="15" t="inlineStr">
        <is>
          <t>Contrast milk calibration; excellent concentrated cocoa expression.</t>
        </is>
      </c>
      <c r="T11" s="10" t="inlineStr">
        <is>
          <t>Ristretto milk extraction increased sweetness density and concentrated cocoa compounds through reduced water content.</t>
        </is>
      </c>
      <c r="U11" s="10" t="inlineStr">
        <is>
          <t>Father-daughter coffee exploration</t>
        </is>
      </c>
      <c r="V11" s="10" t="inlineStr">
        <is>
          <t>ChatGPT only</t>
        </is>
      </c>
      <c r="W11" s="114" t="inlineStr"/>
    </row>
    <row r="12" ht="70" customHeight="1">
      <c r="A12" s="2" t="inlineStr">
        <is>
          <t>2026-03-22</t>
        </is>
      </c>
      <c r="B12" s="3" t="inlineStr">
        <is>
          <t>Singapore</t>
        </is>
      </c>
      <c r="C12" s="4" t="inlineStr">
        <is>
          <t>Apartment (Selegie Rd)</t>
        </is>
      </c>
      <c r="D12" s="3" t="inlineStr">
        <is>
          <t>Colombia Don Gallego - Wush Wush</t>
        </is>
      </c>
      <c r="E12" s="3" t="inlineStr">
        <is>
          <t>Don Gallego</t>
        </is>
      </c>
      <c r="F12" s="3" t="inlineStr">
        <is>
          <t>Colombia</t>
        </is>
      </c>
      <c r="G12" s="5" t="inlineStr">
        <is>
          <t>Wush Wush</t>
        </is>
      </c>
      <c r="H12" s="16" t="inlineStr">
        <is>
          <t>Washed</t>
        </is>
      </c>
      <c r="I12" s="3" t="inlineStr">
        <is>
          <t>Light</t>
        </is>
      </c>
      <c r="J12" s="3" t="inlineStr">
        <is>
          <t>Pour-over (Flat-Bottom)</t>
        </is>
      </c>
      <c r="K12" s="3" t="inlineStr">
        <is>
          <t>Unknown</t>
        </is>
      </c>
      <c r="L12" s="3" t="inlineStr">
        <is>
          <t>Unknown</t>
        </is>
      </c>
      <c r="M12" s="3" t="inlineStr">
        <is>
          <t>1:17</t>
        </is>
      </c>
      <c r="N12" s="3" t="inlineStr">
        <is>
          <t>Unknown</t>
        </is>
      </c>
      <c r="O12" s="3" t="inlineStr">
        <is>
          <t>Unknown</t>
        </is>
      </c>
      <c r="P12" s="3" t="inlineStr">
        <is>
          <t>Unknown</t>
        </is>
      </c>
      <c r="Q12" s="7" t="inlineStr">
        <is>
          <t>Unknown</t>
        </is>
      </c>
      <c r="R12" s="3" t="inlineStr">
        <is>
          <t>Tea-like</t>
        </is>
      </c>
      <c r="S12" s="8" t="inlineStr">
        <is>
          <t>Incredible tea-like clarity; transparent floral expression.</t>
        </is>
      </c>
      <c r="T12" s="3" t="inlineStr">
        <is>
          <t>Lean 1:17 ratio maximized aromatic separation; Wush Wush's Ethiopian-lineage genetics produced delicate phenolic and floral complexity.</t>
        </is>
      </c>
      <c r="U12" s="3" t="inlineStr">
        <is>
          <t>Solo specialty calibration</t>
        </is>
      </c>
      <c r="V12" s="3" t="inlineStr">
        <is>
          <t>Merged (Gemini + ChatGPT)</t>
        </is>
      </c>
      <c r="W12" s="114" t="inlineStr"/>
    </row>
    <row r="13" ht="70" customHeight="1">
      <c r="A13" s="9" t="inlineStr">
        <is>
          <t>2026-03-24</t>
        </is>
      </c>
      <c r="B13" s="10" t="inlineStr">
        <is>
          <t>Singapore</t>
        </is>
      </c>
      <c r="C13" s="11" t="inlineStr">
        <is>
          <t>Kyuukei Coffee</t>
        </is>
      </c>
      <c r="D13" s="10" t="inlineStr">
        <is>
          <t>Kenya Ndiaini AA</t>
        </is>
      </c>
      <c r="E13" s="10" t="inlineStr">
        <is>
          <t>Unknown</t>
        </is>
      </c>
      <c r="F13" s="10" t="inlineStr">
        <is>
          <t>Kenya</t>
        </is>
      </c>
      <c r="G13" s="12" t="inlineStr">
        <is>
          <t>SL28 / SL34 / Ruiru 11</t>
        </is>
      </c>
      <c r="H13" s="16" t="inlineStr">
        <is>
          <t>Washed</t>
        </is>
      </c>
      <c r="I13" s="10" t="inlineStr">
        <is>
          <t>Unknown</t>
        </is>
      </c>
      <c r="J13" s="10" t="inlineStr">
        <is>
          <t>Pour-over</t>
        </is>
      </c>
      <c r="K13" s="10" t="inlineStr">
        <is>
          <t>Unknown</t>
        </is>
      </c>
      <c r="L13" s="10" t="inlineStr">
        <is>
          <t>Unknown</t>
        </is>
      </c>
      <c r="M13" s="10" t="inlineStr">
        <is>
          <t>Unknown</t>
        </is>
      </c>
      <c r="N13" s="10" t="inlineStr">
        <is>
          <t>Unknown</t>
        </is>
      </c>
      <c r="O13" s="10" t="inlineStr">
        <is>
          <t>Unknown</t>
        </is>
      </c>
      <c r="P13" s="10" t="inlineStr">
        <is>
          <t>Unknown</t>
        </is>
      </c>
      <c r="Q13" s="14" t="inlineStr">
        <is>
          <t>9</t>
        </is>
      </c>
      <c r="R13" s="10" t="inlineStr">
        <is>
          <t>Redcurrant; Elderflower; Lemon; Apricot</t>
        </is>
      </c>
      <c r="S13" s="15" t="inlineStr">
        <is>
          <t>Acidic and interesting; well balanced; high clarity.</t>
        </is>
      </c>
      <c r="T13" s="10" t="inlineStr">
        <is>
          <t>Ruiru 11 introduced structural body alongside classic SL28/SL34 brightness; further Kenyan terroir depth confirmed.</t>
        </is>
      </c>
      <c r="U13" s="10" t="inlineStr">
        <is>
          <t>Solo specialty calibration</t>
        </is>
      </c>
      <c r="V13" s="10" t="inlineStr">
        <is>
          <t>Merged (Gemini + ChatGPT)</t>
        </is>
      </c>
      <c r="W13" s="114" t="inlineStr"/>
    </row>
    <row r="14" ht="70" customHeight="1">
      <c r="A14" s="2" t="inlineStr">
        <is>
          <t>2026-03-25</t>
        </is>
      </c>
      <c r="B14" s="3" t="inlineStr">
        <is>
          <t>Singapore</t>
        </is>
      </c>
      <c r="C14" s="4" t="inlineStr">
        <is>
          <t>Agora Coffee</t>
        </is>
      </c>
      <c r="D14" s="3" t="inlineStr">
        <is>
          <t>Nicaragua Matagalpa - Finca La Virgen</t>
        </is>
      </c>
      <c r="E14" s="3" t="inlineStr">
        <is>
          <t>Finca La Virgen</t>
        </is>
      </c>
      <c r="F14" s="3" t="inlineStr">
        <is>
          <t>Nicaragua</t>
        </is>
      </c>
      <c r="G14" s="5" t="inlineStr">
        <is>
          <t>Unknown</t>
        </is>
      </c>
      <c r="H14" s="16" t="inlineStr">
        <is>
          <t>Fully Washed</t>
        </is>
      </c>
      <c r="I14" s="3" t="inlineStr">
        <is>
          <t>Espresso Roast</t>
        </is>
      </c>
      <c r="J14" s="3" t="inlineStr">
        <is>
          <t>Flat White</t>
        </is>
      </c>
      <c r="K14" s="3" t="inlineStr">
        <is>
          <t>Unknown</t>
        </is>
      </c>
      <c r="L14" s="3" t="inlineStr">
        <is>
          <t>Unknown</t>
        </is>
      </c>
      <c r="M14" s="3" t="inlineStr">
        <is>
          <t>Unknown</t>
        </is>
      </c>
      <c r="N14" s="3" t="inlineStr">
        <is>
          <t>Unknown</t>
        </is>
      </c>
      <c r="O14" s="3" t="inlineStr">
        <is>
          <t>Unknown</t>
        </is>
      </c>
      <c r="P14" s="3" t="inlineStr">
        <is>
          <t>Unknown</t>
        </is>
      </c>
      <c r="Q14" s="7" t="inlineStr">
        <is>
          <t>Unknown</t>
        </is>
      </c>
      <c r="R14" s="3" t="inlineStr">
        <is>
          <t>Caramel; Chocolate; Red Apple</t>
        </is>
      </c>
      <c r="S14" s="8" t="inlineStr">
        <is>
          <t>Solid milk beverage; clean apple acidity preserved in milk integration.</t>
        </is>
      </c>
      <c r="T14" s="3" t="inlineStr">
        <is>
          <t>Fully washed Central American profile preserved clean malic acidity in milk; espresso roast development amplified caramel Maillard notes.</t>
        </is>
      </c>
      <c r="U14" s="3" t="inlineStr">
        <is>
          <t>Solo specialty calibration</t>
        </is>
      </c>
      <c r="V14" s="3" t="inlineStr">
        <is>
          <t>Merged (Gemini + ChatGPT)</t>
        </is>
      </c>
      <c r="W14" s="114" t="inlineStr"/>
    </row>
    <row r="15" ht="70" customHeight="1">
      <c r="A15" s="9" t="inlineStr">
        <is>
          <t>2026-03-27</t>
        </is>
      </c>
      <c r="B15" s="10" t="inlineStr">
        <is>
          <t>Singapore</t>
        </is>
      </c>
      <c r="C15" s="11" t="inlineStr">
        <is>
          <t>Agora Coffee</t>
        </is>
      </c>
      <c r="D15" s="10" t="inlineStr">
        <is>
          <t>Ethiopia Yirgacheffe Beloya</t>
        </is>
      </c>
      <c r="E15" s="10" t="inlineStr">
        <is>
          <t>Beloya</t>
        </is>
      </c>
      <c r="F15" s="10" t="inlineStr">
        <is>
          <t>Yirgacheffe, Ethiopia</t>
        </is>
      </c>
      <c r="G15" s="12" t="inlineStr">
        <is>
          <t>Heirloom</t>
        </is>
      </c>
      <c r="H15" s="6" t="inlineStr">
        <is>
          <t>Natural</t>
        </is>
      </c>
      <c r="I15" s="10" t="inlineStr">
        <is>
          <t>Filter Roast</t>
        </is>
      </c>
      <c r="J15" s="10" t="inlineStr">
        <is>
          <t>V60</t>
        </is>
      </c>
      <c r="K15" s="10" t="inlineStr">
        <is>
          <t>15</t>
        </is>
      </c>
      <c r="L15" s="10" t="inlineStr">
        <is>
          <t>220</t>
        </is>
      </c>
      <c r="M15" s="10" t="inlineStr">
        <is>
          <t>1:14.6</t>
        </is>
      </c>
      <c r="N15" s="10" t="inlineStr">
        <is>
          <t>Unknown</t>
        </is>
      </c>
      <c r="O15" s="10" t="inlineStr">
        <is>
          <t>Unknown</t>
        </is>
      </c>
      <c r="P15" s="10" t="inlineStr">
        <is>
          <t>Mahlkönig EK43</t>
        </is>
      </c>
      <c r="Q15" s="14" t="inlineStr">
        <is>
          <t>Unknown</t>
        </is>
      </c>
      <c r="R15" s="10" t="inlineStr">
        <is>
          <t>Blackcurrant; Strawberry; White Floral</t>
        </is>
      </c>
      <c r="S15" s="15" t="inlineStr">
        <is>
          <t>Bright, floral, and distinct strawberry; classic natural Ethiopian profile.</t>
        </is>
      </c>
      <c r="T15" s="10" t="inlineStr">
        <is>
          <t>EK43 98mm flat burrs reduced fines and preserved clarity despite natural processing; 1:14.6 ratio retained fruity body.</t>
        </is>
      </c>
      <c r="U15" s="10" t="inlineStr">
        <is>
          <t>Solo specialty calibration</t>
        </is>
      </c>
      <c r="V15" s="10" t="inlineStr">
        <is>
          <t>Merged (Gemini + ChatGPT)</t>
        </is>
      </c>
      <c r="W15" s="114" t="inlineStr"/>
    </row>
    <row r="16" ht="70" customHeight="1">
      <c r="A16" s="2" t="inlineStr">
        <is>
          <t>2026-03-28</t>
        </is>
      </c>
      <c r="B16" s="3" t="inlineStr">
        <is>
          <t>Singapore</t>
        </is>
      </c>
      <c r="C16" s="4" t="inlineStr">
        <is>
          <t>Tiong Hoe Specialty Coffee</t>
        </is>
      </c>
      <c r="D16" s="3" t="inlineStr">
        <is>
          <t>Brazil Mogiana</t>
        </is>
      </c>
      <c r="E16" s="3" t="inlineStr">
        <is>
          <t>Unknown</t>
        </is>
      </c>
      <c r="F16" s="3" t="inlineStr">
        <is>
          <t>Mogiana, Brazil</t>
        </is>
      </c>
      <c r="G16" s="5" t="inlineStr">
        <is>
          <t>Unknown</t>
        </is>
      </c>
      <c r="H16" s="6" t="inlineStr">
        <is>
          <t>Natural</t>
        </is>
      </c>
      <c r="I16" s="3" t="inlineStr">
        <is>
          <t>Medium</t>
        </is>
      </c>
      <c r="J16" s="3" t="inlineStr">
        <is>
          <t>Pour-over</t>
        </is>
      </c>
      <c r="K16" s="3" t="inlineStr">
        <is>
          <t>15</t>
        </is>
      </c>
      <c r="L16" s="3" t="inlineStr">
        <is>
          <t>225</t>
        </is>
      </c>
      <c r="M16" s="3" t="inlineStr">
        <is>
          <t>1:15</t>
        </is>
      </c>
      <c r="N16" s="3" t="inlineStr">
        <is>
          <t>Unknown</t>
        </is>
      </c>
      <c r="O16" s="3" t="inlineStr">
        <is>
          <t>Unknown</t>
        </is>
      </c>
      <c r="P16" s="3" t="inlineStr">
        <is>
          <t>Unknown</t>
        </is>
      </c>
      <c r="Q16" s="7" t="inlineStr">
        <is>
          <t>8</t>
        </is>
      </c>
      <c r="R16" s="3" t="inlineStr">
        <is>
          <t>Red Dates; Chocolates; Honey</t>
        </is>
      </c>
      <c r="S16" s="8" t="inlineStr">
        <is>
          <t>Chocolate-heavy and satisfying; classic dense Brazilian profile.</t>
        </is>
      </c>
      <c r="T16" s="3" t="inlineStr">
        <is>
          <t>Tighter 1:15 ratio increased body and amplified Maillard-derived caramel sweetness; medium roast caramelized sugars without losing origin character.</t>
        </is>
      </c>
      <c r="U16" s="3" t="inlineStr">
        <is>
          <t>Solo specialty calibration</t>
        </is>
      </c>
      <c r="V16" s="3" t="inlineStr">
        <is>
          <t>Merged (Gemini + ChatGPT)</t>
        </is>
      </c>
      <c r="W16" s="114" t="inlineStr"/>
    </row>
    <row r="17" ht="70" customHeight="1">
      <c r="A17" s="9" t="inlineStr">
        <is>
          <t>2026-03-28</t>
        </is>
      </c>
      <c r="B17" s="10" t="inlineStr">
        <is>
          <t>Singapore</t>
        </is>
      </c>
      <c r="C17" s="11" t="inlineStr">
        <is>
          <t>Tiong Hoe Specialty Coffee</t>
        </is>
      </c>
      <c r="D17" s="10" t="inlineStr">
        <is>
          <t>Smoky Quartz Blend</t>
        </is>
      </c>
      <c r="E17" s="10" t="inlineStr">
        <is>
          <t>Unknown</t>
        </is>
      </c>
      <c r="F17" s="10" t="inlineStr">
        <is>
          <t>Brazil + India</t>
        </is>
      </c>
      <c r="G17" s="12" t="inlineStr">
        <is>
          <t>Unknown</t>
        </is>
      </c>
      <c r="H17" s="13" t="inlineStr">
        <is>
          <t>Unknown</t>
        </is>
      </c>
      <c r="I17" s="10" t="inlineStr">
        <is>
          <t>Unknown</t>
        </is>
      </c>
      <c r="J17" s="10" t="inlineStr">
        <is>
          <t>Piccolo Latte</t>
        </is>
      </c>
      <c r="K17" s="10" t="inlineStr">
        <is>
          <t>Unknown</t>
        </is>
      </c>
      <c r="L17" s="10" t="inlineStr">
        <is>
          <t>Unknown</t>
        </is>
      </c>
      <c r="M17" s="10" t="inlineStr">
        <is>
          <t>Unknown</t>
        </is>
      </c>
      <c r="N17" s="10" t="inlineStr">
        <is>
          <t>Unknown</t>
        </is>
      </c>
      <c r="O17" s="10" t="inlineStr">
        <is>
          <t>Unknown</t>
        </is>
      </c>
      <c r="P17" s="10" t="inlineStr">
        <is>
          <t>Unknown</t>
        </is>
      </c>
      <c r="Q17" s="14" t="inlineStr">
        <is>
          <t>5.1</t>
        </is>
      </c>
      <c r="R17" s="10" t="inlineStr">
        <is>
          <t>Dark Chocolates; Hazelnut; Smoky</t>
        </is>
      </c>
      <c r="S17" s="15" t="inlineStr">
        <is>
          <t>Strong milk side calibration; excellent concentrated cocoa expression.</t>
        </is>
      </c>
      <c r="T17" s="10" t="inlineStr">
        <is>
          <t>Low milk volume in piccolo format concentrated cocoa and hazelnut compounds; cross-origin blend leveraged Indian robusta structural density.</t>
        </is>
      </c>
      <c r="U17" s="10" t="inlineStr">
        <is>
          <t>Solo specialty calibration</t>
        </is>
      </c>
      <c r="V17" s="10" t="inlineStr">
        <is>
          <t>ChatGPT only</t>
        </is>
      </c>
      <c r="W17" s="114" t="inlineStr"/>
    </row>
    <row r="18" ht="70" customHeight="1">
      <c r="A18" s="53" t="inlineStr">
        <is>
          <t>2026-03-29</t>
        </is>
      </c>
      <c r="B18" s="54" t="inlineStr">
        <is>
          <t>Singapore</t>
        </is>
      </c>
      <c r="C18" s="54" t="inlineStr">
        <is>
          <t>Asylum Coffeehouse</t>
        </is>
      </c>
      <c r="D18" s="54" t="inlineStr">
        <is>
          <t>Peru Cajamarca Gesha (Iced)</t>
        </is>
      </c>
      <c r="E18" s="54" t="inlineStr">
        <is>
          <t>Wilder Garcia</t>
        </is>
      </c>
      <c r="F18" s="54" t="inlineStr">
        <is>
          <t>Cajamarca, Peru</t>
        </is>
      </c>
      <c r="G18" s="54" t="inlineStr">
        <is>
          <t>Gesha</t>
        </is>
      </c>
      <c r="H18" s="55" t="inlineStr">
        <is>
          <t>Washed</t>
        </is>
      </c>
      <c r="I18" s="54" t="inlineStr">
        <is>
          <t>Medium</t>
        </is>
      </c>
      <c r="J18" s="54" t="inlineStr">
        <is>
          <t>Iced Pour-over</t>
        </is>
      </c>
      <c r="K18" s="54" t="inlineStr">
        <is>
          <t>15</t>
        </is>
      </c>
      <c r="L18" s="54" t="inlineStr">
        <is>
          <t>240</t>
        </is>
      </c>
      <c r="M18" s="54" t="inlineStr">
        <is>
          <t>1:16</t>
        </is>
      </c>
      <c r="N18" s="54" t="inlineStr">
        <is>
          <t>92.5</t>
        </is>
      </c>
      <c r="O18" s="54" t="inlineStr">
        <is>
          <t>Unknown</t>
        </is>
      </c>
      <c r="P18" s="54" t="inlineStr">
        <is>
          <t>Option-O Lagom P64</t>
        </is>
      </c>
      <c r="Q18" s="53" t="inlineStr">
        <is>
          <t>11</t>
        </is>
      </c>
      <c r="R18" s="54" t="inlineStr">
        <is>
          <t>Jasmine; Caramel; Lime; Cacao Nibs</t>
        </is>
      </c>
      <c r="S18" s="54" t="inlineStr">
        <is>
          <t>Super floral and elegant; flash-chilled expression of Gesha purity.</t>
        </is>
      </c>
      <c r="T18" s="54" t="inlineStr">
        <is>
          <t>Flash-chilled extraction via Option-O Lagom P64 preserved volatile floral monoterpenes (linalool); cold dilution stabilized aromatic compounds.</t>
        </is>
      </c>
      <c r="U18" s="54" t="inlineStr">
        <is>
          <t>Solo specialty calibration</t>
        </is>
      </c>
      <c r="V18" s="54" t="inlineStr">
        <is>
          <t>ChatGPT only</t>
        </is>
      </c>
      <c r="W18" s="115" t="inlineStr">
        <is>
          <t>⭐ GESHA</t>
        </is>
      </c>
    </row>
    <row r="19" ht="70" customHeight="1">
      <c r="A19" s="9" t="inlineStr">
        <is>
          <t>2026-04-01</t>
        </is>
      </c>
      <c r="B19" s="10" t="inlineStr">
        <is>
          <t>Singapore</t>
        </is>
      </c>
      <c r="C19" s="11" t="inlineStr">
        <is>
          <t>Maxi Coffee Bar</t>
        </is>
      </c>
      <c r="D19" s="10" t="inlineStr">
        <is>
          <t>La Laja</t>
        </is>
      </c>
      <c r="E19" s="10" t="inlineStr">
        <is>
          <t>James Fernandez</t>
        </is>
      </c>
      <c r="F19" s="10" t="inlineStr">
        <is>
          <t>Cauca, Colombia</t>
        </is>
      </c>
      <c r="G19" s="12" t="inlineStr">
        <is>
          <t>Sudan Rume</t>
        </is>
      </c>
      <c r="H19" s="16" t="inlineStr">
        <is>
          <t>Washed</t>
        </is>
      </c>
      <c r="I19" s="10" t="inlineStr">
        <is>
          <t>Light</t>
        </is>
      </c>
      <c r="J19" s="10" t="inlineStr">
        <is>
          <t>Pour-over (Flat-Bottom)</t>
        </is>
      </c>
      <c r="K19" s="10" t="inlineStr">
        <is>
          <t>15</t>
        </is>
      </c>
      <c r="L19" s="10" t="inlineStr">
        <is>
          <t>230</t>
        </is>
      </c>
      <c r="M19" s="10" t="inlineStr">
        <is>
          <t>1:15.3</t>
        </is>
      </c>
      <c r="N19" s="10" t="inlineStr">
        <is>
          <t>90-92</t>
        </is>
      </c>
      <c r="O19" s="10" t="inlineStr">
        <is>
          <t>Unknown</t>
        </is>
      </c>
      <c r="P19" s="10" t="inlineStr">
        <is>
          <t>FM Grinder 120mm Flat Burr / Timemore Sculptor 078</t>
        </is>
      </c>
      <c r="Q19" s="14" t="inlineStr">
        <is>
          <t>9</t>
        </is>
      </c>
      <c r="R19" s="10" t="inlineStr">
        <is>
          <t>Raspberry; Nectarine; Floral</t>
        </is>
      </c>
      <c r="S19" s="15" t="inlineStr">
        <is>
          <t>Nectarine and raspberry extremely clear; barista sophistication superb; technical milestone.</t>
        </is>
      </c>
      <c r="T19" s="10" t="inlineStr">
        <is>
          <t>120mm flat burr geometry maximized uniform particle distribution; flat-bottom brewer enhanced sweetness while preserving Sudan Rume's rare genetic clarity.</t>
        </is>
      </c>
      <c r="U19" s="10" t="inlineStr">
        <is>
          <t>CBD lunch calibration</t>
        </is>
      </c>
      <c r="V19" s="10" t="inlineStr">
        <is>
          <t>Merged (Gemini + ChatGPT)</t>
        </is>
      </c>
      <c r="W19" s="114" t="inlineStr"/>
    </row>
    <row r="20" ht="70" customHeight="1">
      <c r="A20" s="53" t="inlineStr">
        <is>
          <t>2026-04-01</t>
        </is>
      </c>
      <c r="B20" s="54" t="inlineStr">
        <is>
          <t>Singapore</t>
        </is>
      </c>
      <c r="C20" s="54" t="inlineStr">
        <is>
          <t>Lume Café</t>
        </is>
      </c>
      <c r="D20" s="54" t="inlineStr">
        <is>
          <t>Corpachi Panama Geisha</t>
        </is>
      </c>
      <c r="E20" s="54" t="inlineStr">
        <is>
          <t>Corpachi</t>
        </is>
      </c>
      <c r="F20" s="54" t="inlineStr">
        <is>
          <t>Boquerón, Chiriquí, Panama</t>
        </is>
      </c>
      <c r="G20" s="54" t="inlineStr">
        <is>
          <t>Geisha</t>
        </is>
      </c>
      <c r="H20" s="55" t="inlineStr">
        <is>
          <t>Red Honey</t>
        </is>
      </c>
      <c r="I20" s="54" t="inlineStr">
        <is>
          <t>Filter Roast</t>
        </is>
      </c>
      <c r="J20" s="54" t="inlineStr">
        <is>
          <t>V60</t>
        </is>
      </c>
      <c r="K20" s="54" t="inlineStr">
        <is>
          <t>Unknown</t>
        </is>
      </c>
      <c r="L20" s="54" t="inlineStr">
        <is>
          <t>Unknown</t>
        </is>
      </c>
      <c r="M20" s="54" t="inlineStr">
        <is>
          <t>1:15</t>
        </is>
      </c>
      <c r="N20" s="54" t="inlineStr">
        <is>
          <t>90 + 70</t>
        </is>
      </c>
      <c r="O20" s="54" t="inlineStr">
        <is>
          <t>Unknown</t>
        </is>
      </c>
      <c r="P20" s="54" t="inlineStr">
        <is>
          <t>Mahlkönig EK43</t>
        </is>
      </c>
      <c r="Q20" s="53" t="inlineStr">
        <is>
          <t>12</t>
        </is>
      </c>
      <c r="R20" s="54" t="inlineStr">
        <is>
          <t>Mandarin Candy; Jasmine; Apricot</t>
        </is>
      </c>
      <c r="S20" s="54" t="inlineStr">
        <is>
          <t>Clearly perceived apricot and structured sweetness.</t>
        </is>
      </c>
      <c r="T20" s="54" t="inlineStr">
        <is>
          <t>Dual-temperature extraction balanced aromatics and body in honey-process Geisha; red honey partial mucilage retention amplified structured sweetness.</t>
        </is>
      </c>
      <c r="U20" s="54" t="inlineStr">
        <is>
          <t>Rainy CBD lunch calibration</t>
        </is>
      </c>
      <c r="V20" s="54" t="inlineStr">
        <is>
          <t>ChatGPT only</t>
        </is>
      </c>
      <c r="W20" s="115" t="inlineStr">
        <is>
          <t>⭐ GESHA</t>
        </is>
      </c>
    </row>
    <row r="21" ht="70" customHeight="1">
      <c r="A21" s="9" t="inlineStr">
        <is>
          <t>2026-04-05</t>
        </is>
      </c>
      <c r="B21" s="10" t="inlineStr">
        <is>
          <t>Singapore</t>
        </is>
      </c>
      <c r="C21" s="11" t="inlineStr">
        <is>
          <t>Asylum Coffeehouse</t>
        </is>
      </c>
      <c r="D21" s="10" t="inlineStr">
        <is>
          <t>Castillo Watermelon (Jairo Arcila)</t>
        </is>
      </c>
      <c r="E21" s="10" t="inlineStr">
        <is>
          <t>Jairo Arcila</t>
        </is>
      </c>
      <c r="F21" s="10" t="inlineStr">
        <is>
          <t>Armenia, Quindío, Colombia</t>
        </is>
      </c>
      <c r="G21" s="12" t="inlineStr">
        <is>
          <t>Castillo</t>
        </is>
      </c>
      <c r="H21" s="16" t="inlineStr">
        <is>
          <t>Washed Co-Ferment (Watermelon Anaerobic)</t>
        </is>
      </c>
      <c r="I21" s="10" t="inlineStr">
        <is>
          <t>Unknown</t>
        </is>
      </c>
      <c r="J21" s="10" t="inlineStr">
        <is>
          <t>Pour-over (V60)</t>
        </is>
      </c>
      <c r="K21" s="10" t="inlineStr">
        <is>
          <t>15</t>
        </is>
      </c>
      <c r="L21" s="10" t="inlineStr">
        <is>
          <t>225</t>
        </is>
      </c>
      <c r="M21" s="10" t="inlineStr">
        <is>
          <t>1:15</t>
        </is>
      </c>
      <c r="N21" s="10" t="inlineStr">
        <is>
          <t>90 + 70</t>
        </is>
      </c>
      <c r="O21" s="10" t="inlineStr">
        <is>
          <t>Unknown</t>
        </is>
      </c>
      <c r="P21" s="10" t="inlineStr">
        <is>
          <t>Mahlkönig EK43</t>
        </is>
      </c>
      <c r="Q21" s="14" t="inlineStr">
        <is>
          <t>12.5</t>
        </is>
      </c>
      <c r="R21" s="10" t="inlineStr">
        <is>
          <t>Watermelon; Mint; Lime; Chocolate</t>
        </is>
      </c>
      <c r="S21" s="15" t="inlineStr">
        <is>
          <t>Distinct fruit-forward expression; sweetness layered rather than sharp; experimental but controlled.</t>
        </is>
      </c>
      <c r="T21" s="10" t="inlineStr">
        <is>
          <t>Watermelon co-fermentation enhanced volatile ester complexity; dual-temperature extraction preserved layered aromatic architecture.</t>
        </is>
      </c>
      <c r="U21" s="10" t="inlineStr">
        <is>
          <t>Father-daughter coffee session</t>
        </is>
      </c>
      <c r="V21" s="10" t="inlineStr">
        <is>
          <t>Merged (Gemini + ChatGPT)</t>
        </is>
      </c>
      <c r="W21" s="114" t="inlineStr"/>
    </row>
    <row r="22" ht="70" customHeight="1">
      <c r="A22" s="53" t="inlineStr">
        <is>
          <t>2026-04-05</t>
        </is>
      </c>
      <c r="B22" s="54" t="inlineStr">
        <is>
          <t>Singapore</t>
        </is>
      </c>
      <c r="C22" s="54" t="inlineStr">
        <is>
          <t>Asylum Coffeehouse</t>
        </is>
      </c>
      <c r="D22" s="54" t="inlineStr">
        <is>
          <t>Peru Gesha (Wilder Garcia)</t>
        </is>
      </c>
      <c r="E22" s="54" t="inlineStr">
        <is>
          <t>Wilder Garcia</t>
        </is>
      </c>
      <c r="F22" s="54" t="inlineStr">
        <is>
          <t>Jaén, Peru</t>
        </is>
      </c>
      <c r="G22" s="54" t="inlineStr">
        <is>
          <t>Gesha</t>
        </is>
      </c>
      <c r="H22" s="55" t="inlineStr">
        <is>
          <t>Washed</t>
        </is>
      </c>
      <c r="I22" s="54" t="inlineStr">
        <is>
          <t>Filter Roast</t>
        </is>
      </c>
      <c r="J22" s="54" t="inlineStr">
        <is>
          <t>Pour-over (V60)</t>
        </is>
      </c>
      <c r="K22" s="54" t="inlineStr">
        <is>
          <t>15</t>
        </is>
      </c>
      <c r="L22" s="54" t="inlineStr">
        <is>
          <t>225</t>
        </is>
      </c>
      <c r="M22" s="54" t="inlineStr">
        <is>
          <t>1:15</t>
        </is>
      </c>
      <c r="N22" s="54" t="inlineStr">
        <is>
          <t>90 + 70</t>
        </is>
      </c>
      <c r="O22" s="54" t="inlineStr">
        <is>
          <t>Unknown</t>
        </is>
      </c>
      <c r="P22" s="54" t="inlineStr">
        <is>
          <t>Mahlkönig EK43</t>
        </is>
      </c>
      <c r="Q22" s="53" t="inlineStr">
        <is>
          <t>12.5</t>
        </is>
      </c>
      <c r="R22" s="54" t="inlineStr">
        <is>
          <t>Jasmine; Caramel; Lime; Cacao Nibs</t>
        </is>
      </c>
      <c r="S22" s="54" t="inlineStr">
        <is>
          <t>Clean, structured, high-clarity cup; apricot-like sweetness and excellent structure.</t>
        </is>
      </c>
      <c r="T22" s="54" t="inlineStr">
        <is>
          <t>Dual-temperature extraction engineered aromatic separation and body control; Gesha genetics delivered intrinsic phenolic complexity with minimal processing interference.</t>
        </is>
      </c>
      <c r="U22" s="54" t="inlineStr">
        <is>
          <t>Father-daughter coffee session</t>
        </is>
      </c>
      <c r="V22" s="54" t="inlineStr">
        <is>
          <t>Merged (Gemini + ChatGPT)</t>
        </is>
      </c>
      <c r="W22" s="115" t="inlineStr">
        <is>
          <t>⭐ GESHA</t>
        </is>
      </c>
    </row>
    <row r="23" ht="70" customHeight="1">
      <c r="A23" s="9" t="inlineStr">
        <is>
          <t>2026-04-08</t>
        </is>
      </c>
      <c r="B23" s="10" t="inlineStr">
        <is>
          <t>Singapore</t>
        </is>
      </c>
      <c r="C23" s="11" t="inlineStr">
        <is>
          <t>Maxi Coffee Bar</t>
        </is>
      </c>
      <c r="D23" s="10" t="inlineStr">
        <is>
          <t>La Villa #1</t>
        </is>
      </c>
      <c r="E23" s="10" t="inlineStr">
        <is>
          <t>Eduard Gaviria</t>
        </is>
      </c>
      <c r="F23" s="10" t="inlineStr">
        <is>
          <t>Huila, Colombia</t>
        </is>
      </c>
      <c r="G23" s="12" t="inlineStr">
        <is>
          <t>Papayo</t>
        </is>
      </c>
      <c r="H23" s="6" t="inlineStr">
        <is>
          <t>Natural</t>
        </is>
      </c>
      <c r="I23" s="10" t="inlineStr">
        <is>
          <t>Unknown</t>
        </is>
      </c>
      <c r="J23" s="10" t="inlineStr">
        <is>
          <t>Pour-over (Flat-Bottom)</t>
        </is>
      </c>
      <c r="K23" s="10" t="inlineStr">
        <is>
          <t>15</t>
        </is>
      </c>
      <c r="L23" s="10" t="inlineStr">
        <is>
          <t>225</t>
        </is>
      </c>
      <c r="M23" s="10" t="inlineStr">
        <is>
          <t>1:15</t>
        </is>
      </c>
      <c r="N23" s="10" t="inlineStr">
        <is>
          <t>Unknown</t>
        </is>
      </c>
      <c r="O23" s="10" t="inlineStr">
        <is>
          <t>Unknown</t>
        </is>
      </c>
      <c r="P23" s="10" t="inlineStr">
        <is>
          <t>Timemore Sculptor 078</t>
        </is>
      </c>
      <c r="Q23" s="14" t="inlineStr">
        <is>
          <t>9</t>
        </is>
      </c>
      <c r="R23" s="10" t="inlineStr">
        <is>
          <t>Stewed Forest Berries; Grape; Black Forest Cake</t>
        </is>
      </c>
      <c r="S23" s="15" t="inlineStr">
        <is>
          <t>Dense fruit profile with rounded sweetness.</t>
        </is>
      </c>
      <c r="T23" s="10" t="inlineStr">
        <is>
          <t>Flat-bottom geometry and tight 1:15 ratio emphasized body; Papayo varietal's high sugar content amplified by natural processing into rich fruit-cake profile.</t>
        </is>
      </c>
      <c r="U23" s="10" t="inlineStr">
        <is>
          <t>Lunch catch-up with Yichen</t>
        </is>
      </c>
      <c r="V23" s="10" t="inlineStr">
        <is>
          <t>ChatGPT only</t>
        </is>
      </c>
      <c r="W23" s="114" t="inlineStr"/>
    </row>
    <row r="24" ht="70" customHeight="1">
      <c r="A24" s="2" t="inlineStr">
        <is>
          <t>2026-04-18</t>
        </is>
      </c>
      <c r="B24" s="3" t="inlineStr">
        <is>
          <t>Johor Bahru</t>
        </is>
      </c>
      <c r="C24" s="4" t="inlineStr">
        <is>
          <t>Unknown</t>
        </is>
      </c>
      <c r="D24" s="3" t="inlineStr">
        <is>
          <t>Hacienda La Florida</t>
        </is>
      </c>
      <c r="E24" s="3" t="inlineStr">
        <is>
          <t>Unknown</t>
        </is>
      </c>
      <c r="F24" s="3" t="inlineStr">
        <is>
          <t>Unknown</t>
        </is>
      </c>
      <c r="G24" s="5" t="inlineStr">
        <is>
          <t>Typica Mejorado</t>
        </is>
      </c>
      <c r="H24" s="16" t="inlineStr">
        <is>
          <t>Anaerobic Washed</t>
        </is>
      </c>
      <c r="I24" s="3" t="inlineStr">
        <is>
          <t>Unknown</t>
        </is>
      </c>
      <c r="J24" s="3" t="inlineStr">
        <is>
          <t>Origami (Conical)</t>
        </is>
      </c>
      <c r="K24" s="3" t="inlineStr">
        <is>
          <t>18</t>
        </is>
      </c>
      <c r="L24" s="3" t="inlineStr">
        <is>
          <t>277</t>
        </is>
      </c>
      <c r="M24" s="3" t="inlineStr">
        <is>
          <t>1:15.4</t>
        </is>
      </c>
      <c r="N24" s="3" t="inlineStr">
        <is>
          <t>Unknown</t>
        </is>
      </c>
      <c r="O24" s="3" t="inlineStr">
        <is>
          <t>42g / 30s (1:2.3)</t>
        </is>
      </c>
      <c r="P24" s="3" t="inlineStr">
        <is>
          <t>Mahlkönig EK Omnia</t>
        </is>
      </c>
      <c r="Q24" s="7" t="inlineStr">
        <is>
          <t>11.08</t>
        </is>
      </c>
      <c r="R24" s="3" t="inlineStr">
        <is>
          <t>Lemon verbena; Red plum; Citronella; Hibiscus</t>
        </is>
      </c>
      <c r="S24" s="8" t="inlineStr">
        <is>
          <t>Excellent. Lime when hot, distinct plum as it cooled.</t>
        </is>
      </c>
      <c r="T24" s="3" t="inlineStr">
        <is>
          <t>EK Omnia precision grind and Origami conical drove extreme clarity; thermal phase shift perfectly isolated citric-to-malic acid transition (lime → plum).</t>
        </is>
      </c>
      <c r="U24" s="3" t="inlineStr">
        <is>
          <t>Unknown</t>
        </is>
      </c>
      <c r="V24" s="3" t="inlineStr">
        <is>
          <t>Gemini only</t>
        </is>
      </c>
      <c r="W24" s="114" t="inlineStr"/>
    </row>
    <row r="25" ht="70" customHeight="1">
      <c r="A25" s="9" t="inlineStr">
        <is>
          <t>2026-04-24</t>
        </is>
      </c>
      <c r="B25" s="10" t="inlineStr">
        <is>
          <t>Singapore</t>
        </is>
      </c>
      <c r="C25" s="11" t="inlineStr">
        <is>
          <t>Agora Coffee</t>
        </is>
      </c>
      <c r="D25" s="10" t="inlineStr">
        <is>
          <t>Brazil Santuário Sul</t>
        </is>
      </c>
      <c r="E25" s="10" t="inlineStr">
        <is>
          <t>Unknown</t>
        </is>
      </c>
      <c r="F25" s="10" t="inlineStr">
        <is>
          <t>Carmo de Minas, Brazil</t>
        </is>
      </c>
      <c r="G25" s="12" t="inlineStr">
        <is>
          <t>Unknown</t>
        </is>
      </c>
      <c r="H25" s="6" t="inlineStr">
        <is>
          <t>Natural Fermentation</t>
        </is>
      </c>
      <c r="I25" s="10" t="inlineStr">
        <is>
          <t>Light-Medium</t>
        </is>
      </c>
      <c r="J25" s="10" t="inlineStr">
        <is>
          <t>V60</t>
        </is>
      </c>
      <c r="K25" s="10" t="inlineStr">
        <is>
          <t>16</t>
        </is>
      </c>
      <c r="L25" s="10" t="inlineStr">
        <is>
          <t>224</t>
        </is>
      </c>
      <c r="M25" s="10" t="inlineStr">
        <is>
          <t>1:14</t>
        </is>
      </c>
      <c r="N25" s="10" t="inlineStr">
        <is>
          <t>95</t>
        </is>
      </c>
      <c r="O25" s="10" t="inlineStr">
        <is>
          <t>Unknown</t>
        </is>
      </c>
      <c r="P25" s="10" t="inlineStr">
        <is>
          <t>Mahlkönig EK43</t>
        </is>
      </c>
      <c r="Q25" s="14" t="inlineStr">
        <is>
          <t>Unknown</t>
        </is>
      </c>
      <c r="R25" s="10" t="inlineStr">
        <is>
          <t>Blackcurrant; Black Cherry; Dark Chocolate</t>
        </is>
      </c>
      <c r="S25" s="15" t="inlineStr">
        <is>
          <t>Full body; prominent blackcurrant; clear chocolaty finish.</t>
        </is>
      </c>
      <c r="T25" s="10" t="inlineStr">
        <is>
          <t>Tight 1:14 ratio engineered maximum body; EK43 98mm burrs maintained clarity to keep fermented natural fruit clean and non-bitter.</t>
        </is>
      </c>
      <c r="U25" s="10" t="inlineStr">
        <is>
          <t>Midday specialty calibration</t>
        </is>
      </c>
      <c r="V25" s="10" t="inlineStr">
        <is>
          <t>Merged (Gemini + ChatGPT)</t>
        </is>
      </c>
      <c r="W25" s="114" t="inlineStr"/>
    </row>
    <row r="26" ht="70" customHeight="1">
      <c r="A26" s="2" t="inlineStr">
        <is>
          <t>2026-05-06</t>
        </is>
      </c>
      <c r="B26" s="3" t="inlineStr">
        <is>
          <t>Singapore</t>
        </is>
      </c>
      <c r="C26" s="4" t="inlineStr">
        <is>
          <t>Nylon Coffee Roasters</t>
        </is>
      </c>
      <c r="D26" s="3" t="inlineStr">
        <is>
          <t>Brazil FAF Organic</t>
        </is>
      </c>
      <c r="E26" s="3" t="inlineStr">
        <is>
          <t>Unknown</t>
        </is>
      </c>
      <c r="F26" s="3" t="inlineStr">
        <is>
          <t>Brazil</t>
        </is>
      </c>
      <c r="G26" s="5" t="inlineStr">
        <is>
          <t>Arara</t>
        </is>
      </c>
      <c r="H26" s="6" t="inlineStr">
        <is>
          <t>Natural</t>
        </is>
      </c>
      <c r="I26" s="3" t="inlineStr">
        <is>
          <t>Filter Roast</t>
        </is>
      </c>
      <c r="J26" s="3" t="inlineStr">
        <is>
          <t>xBloom (Flat-Bottom)</t>
        </is>
      </c>
      <c r="K26" s="3" t="inlineStr">
        <is>
          <t>Unknown</t>
        </is>
      </c>
      <c r="L26" s="3" t="inlineStr">
        <is>
          <t>Unknown</t>
        </is>
      </c>
      <c r="M26" s="3" t="inlineStr">
        <is>
          <t>1:17</t>
        </is>
      </c>
      <c r="N26" s="3" t="inlineStr">
        <is>
          <t>Unknown</t>
        </is>
      </c>
      <c r="O26" s="3" t="inlineStr">
        <is>
          <t>Unknown</t>
        </is>
      </c>
      <c r="P26" s="3" t="inlineStr">
        <is>
          <t>Mahlkönig EK Omnia</t>
        </is>
      </c>
      <c r="Q26" s="7" t="inlineStr">
        <is>
          <t>7.5</t>
        </is>
      </c>
      <c r="R26" s="3" t="inlineStr">
        <is>
          <t>Red Apple; Cherry; Raisin; Milk Chocolate</t>
        </is>
      </c>
      <c r="S26" s="8" t="inlineStr">
        <is>
          <t>Solid body with crisp green apple (malic) front, resolving into smooth milk chocolate finish.</t>
        </is>
      </c>
      <c r="T26" s="3" t="inlineStr">
        <is>
          <t>High-quality Arara natural processing yielded excellent structural body while maintaining crisp malic acidity; xBloom flat-bottom avoided heavy fermentation mud.</t>
        </is>
      </c>
      <c r="U26" s="3" t="inlineStr">
        <is>
          <t>Unknown</t>
        </is>
      </c>
      <c r="V26" s="3" t="inlineStr">
        <is>
          <t>Gemini only</t>
        </is>
      </c>
      <c r="W26" s="114" t="inlineStr"/>
    </row>
    <row r="27" ht="70" customHeight="1">
      <c r="A27" s="9" t="inlineStr">
        <is>
          <t>2026-05-06</t>
        </is>
      </c>
      <c r="B27" s="10" t="inlineStr">
        <is>
          <t>Singapore</t>
        </is>
      </c>
      <c r="C27" s="11" t="inlineStr">
        <is>
          <t>Nylon Coffee Roasters</t>
        </is>
      </c>
      <c r="D27" s="10" t="inlineStr">
        <is>
          <t>Brazil Serra dos Ciganos</t>
        </is>
      </c>
      <c r="E27" s="10" t="inlineStr">
        <is>
          <t>Unknown</t>
        </is>
      </c>
      <c r="F27" s="10" t="inlineStr">
        <is>
          <t>Brazil</t>
        </is>
      </c>
      <c r="G27" s="12" t="inlineStr">
        <is>
          <t>Catucai 24/137</t>
        </is>
      </c>
      <c r="H27" s="6" t="inlineStr">
        <is>
          <t>Natural</t>
        </is>
      </c>
      <c r="I27" s="10" t="inlineStr">
        <is>
          <t>Espresso Roast</t>
        </is>
      </c>
      <c r="J27" s="10" t="inlineStr">
        <is>
          <t>Flat White</t>
        </is>
      </c>
      <c r="K27" s="10" t="inlineStr">
        <is>
          <t>Unknown</t>
        </is>
      </c>
      <c r="L27" s="10" t="inlineStr">
        <is>
          <t>Unknown</t>
        </is>
      </c>
      <c r="M27" s="10" t="inlineStr">
        <is>
          <t>Unknown</t>
        </is>
      </c>
      <c r="N27" s="10" t="inlineStr">
        <is>
          <t>Unknown</t>
        </is>
      </c>
      <c r="O27" s="10" t="inlineStr">
        <is>
          <t>Unknown</t>
        </is>
      </c>
      <c r="P27" s="10" t="inlineStr">
        <is>
          <t>Unknown</t>
        </is>
      </c>
      <c r="Q27" s="14" t="inlineStr">
        <is>
          <t>Unknown</t>
        </is>
      </c>
      <c r="R27" s="10" t="inlineStr">
        <is>
          <t>Sultana; Dried Apricot; Praline; Roasted Hazelnut</t>
        </is>
      </c>
      <c r="S27" s="15" t="inlineStr">
        <is>
          <t>Good cup with pleasant lingering sweet aftertaste.</t>
        </is>
      </c>
      <c r="T27" s="10" t="inlineStr">
        <is>
          <t>Milk fats bound perfectly with natural processed espresso; Catucai 24/137 high-density bean structure created long, comforting finish.</t>
        </is>
      </c>
      <c r="U27" s="10" t="inlineStr">
        <is>
          <t>Unknown</t>
        </is>
      </c>
      <c r="V27" s="10" t="inlineStr">
        <is>
          <t>Gemini only</t>
        </is>
      </c>
      <c r="W27" s="114" t="inlineStr"/>
    </row>
    <row r="28" ht="70" customHeight="1">
      <c r="A28" s="2" t="inlineStr">
        <is>
          <t>2026-05-07</t>
        </is>
      </c>
      <c r="B28" s="3" t="inlineStr">
        <is>
          <t>Singapore</t>
        </is>
      </c>
      <c r="C28" s="4" t="inlineStr">
        <is>
          <t>Nylon Coffee Roasters</t>
        </is>
      </c>
      <c r="D28" s="3" t="inlineStr">
        <is>
          <t>Ethiopia Banko Gotiti</t>
        </is>
      </c>
      <c r="E28" s="3" t="inlineStr">
        <is>
          <t>Unknown</t>
        </is>
      </c>
      <c r="F28" s="3" t="inlineStr">
        <is>
          <t>Ethiopia</t>
        </is>
      </c>
      <c r="G28" s="5" t="inlineStr">
        <is>
          <t>Heirloom</t>
        </is>
      </c>
      <c r="H28" s="16" t="inlineStr">
        <is>
          <t>Washed</t>
        </is>
      </c>
      <c r="I28" s="3" t="inlineStr">
        <is>
          <t>Filter Roast</t>
        </is>
      </c>
      <c r="J28" s="3" t="inlineStr">
        <is>
          <t>xBloom (Flat-Bottom)</t>
        </is>
      </c>
      <c r="K28" s="3" t="inlineStr">
        <is>
          <t>Unknown</t>
        </is>
      </c>
      <c r="L28" s="3" t="inlineStr">
        <is>
          <t>Unknown</t>
        </is>
      </c>
      <c r="M28" s="3" t="inlineStr">
        <is>
          <t>1:17</t>
        </is>
      </c>
      <c r="N28" s="3" t="inlineStr">
        <is>
          <t>Unknown</t>
        </is>
      </c>
      <c r="O28" s="3" t="inlineStr">
        <is>
          <t>Unknown</t>
        </is>
      </c>
      <c r="P28" s="3" t="inlineStr">
        <is>
          <t>Mahlkönig EK Omnia</t>
        </is>
      </c>
      <c r="Q28" s="7" t="inlineStr">
        <is>
          <t>8.5</t>
        </is>
      </c>
      <c r="R28" s="3" t="inlineStr">
        <is>
          <t>Lemonade; Raspberry; Peach; Bergamot</t>
        </is>
      </c>
      <c r="S28" s="8" t="inlineStr">
        <is>
          <t>Lemon front, heavy melon mid-cup, fading into clean white tea finish.</t>
        </is>
      </c>
      <c r="T28" s="3" t="inlineStr">
        <is>
          <t>1:17 lean ratio isolated volatile citric acids; xBloom flat-bottom geometry stabilized mid-cup sugars before clean tannin-forward white tea finish.</t>
        </is>
      </c>
      <c r="U28" s="3" t="inlineStr">
        <is>
          <t>Unknown</t>
        </is>
      </c>
      <c r="V28" s="3" t="inlineStr">
        <is>
          <t>Gemini only</t>
        </is>
      </c>
      <c r="W28" s="114" t="inlineStr"/>
    </row>
    <row r="29" ht="70" customHeight="1">
      <c r="A29" s="9" t="inlineStr">
        <is>
          <t>2026-05-07</t>
        </is>
      </c>
      <c r="B29" s="10" t="inlineStr">
        <is>
          <t>Singapore</t>
        </is>
      </c>
      <c r="C29" s="11" t="inlineStr">
        <is>
          <t>Nylon Coffee Roasters</t>
        </is>
      </c>
      <c r="D29" s="10" t="inlineStr">
        <is>
          <t>Nicaragua Buena Vista</t>
        </is>
      </c>
      <c r="E29" s="10" t="inlineStr">
        <is>
          <t>Unknown</t>
        </is>
      </c>
      <c r="F29" s="10" t="inlineStr">
        <is>
          <t>Nicaragua</t>
        </is>
      </c>
      <c r="G29" s="12" t="inlineStr">
        <is>
          <t>Parainema</t>
        </is>
      </c>
      <c r="H29" s="6" t="inlineStr">
        <is>
          <t>Natural Anaerobic</t>
        </is>
      </c>
      <c r="I29" s="10" t="inlineStr">
        <is>
          <t>Espresso Roast</t>
        </is>
      </c>
      <c r="J29" s="10" t="inlineStr">
        <is>
          <t>Single Espresso</t>
        </is>
      </c>
      <c r="K29" s="10" t="inlineStr">
        <is>
          <t>Unknown</t>
        </is>
      </c>
      <c r="L29" s="10" t="inlineStr">
        <is>
          <t>Unknown</t>
        </is>
      </c>
      <c r="M29" s="10" t="inlineStr">
        <is>
          <t>~1:2</t>
        </is>
      </c>
      <c r="N29" s="10" t="inlineStr">
        <is>
          <t>Unknown</t>
        </is>
      </c>
      <c r="O29" s="10" t="inlineStr">
        <is>
          <t>Unknown</t>
        </is>
      </c>
      <c r="P29" s="10" t="inlineStr">
        <is>
          <t>Unknown</t>
        </is>
      </c>
      <c r="Q29" s="14" t="inlineStr">
        <is>
          <t>Unknown</t>
        </is>
      </c>
      <c r="R29" s="10" t="inlineStr">
        <is>
          <t>Chiku; Stewed Cherry; Dried Apricot; Brazil Nut</t>
        </is>
      </c>
      <c r="S29" s="15" t="inlineStr">
        <is>
          <t>Thick, syrupy body. Highly fermented, savory/not sweet, very long lingering finish.</t>
        </is>
      </c>
      <c r="T29" s="10" t="inlineStr">
        <is>
          <t>Anaerobic fermentation metabolized sugars into complex savory esters; 9-bar pressure emulsification drove heavy oil-based viscosity and extended aftertaste.</t>
        </is>
      </c>
      <c r="U29" s="10" t="inlineStr">
        <is>
          <t>Unknown</t>
        </is>
      </c>
      <c r="V29" s="10" t="inlineStr">
        <is>
          <t>Gemini only</t>
        </is>
      </c>
      <c r="W29" s="114" t="inlineStr"/>
    </row>
    <row r="30" ht="70" customHeight="1">
      <c r="A30" s="2" t="inlineStr">
        <is>
          <t>2026-05-08</t>
        </is>
      </c>
      <c r="B30" s="3" t="inlineStr">
        <is>
          <t>Singapore</t>
        </is>
      </c>
      <c r="C30" s="4" t="inlineStr">
        <is>
          <t>Alchemist (Raffles Place)</t>
        </is>
      </c>
      <c r="D30" s="3" t="inlineStr">
        <is>
          <t>El Morito</t>
        </is>
      </c>
      <c r="E30" s="3" t="inlineStr">
        <is>
          <t>Unknown</t>
        </is>
      </c>
      <c r="F30" s="3" t="inlineStr">
        <is>
          <t>Colombia</t>
        </is>
      </c>
      <c r="G30" s="5" t="inlineStr">
        <is>
          <t>Marshell</t>
        </is>
      </c>
      <c r="H30" s="16" t="inlineStr">
        <is>
          <t>Washed</t>
        </is>
      </c>
      <c r="I30" s="3" t="inlineStr">
        <is>
          <t>Filter Roast</t>
        </is>
      </c>
      <c r="J30" s="3" t="inlineStr">
        <is>
          <t>V60 Pour-over (Conical)</t>
        </is>
      </c>
      <c r="K30" s="3" t="inlineStr">
        <is>
          <t>15</t>
        </is>
      </c>
      <c r="L30" s="3" t="inlineStr">
        <is>
          <t>240</t>
        </is>
      </c>
      <c r="M30" s="3" t="inlineStr">
        <is>
          <t>1:16</t>
        </is>
      </c>
      <c r="N30" s="3" t="inlineStr">
        <is>
          <t>Unknown</t>
        </is>
      </c>
      <c r="O30" s="3" t="inlineStr">
        <is>
          <t>Unknown</t>
        </is>
      </c>
      <c r="P30" s="3" t="inlineStr">
        <is>
          <t>Mahlkönig EK43S (98mm Flat Burr)</t>
        </is>
      </c>
      <c r="Q30" s="7" t="inlineStr">
        <is>
          <t>Unknown</t>
        </is>
      </c>
      <c r="R30" s="3" t="inlineStr">
        <is>
          <t>Yellow Plum; Orange; Cane Sugar</t>
        </is>
      </c>
      <c r="S30" s="8" t="inlineStr">
        <is>
          <t>Simultaneous citric-malic acid overlap with integrated cane sugar — smooth and refreshing with excellent mid-palate juiciness. Confirmed: I love this bean.</t>
        </is>
      </c>
      <c r="T30" s="3" t="inlineStr">
        <is>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is>
      </c>
      <c r="U30" s="3" t="inlineStr">
        <is>
          <t>Solo visit — Alchemist Raffles Place</t>
        </is>
      </c>
      <c r="V30" s="3" t="inlineStr">
        <is>
          <t>Master CSV (hari_coffee_audit_master_2026)</t>
        </is>
      </c>
      <c r="W30" s="114" t="inlineStr"/>
    </row>
    <row r="31" ht="70" customHeight="1">
      <c r="A31" s="9" t="inlineStr">
        <is>
          <t>2026-05-12</t>
        </is>
      </c>
      <c r="B31" s="10" t="inlineStr">
        <is>
          <t>Singapore</t>
        </is>
      </c>
      <c r="C31" s="11" t="inlineStr">
        <is>
          <t>Kurasu</t>
        </is>
      </c>
      <c r="D31" s="10" t="inlineStr">
        <is>
          <t>Indonesia Frinsa Estate</t>
        </is>
      </c>
      <c r="E31" s="10" t="inlineStr">
        <is>
          <t>Frinsa Estate</t>
        </is>
      </c>
      <c r="F31" s="10" t="inlineStr">
        <is>
          <t>West Java, Indonesia</t>
        </is>
      </c>
      <c r="G31" s="12" t="inlineStr">
        <is>
          <t>Local Varietals</t>
        </is>
      </c>
      <c r="H31" s="18" t="inlineStr">
        <is>
          <t>Extended Fermentation Honey</t>
        </is>
      </c>
      <c r="I31" s="10" t="inlineStr">
        <is>
          <t>Light</t>
        </is>
      </c>
      <c r="J31" s="10" t="inlineStr">
        <is>
          <t>Pour-over (Hario Alpha — Flat-Bottom)</t>
        </is>
      </c>
      <c r="K31" s="10" t="inlineStr">
        <is>
          <t>15</t>
        </is>
      </c>
      <c r="L31" s="10" t="inlineStr">
        <is>
          <t>225</t>
        </is>
      </c>
      <c r="M31" s="10" t="inlineStr">
        <is>
          <t>1:16</t>
        </is>
      </c>
      <c r="N31" s="10" t="inlineStr">
        <is>
          <t>80 → 95 → 80</t>
        </is>
      </c>
      <c r="O31" s="10" t="inlineStr">
        <is>
          <t>Unknown</t>
        </is>
      </c>
      <c r="P31" s="10" t="inlineStr">
        <is>
          <t>Mahlkönig EK43S (98mm Flat Burr)</t>
        </is>
      </c>
      <c r="Q31" s="14" t="inlineStr">
        <is>
          <t>9.50</t>
        </is>
      </c>
      <c r="R31" s="10" t="inlineStr">
        <is>
          <t>Floral aroma; Stewed Strawberries; Grapefruit; Brown Sugar; Black Tea</t>
        </is>
      </c>
      <c r="S31" s="15" t="inlineStr">
        <is>
          <t>Floral taste with a sweet coating on the tongue that gradually sticks and fades off cleanly — sugar and tea aftertaste. Well-executed Indonesian honey with unusual clarity for the origin.</t>
        </is>
      </c>
      <c r="T31" s="10" t="inlineStr">
        <is>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is>
      </c>
      <c r="U31" s="10" t="inlineStr">
        <is>
          <t>Solo visit — Kurasu Singapore</t>
        </is>
      </c>
      <c r="V31" s="10" t="inlineStr">
        <is>
          <t>Master CSV (hari_coffee_audit_master_2026)</t>
        </is>
      </c>
      <c r="W31" s="114" t="inlineStr"/>
    </row>
    <row r="32" ht="70" customHeight="1">
      <c r="A32" s="2" t="inlineStr">
        <is>
          <t>2026-05-13</t>
        </is>
      </c>
      <c r="B32" s="3" t="inlineStr">
        <is>
          <t>Singapore</t>
        </is>
      </c>
      <c r="C32" s="4" t="inlineStr">
        <is>
          <t>The Community Coffee (Hamilton)</t>
        </is>
      </c>
      <c r="D32" s="3" t="inlineStr">
        <is>
          <t>Jose Mancia Honduras</t>
        </is>
      </c>
      <c r="E32" s="3" t="inlineStr">
        <is>
          <t>Jose Mancia</t>
        </is>
      </c>
      <c r="F32" s="3" t="inlineStr">
        <is>
          <t>Honduras</t>
        </is>
      </c>
      <c r="G32" s="5" t="inlineStr">
        <is>
          <t>Typica</t>
        </is>
      </c>
      <c r="H32" s="6" t="inlineStr">
        <is>
          <t>Natural</t>
        </is>
      </c>
      <c r="I32" s="3" t="inlineStr">
        <is>
          <t>Filter Roast</t>
        </is>
      </c>
      <c r="J32" s="3" t="inlineStr">
        <is>
          <t>Pour-over (Hario Switch — Immersion/Percolation)</t>
        </is>
      </c>
      <c r="K32" s="3" t="inlineStr">
        <is>
          <t>15</t>
        </is>
      </c>
      <c r="L32" s="3" t="inlineStr">
        <is>
          <t>255</t>
        </is>
      </c>
      <c r="M32" s="3" t="inlineStr">
        <is>
          <t>1:17</t>
        </is>
      </c>
      <c r="N32" s="3" t="inlineStr">
        <is>
          <t>Unknown</t>
        </is>
      </c>
      <c r="O32" s="3" t="inlineStr">
        <is>
          <t>Unknown</t>
        </is>
      </c>
      <c r="P32" s="3" t="inlineStr">
        <is>
          <t>Mahlkönig EK43 (98mm Flat Burr)</t>
        </is>
      </c>
      <c r="Q32" s="7" t="inlineStr">
        <is>
          <t>9.00</t>
        </is>
      </c>
      <c r="R32" s="3" t="inlineStr">
        <is>
          <t>Kiwi; Oolong Tea; Chocolate Truffle</t>
        </is>
      </c>
      <c r="S32" s="8" t="inlineStr">
        <is>
          <t>Pretty good. Kiwi and oolong tea style — full bodied. Short finish with slight hints of chocolate. Clean and approachable natural without heavy fermentation noise.</t>
        </is>
      </c>
      <c r="T32" s="3" t="inlineStr">
        <is>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is>
      </c>
      <c r="U32" s="3" t="inlineStr">
        <is>
          <t>Solo visit — The Community Coffee Hamilton</t>
        </is>
      </c>
      <c r="V32" s="3" t="inlineStr">
        <is>
          <t>Master CSV (hari_coffee_audit_master_2026)</t>
        </is>
      </c>
      <c r="W32" s="114" t="inlineStr"/>
    </row>
    <row r="33" ht="70" customHeight="1">
      <c r="A33" s="9" t="inlineStr">
        <is>
          <t>2026-05-15</t>
        </is>
      </c>
      <c r="B33" s="10" t="inlineStr">
        <is>
          <t>Singapore</t>
        </is>
      </c>
      <c r="C33" s="11" t="inlineStr">
        <is>
          <t>Alchemist (Ocean Financial Centre)</t>
        </is>
      </c>
      <c r="D33" s="10" t="inlineStr">
        <is>
          <t>Ijen Laurina</t>
        </is>
      </c>
      <c r="E33" s="10" t="inlineStr">
        <is>
          <t>Ijen Plateau</t>
        </is>
      </c>
      <c r="F33" s="10" t="inlineStr">
        <is>
          <t>East Java, Indonesia</t>
        </is>
      </c>
      <c r="G33" s="12" t="inlineStr">
        <is>
          <t>Hybrid Laurina</t>
        </is>
      </c>
      <c r="H33" s="6" t="inlineStr">
        <is>
          <t>Anaerobic Natural</t>
        </is>
      </c>
      <c r="I33" s="10" t="inlineStr">
        <is>
          <t>Light</t>
        </is>
      </c>
      <c r="J33" s="10" t="inlineStr">
        <is>
          <t>V60 Pour-over (Conical)</t>
        </is>
      </c>
      <c r="K33" s="10" t="inlineStr">
        <is>
          <t>15</t>
        </is>
      </c>
      <c r="L33" s="10" t="inlineStr">
        <is>
          <t>240</t>
        </is>
      </c>
      <c r="M33" s="10" t="inlineStr">
        <is>
          <t>1:16</t>
        </is>
      </c>
      <c r="N33" s="10" t="inlineStr">
        <is>
          <t>90</t>
        </is>
      </c>
      <c r="O33" s="10" t="inlineStr">
        <is>
          <t>Unknown</t>
        </is>
      </c>
      <c r="P33" s="10" t="inlineStr">
        <is>
          <t>Mahlkönig EK43S (98mm Flat Burr)</t>
        </is>
      </c>
      <c r="Q33" s="14" t="inlineStr">
        <is>
          <t>8.50</t>
        </is>
      </c>
      <c r="R33" s="10" t="inlineStr">
        <is>
          <t>Hibiscus; Red Apple; Hawthorn</t>
        </is>
      </c>
      <c r="S33" s="15" t="inlineStr">
        <is>
          <t>Felt hibiscus hot. Mid temp showed apple paste. Cooled to a honeyed character. Full bodied. Textbook style flavours — definitely a good one. Clean progressive thermal arc.</t>
        </is>
      </c>
      <c r="T33" s="10" t="inlineStr">
        <is>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is>
      </c>
      <c r="U33" s="10" t="inlineStr">
        <is>
          <t>Solo visit — Alchemist Ocean Financial Centre</t>
        </is>
      </c>
      <c r="V33" s="10" t="inlineStr">
        <is>
          <t>Master CSV (hari_coffee_audit_master_2026)</t>
        </is>
      </c>
      <c r="W33" s="114" t="inlineStr"/>
    </row>
    <row r="34" ht="70" customHeight="1">
      <c r="A34" s="53" t="inlineStr">
        <is>
          <t>2026-05-16</t>
        </is>
      </c>
      <c r="B34" s="54" t="inlineStr">
        <is>
          <t>Singapore</t>
        </is>
      </c>
      <c r="C34" s="54" t="inlineStr">
        <is>
          <t>FLUID</t>
        </is>
      </c>
      <c r="D34" s="54" t="inlineStr">
        <is>
          <t>El Obraje</t>
        </is>
      </c>
      <c r="E34" s="54" t="inlineStr">
        <is>
          <t>El Obraje</t>
        </is>
      </c>
      <c r="F34" s="54" t="inlineStr">
        <is>
          <t>Huila, Colombia</t>
        </is>
      </c>
      <c r="G34" s="54" t="inlineStr">
        <is>
          <t>Gesha</t>
        </is>
      </c>
      <c r="H34" s="55" t="inlineStr">
        <is>
          <t>Washed</t>
        </is>
      </c>
      <c r="I34" s="54" t="inlineStr">
        <is>
          <t>Light</t>
        </is>
      </c>
      <c r="J34" s="54" t="inlineStr">
        <is>
          <t>Flatbed Dripper (Flat-Bottom)</t>
        </is>
      </c>
      <c r="K34" s="54" t="inlineStr">
        <is>
          <t>15</t>
        </is>
      </c>
      <c r="L34" s="54" t="inlineStr">
        <is>
          <t>230</t>
        </is>
      </c>
      <c r="M34" s="54" t="inlineStr">
        <is>
          <t>1:15.3</t>
        </is>
      </c>
      <c r="N34" s="54" t="inlineStr">
        <is>
          <t>92</t>
        </is>
      </c>
      <c r="O34" s="54" t="inlineStr">
        <is>
          <t>Unknown</t>
        </is>
      </c>
      <c r="P34" s="54" t="inlineStr">
        <is>
          <t>Option-O Lagom P64 (64mm Flat Burr)</t>
        </is>
      </c>
      <c r="Q34" s="53" t="inlineStr">
        <is>
          <t>14.00</t>
        </is>
      </c>
      <c r="R34" s="54" t="inlineStr">
        <is>
          <t>Mango; Orange Blossom; Nectarine; Honey</t>
        </is>
      </c>
      <c r="S34" s="54" t="inlineStr">
        <is>
          <t>Damn the taste so nice — the orange nectarine finishing with that honey is terrific. Love this one. So far my favourite. Honey sweetness lingers and taste changes as temperature cools. Best Gesha washed in archive at time of logging.</t>
        </is>
      </c>
      <c r="T34" s="54" t="inlineStr">
        <is>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is>
      </c>
      <c r="U34" s="54" t="inlineStr">
        <is>
          <t>Solo visit — FLUID Singapore</t>
        </is>
      </c>
      <c r="V34" s="54" t="inlineStr">
        <is>
          <t>Master CSV (hari_coffee_audit_master_2026)</t>
        </is>
      </c>
      <c r="W34" s="115" t="inlineStr">
        <is>
          <t>⭐ GESHA</t>
        </is>
      </c>
    </row>
    <row r="35" ht="70" customHeight="1">
      <c r="A35" s="53" t="inlineStr">
        <is>
          <t>2026-05-19</t>
        </is>
      </c>
      <c r="B35" s="54" t="inlineStr">
        <is>
          <t>Singapore</t>
        </is>
      </c>
      <c r="C35" s="54" t="inlineStr">
        <is>
          <t>Pocket by Flip (Flip Coffee Roasters)</t>
        </is>
      </c>
      <c r="D35" s="54" t="inlineStr">
        <is>
          <t>Ecuador La Papaya</t>
        </is>
      </c>
      <c r="E35" s="54" t="inlineStr">
        <is>
          <t>La Papaya Farm</t>
        </is>
      </c>
      <c r="F35" s="54" t="inlineStr">
        <is>
          <t>Loja, Ecuador</t>
        </is>
      </c>
      <c r="G35" s="54" t="inlineStr">
        <is>
          <t>Geisha</t>
        </is>
      </c>
      <c r="H35" s="55" t="inlineStr">
        <is>
          <t>Washed</t>
        </is>
      </c>
      <c r="I35" s="54" t="inlineStr">
        <is>
          <t>Light</t>
        </is>
      </c>
      <c r="J35" s="54" t="inlineStr">
        <is>
          <t>Filter Hot — Flat-Bottom (Hario Alpha)</t>
        </is>
      </c>
      <c r="K35" s="54" t="inlineStr">
        <is>
          <t>15</t>
        </is>
      </c>
      <c r="L35" s="54" t="inlineStr">
        <is>
          <t>225</t>
        </is>
      </c>
      <c r="M35" s="54" t="inlineStr">
        <is>
          <t>1:15</t>
        </is>
      </c>
      <c r="N35" s="54" t="inlineStr">
        <is>
          <t>92 → 75 → 92</t>
        </is>
      </c>
      <c r="O35" s="54" t="inlineStr">
        <is>
          <t>Unknown</t>
        </is>
      </c>
      <c r="P35" s="54" t="inlineStr">
        <is>
          <t>Mahlkönig CORE (54mm Flat Burr)</t>
        </is>
      </c>
      <c r="Q35" s="53" t="inlineStr">
        <is>
          <t>18.00</t>
        </is>
      </c>
      <c r="R35" s="54" t="inlineStr">
        <is>
          <t>Fresh Apricot; Rooibos; Lemon Thyme; Toffee Apple</t>
        </is>
      </c>
      <c r="S35" s="54" t="inlineStr">
        <is>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is>
      </c>
      <c r="T35" s="54" t="inlineStr">
        <is>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is>
      </c>
      <c r="U35" s="54" t="inlineStr">
        <is>
          <t>Solo visit — Pocket by Flip, 30 Stevens Road</t>
        </is>
      </c>
      <c r="V35" s="54" t="inlineStr">
        <is>
          <t>Master CSV (hari_coffee_audit_master_2026)</t>
        </is>
      </c>
      <c r="W35" s="115" t="inlineStr">
        <is>
          <t>⭐ GESHA</t>
        </is>
      </c>
    </row>
    <row r="36" ht="70" customHeight="1">
      <c r="A36" s="2" t="inlineStr">
        <is>
          <t>2026-05-26</t>
        </is>
      </c>
      <c r="B36" s="3" t="inlineStr">
        <is>
          <t>Singapore</t>
        </is>
      </c>
      <c r="C36" s="4" t="inlineStr">
        <is>
          <t>Zerah Roasters</t>
        </is>
      </c>
      <c r="D36" s="3" t="inlineStr">
        <is>
          <t>El Diviso — Caturra Chiroso (Ester Bomb)</t>
        </is>
      </c>
      <c r="E36" s="3" t="inlineStr">
        <is>
          <t>El Diviso Farm</t>
        </is>
      </c>
      <c r="F36" s="3" t="inlineStr">
        <is>
          <t>Huila, Colombia</t>
        </is>
      </c>
      <c r="G36" s="5" t="inlineStr">
        <is>
          <t>Caturra Chiroso</t>
        </is>
      </c>
      <c r="H36" s="6" t="inlineStr">
        <is>
          <t>Yeast Anaerobic Natural</t>
        </is>
      </c>
      <c r="I36" s="3" t="inlineStr">
        <is>
          <t>Filter Roast</t>
        </is>
      </c>
      <c r="J36" s="3" t="inlineStr">
        <is>
          <t>Flat-Bottom Dripper</t>
        </is>
      </c>
      <c r="K36" s="3" t="inlineStr">
        <is>
          <t>15</t>
        </is>
      </c>
      <c r="L36" s="3" t="inlineStr">
        <is>
          <t>240</t>
        </is>
      </c>
      <c r="M36" s="3" t="inlineStr">
        <is>
          <t>1:16</t>
        </is>
      </c>
      <c r="N36" s="3" t="inlineStr">
        <is>
          <t>92</t>
        </is>
      </c>
      <c r="O36" s="3" t="inlineStr">
        <is>
          <t>38g / Unknown seconds</t>
        </is>
      </c>
      <c r="P36" s="3" t="inlineStr">
        <is>
          <t>DF64 Gen 2 (64mm Flat Burr — aftermarket upgrade)</t>
        </is>
      </c>
      <c r="Q36" s="7" t="inlineStr">
        <is>
          <t>12.00</t>
        </is>
      </c>
      <c r="R36" s="3" t="inlineStr">
        <is>
          <t>Passionfruit; Plum Wine; Mango</t>
        </is>
      </c>
      <c r="S36" s="8" t="inlineStr">
        <is>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is>
      </c>
      <c r="T36" s="3" t="inlineStr">
        <is>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is>
      </c>
      <c r="U36" s="3" t="inlineStr">
        <is>
          <t>Solo visit — Zerah Roasters, Singapore, 26 May 2026. Barista explained fermentation process, flat-bottom geometry rationale, 1:16 ratio decision in detail. Warm educational session on 2nd floor cosy space. Barista recommended Glyph Supply Co (Jurong).</t>
        </is>
      </c>
      <c r="V36" s="3" t="inlineStr">
        <is>
          <t>Infographic (Entry #025 Ester Bomb) + Google Maps review + Google review authored by Hari</t>
        </is>
      </c>
      <c r="W36" s="114" t="inlineStr"/>
    </row>
    <row r="37" ht="70" customHeight="1">
      <c r="A37" s="9" t="inlineStr">
        <is>
          <t>2026-06-10</t>
        </is>
      </c>
      <c r="B37" s="10" t="inlineStr">
        <is>
          <t>Singapore</t>
        </is>
      </c>
      <c r="C37" s="11" t="inlineStr">
        <is>
          <t>Nylon Coffee Roasters</t>
        </is>
      </c>
      <c r="D37" s="10" t="inlineStr">
        <is>
          <t>Colombia Juan Martin</t>
        </is>
      </c>
      <c r="E37" s="10" t="inlineStr">
        <is>
          <t>Banexport</t>
        </is>
      </c>
      <c r="F37" s="10" t="inlineStr">
        <is>
          <t>Colombia</t>
        </is>
      </c>
      <c r="G37" s="12" t="inlineStr">
        <is>
          <t>Red Striped Bourbon</t>
        </is>
      </c>
      <c r="H37" s="16" t="inlineStr">
        <is>
          <t>Washed</t>
        </is>
      </c>
      <c r="I37" s="10" t="inlineStr">
        <is>
          <t>Filter Roast</t>
        </is>
      </c>
      <c r="J37" s="10" t="inlineStr">
        <is>
          <t>xBloom (Flat-Bottom)</t>
        </is>
      </c>
      <c r="K37" s="10" t="inlineStr">
        <is>
          <t>Unknown</t>
        </is>
      </c>
      <c r="L37" s="10" t="inlineStr">
        <is>
          <t>Unknown</t>
        </is>
      </c>
      <c r="M37" s="10" t="inlineStr">
        <is>
          <t>1:17</t>
        </is>
      </c>
      <c r="N37" s="10" t="inlineStr">
        <is>
          <t>Unknown</t>
        </is>
      </c>
      <c r="O37" s="10" t="inlineStr">
        <is>
          <t>Unknown</t>
        </is>
      </c>
      <c r="P37" s="10" t="inlineStr">
        <is>
          <t>Mahlkönig EK Omnia (98mm Flat Burr)</t>
        </is>
      </c>
      <c r="Q37" s="14" t="inlineStr">
        <is>
          <t>7.5</t>
        </is>
      </c>
      <c r="R37" s="10" t="inlineStr">
        <is>
          <t>Berry, Red Plum, Nectarine, Orange Tea</t>
        </is>
      </c>
      <c r="S37" s="15" t="inlineStr">
        <is>
          <t>Orange-type aromatic afterfeel when hot — bright and encapsulating. Clearly fruity character throughout. Mellows cleanly as it cools; sugars emerge distinctly at mid-cool phase. Nice and light overall — 1:17 lean ratio working well on this varietal.</t>
        </is>
      </c>
      <c r="T37" s="10" t="inlineStr">
        <is>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is>
      </c>
      <c r="U37" s="10" t="inlineStr">
        <is>
          <t>Solo visit — office lunch break, 13:15</t>
        </is>
      </c>
      <c r="V37" s="10" t="inlineStr">
        <is>
          <t>Direct observation + bag photo (retail stock)</t>
        </is>
      </c>
      <c r="W37" s="114" t="inlineStr"/>
    </row>
    <row r="38" ht="70" customHeight="1">
      <c r="A38" s="2" t="inlineStr">
        <is>
          <t>2026-06-13</t>
        </is>
      </c>
      <c r="B38" s="3" t="inlineStr">
        <is>
          <t>Singapore</t>
        </is>
      </c>
      <c r="C38" s="4" t="inlineStr">
        <is>
          <t>Kurasu</t>
        </is>
      </c>
      <c r="D38" s="3" t="inlineStr">
        <is>
          <t>Rwanda Nkara Soil Project Lot 1204</t>
        </is>
      </c>
      <c r="E38" s="3" t="inlineStr">
        <is>
          <t>Nkara Soil Project</t>
        </is>
      </c>
      <c r="F38" s="3" t="inlineStr">
        <is>
          <t>Rwanda</t>
        </is>
      </c>
      <c r="G38" s="5" t="inlineStr">
        <is>
          <t>Red Bourbon</t>
        </is>
      </c>
      <c r="H38" s="16" t="inlineStr">
        <is>
          <t>Fully Washed</t>
        </is>
      </c>
      <c r="I38" s="3" t="inlineStr">
        <is>
          <t>Filter Roast</t>
        </is>
      </c>
      <c r="J38" s="3" t="inlineStr">
        <is>
          <t>V60 Pour-over (Conical)</t>
        </is>
      </c>
      <c r="K38" s="3" t="inlineStr">
        <is>
          <t>Unknown</t>
        </is>
      </c>
      <c r="L38" s="3" t="inlineStr">
        <is>
          <t>Unknown</t>
        </is>
      </c>
      <c r="M38" s="3" t="inlineStr">
        <is>
          <t>Unknown</t>
        </is>
      </c>
      <c r="N38" s="3" t="inlineStr">
        <is>
          <t>Unknown</t>
        </is>
      </c>
      <c r="O38" s="3" t="inlineStr">
        <is>
          <t>Unknown</t>
        </is>
      </c>
      <c r="P38" s="3" t="inlineStr">
        <is>
          <t>Mahlkönig EK43 (98mm Flat Burr)</t>
        </is>
      </c>
      <c r="Q38" s="7" t="inlineStr">
        <is>
          <t>9.27</t>
        </is>
      </c>
      <c r="R38" s="3" t="inlineStr">
        <is>
          <t>Floral aroma, taste of mandarin orange, baked apple and grapefruit, brown sugar-like sweetness and accompanying aftertaste</t>
        </is>
      </c>
      <c r="S38" s="8" t="inlineStr">
        <is>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is>
      </c>
      <c r="T38" s="3" t="inlineStr">
        <is>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is>
      </c>
      <c r="U38" s="3" t="inlineStr">
        <is>
          <t>Solo visit — 13 Jun 2026</t>
        </is>
      </c>
      <c r="V38" s="3" t="inlineStr">
        <is>
          <t>Direct observation + bean card photo</t>
        </is>
      </c>
      <c r="W38" s="114" t="inlineStr"/>
    </row>
    <row r="39" ht="70" customHeight="1">
      <c r="A39" s="53" t="inlineStr">
        <is>
          <t>2026-06-14</t>
        </is>
      </c>
      <c r="B39" s="54" t="inlineStr">
        <is>
          <t>Singapore</t>
        </is>
      </c>
      <c r="C39" s="54" t="inlineStr">
        <is>
          <t>Keryi Coffee</t>
        </is>
      </c>
      <c r="D39" s="54" t="inlineStr">
        <is>
          <t>Colombia Finca La Esmaralda</t>
        </is>
      </c>
      <c r="E39" s="54" t="inlineStr">
        <is>
          <t>Finca La Esmaralda</t>
        </is>
      </c>
      <c r="F39" s="54" t="inlineStr">
        <is>
          <t>Colombia</t>
        </is>
      </c>
      <c r="G39" s="54" t="inlineStr">
        <is>
          <t>Gesha</t>
        </is>
      </c>
      <c r="H39" s="55" t="inlineStr">
        <is>
          <t>Honey</t>
        </is>
      </c>
      <c r="I39" s="54" t="inlineStr">
        <is>
          <t>Light Roast</t>
        </is>
      </c>
      <c r="J39" s="54" t="inlineStr">
        <is>
          <t>Hario Switch (Immersion/Percolation Hybrid)</t>
        </is>
      </c>
      <c r="K39" s="54" t="inlineStr">
        <is>
          <t>15</t>
        </is>
      </c>
      <c r="L39" s="54" t="inlineStr">
        <is>
          <t>210</t>
        </is>
      </c>
      <c r="M39" s="54" t="inlineStr">
        <is>
          <t>1:14</t>
        </is>
      </c>
      <c r="N39" s="54" t="inlineStr">
        <is>
          <t>91 → 78</t>
        </is>
      </c>
      <c r="O39" s="54" t="inlineStr">
        <is>
          <t>60g (~4:1)</t>
        </is>
      </c>
      <c r="P39" s="54" t="inlineStr">
        <is>
          <t>Ditting 98mm flat burr</t>
        </is>
      </c>
      <c r="Q39" s="53" t="inlineStr">
        <is>
          <t>15</t>
        </is>
      </c>
      <c r="R39" s="54" t="inlineStr">
        <is>
          <t>Citrus, white florals, lychee, sugar-cane sweetness</t>
        </is>
      </c>
      <c r="S39" s="54" t="inlineStr">
        <is>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is>
      </c>
      <c r="T39" s="54" t="inlineStr">
        <is>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is>
      </c>
      <c r="U39" s="54" t="inlineStr">
        <is>
          <t>Solo relaxation visit — Sunday 14 Jun 2026, 11 AM; barista-led brew interview (grinder/ratio/temp confirmed)</t>
        </is>
      </c>
      <c r="V39" s="54" t="inlineStr">
        <is>
          <t>Direct observation + menu photo + barista interview</t>
        </is>
      </c>
      <c r="W39" s="115" t="inlineStr">
        <is>
          <t>⭐ GESHA</t>
        </is>
      </c>
    </row>
    <row r="40" ht="70" customHeight="1">
      <c r="A40" s="2" t="inlineStr">
        <is>
          <t>2026-06-19</t>
        </is>
      </c>
      <c r="B40" s="3" t="inlineStr">
        <is>
          <t>Singapore</t>
        </is>
      </c>
      <c r="C40" s="4" t="inlineStr">
        <is>
          <t>Corner Corner</t>
        </is>
      </c>
      <c r="D40" s="3" t="inlineStr">
        <is>
          <t>Malaysia My Liberica</t>
        </is>
      </c>
      <c r="E40" s="3" t="inlineStr">
        <is>
          <t>My Liberica (Jason Liew), Kulai, Johor</t>
        </is>
      </c>
      <c r="F40" s="3" t="inlineStr">
        <is>
          <t>Malaysia, Kulai, Johor</t>
        </is>
      </c>
      <c r="G40" s="5" t="inlineStr">
        <is>
          <t>Liberica (Coffea liberica)</t>
        </is>
      </c>
      <c r="H40" s="6" t="inlineStr">
        <is>
          <t>JH Natural (Jekyll &amp; Hyde controlled fermentation - proprietary My Liberica process)</t>
        </is>
      </c>
      <c r="I40" s="3" t="inlineStr">
        <is>
          <t>Light</t>
        </is>
      </c>
      <c r="J40" s="3" t="inlineStr">
        <is>
          <t>Pour Over (filter)</t>
        </is>
      </c>
      <c r="K40" s="3" t="inlineStr">
        <is>
          <t>13</t>
        </is>
      </c>
      <c r="L40" s="3" t="inlineStr">
        <is>
          <t>190</t>
        </is>
      </c>
      <c r="M40" s="3" t="inlineStr">
        <is>
          <t>1:14.6</t>
        </is>
      </c>
      <c r="N40" s="3" t="inlineStr">
        <is>
          <t>90-92 (steady throughout)</t>
        </is>
      </c>
      <c r="O40" s="3" t="inlineStr">
        <is>
          <t>Unknown</t>
        </is>
      </c>
      <c r="P40" s="3" t="inlineStr">
        <is>
          <t>Timemore (conical Gold burr, coarse)</t>
        </is>
      </c>
      <c r="Q40" s="7" t="inlineStr">
        <is>
          <t>13</t>
        </is>
      </c>
      <c r="R40" s="3" t="inlineStr">
        <is>
          <t>Root beer / Tropical fruit punch / Raspberry candy / Rambutan / Longan / Sarsi (roaster: One Half)</t>
        </is>
      </c>
      <c r="S40" s="8" t="inlineStr">
        <is>
          <t>Interesting and approachable - 'not so funky but different for sure'; picked out longan-type fruit. First non-arabica capture in the archive; landed as a positive novelty rather than rejected.</t>
        </is>
      </c>
      <c r="T40" s="3" t="inlineStr">
        <is>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is>
      </c>
      <c r="U40" s="3" t="inlineStr">
        <is>
          <t>Roaster: One Half (light-roast filter program). Corner Corner is a vinyl-record listening bar/cafe; walls of LPs, warm low lighting, Japanese-style carafe-and-cup serve. Friday 19 June 2026, ~15:15. Rated awesome by Hari.</t>
        </is>
      </c>
      <c r="V40" s="3" t="inlineStr">
        <is>
          <t>Field audit (Claude)</t>
        </is>
      </c>
      <c r="W40" s="114" t="inlineStr"/>
    </row>
    <row r="41" ht="70" customHeight="1">
      <c r="A41" s="53" t="inlineStr">
        <is>
          <t>2026-06-19</t>
        </is>
      </c>
      <c r="B41" s="54" t="inlineStr">
        <is>
          <t>Singapore</t>
        </is>
      </c>
      <c r="C41" s="54" t="inlineStr">
        <is>
          <t>Equate</t>
        </is>
      </c>
      <c r="D41" s="54" t="inlineStr">
        <is>
          <t>Colombia Huila La Pradera</t>
        </is>
      </c>
      <c r="E41" s="54" t="inlineStr">
        <is>
          <t>La Pradera</t>
        </is>
      </c>
      <c r="F41" s="54" t="inlineStr">
        <is>
          <t>Colombia, Huila</t>
        </is>
      </c>
      <c r="G41" s="54" t="inlineStr">
        <is>
          <t>Gesha</t>
        </is>
      </c>
      <c r="H41" s="55" t="inlineStr">
        <is>
          <t>Washed</t>
        </is>
      </c>
      <c r="I41" s="54" t="inlineStr">
        <is>
          <t>Unknown</t>
        </is>
      </c>
      <c r="J41" s="54" t="inlineStr">
        <is>
          <t>Pour Over (Orea V4)</t>
        </is>
      </c>
      <c r="K41" s="54" t="inlineStr">
        <is>
          <t>15</t>
        </is>
      </c>
      <c r="L41" s="54" t="inlineStr">
        <is>
          <t>210</t>
        </is>
      </c>
      <c r="M41" s="54" t="inlineStr">
        <is>
          <t>1:14</t>
        </is>
      </c>
      <c r="N41" s="54" t="inlineStr">
        <is>
          <t>90-92 (pours 1-2), 68-70 (pours 3-4)</t>
        </is>
      </c>
      <c r="O41" s="54" t="inlineStr">
        <is>
          <t>Unknown</t>
        </is>
      </c>
      <c r="P41" s="54" t="inlineStr">
        <is>
          <t>EK43</t>
        </is>
      </c>
      <c r="Q41" s="53" t="inlineStr">
        <is>
          <t>13</t>
        </is>
      </c>
      <c r="R41" s="54" t="inlineStr">
        <is>
          <t>Peach Jam / Orange / Honey Sweetness</t>
        </is>
      </c>
      <c r="S41" s="54" t="inlineStr">
        <is>
          <t>Average - strong isolated peach note but jam/honey sweetness underdeveloped; suspects 1:15 ratio would have balanced acid/sweetness better</t>
        </is>
      </c>
      <c r="T41" s="54" t="inlineStr">
        <is>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is>
      </c>
      <c r="U41" s="54" t="inlineStr">
        <is>
          <t>2nd-floor minimalist cafe; pastel interiors, spacious, dog-friendly; cakes-only food menu (banana cake); benchmark ambience per Hari.</t>
        </is>
      </c>
      <c r="V41" s="54" t="inlineStr">
        <is>
          <t>Field audit (Claude)</t>
        </is>
      </c>
      <c r="W41" s="115" t="inlineStr">
        <is>
          <t>⭐ GESHA</t>
        </is>
      </c>
    </row>
    <row r="42" ht="70" customHeight="1">
      <c r="A42" s="2" t="inlineStr">
        <is>
          <t>2026-06-21</t>
        </is>
      </c>
      <c r="B42" s="3" t="inlineStr">
        <is>
          <t>Singapore</t>
        </is>
      </c>
      <c r="C42" s="4" t="inlineStr">
        <is>
          <t>Apartment (Jalan Riang)</t>
        </is>
      </c>
      <c r="D42" s="3" t="inlineStr">
        <is>
          <t>Colombia Javier Quintero</t>
        </is>
      </c>
      <c r="E42" s="3" t="inlineStr">
        <is>
          <t>Javier Quintero, Buena Vista Farm</t>
        </is>
      </c>
      <c r="F42" s="3" t="inlineStr">
        <is>
          <t>Inza, Cauca, Colombia</t>
        </is>
      </c>
      <c r="G42" s="5" t="inlineStr">
        <is>
          <t>Bourbon Aruzi</t>
        </is>
      </c>
      <c r="H42" s="16" t="inlineStr">
        <is>
          <t>Washed</t>
        </is>
      </c>
      <c r="I42" s="3" t="inlineStr">
        <is>
          <t>Light (Filter Roast)</t>
        </is>
      </c>
      <c r="J42" s="3" t="inlineStr">
        <is>
          <t>Pour-over (Hand Brew)</t>
        </is>
      </c>
      <c r="K42" s="3" t="inlineStr">
        <is>
          <t>13</t>
        </is>
      </c>
      <c r="L42" s="3" t="inlineStr">
        <is>
          <t>220</t>
        </is>
      </c>
      <c r="M42" s="3" t="inlineStr">
        <is>
          <t>1:16.9</t>
        </is>
      </c>
      <c r="N42" s="3" t="inlineStr">
        <is>
          <t>95</t>
        </is>
      </c>
      <c r="O42" s="3" t="inlineStr">
        <is>
          <t>Unknown</t>
        </is>
      </c>
      <c r="P42" s="3" t="inlineStr">
        <is>
          <t>Mahlkönig EK43</t>
        </is>
      </c>
      <c r="Q42" s="7" t="inlineStr">
        <is>
          <t>9.5</t>
        </is>
      </c>
      <c r="R42" s="3" t="inlineStr">
        <is>
          <t>White peach; blackberry; jasmine</t>
        </is>
      </c>
      <c r="S42" s="8" t="inlineStr">
        <is>
          <t>White peach dominant, well-balanced; clean washed expression, very enjoyable</t>
        </is>
      </c>
      <c r="T42" s="3" t="inlineStr">
        <is>
          <t>High-temp (95C) and 1:16.9 ratio on EK43 flat burr favored extraction of volatile floral/peach esters (linalool, lactones) over heavier blackberry polyphenolics, producing a peach-forward, high-clarity cup. 200g bag roasted 15 June 2026 (6 days post-roast at time of visit).</t>
        </is>
      </c>
      <c r="U42" s="3" t="inlineStr">
        <is>
          <t>Sister branch of Apartment (Selegie Rd), located Jalan Riang, Serangoon Gardens. First visit to this branch.</t>
        </is>
      </c>
      <c r="V42" s="3" t="inlineStr">
        <is>
          <t>Field audit (Claude)</t>
        </is>
      </c>
      <c r="W42" s="114" t="inlineStr"/>
    </row>
    <row r="43" ht="70" customHeight="1">
      <c r="A43" s="9" t="inlineStr">
        <is>
          <t>2026-06-25</t>
        </is>
      </c>
      <c r="B43" s="10" t="inlineStr">
        <is>
          <t>Singapore</t>
        </is>
      </c>
      <c r="C43" s="11" t="inlineStr">
        <is>
          <t>PPP Coffee (Funan)</t>
        </is>
      </c>
      <c r="D43" s="10" t="inlineStr">
        <is>
          <t>Ethiopia Suke Quto</t>
        </is>
      </c>
      <c r="E43" s="10" t="inlineStr">
        <is>
          <t>Suke Quto Farm (Tesfaye Bekele)</t>
        </is>
      </c>
      <c r="F43" s="10" t="inlineStr">
        <is>
          <t>Ethiopia</t>
        </is>
      </c>
      <c r="G43" s="12" t="inlineStr">
        <is>
          <t>Welicho &amp; Kurume (blend)</t>
        </is>
      </c>
      <c r="H43" s="16" t="inlineStr">
        <is>
          <t>Fully-Washed</t>
        </is>
      </c>
      <c r="I43" s="10" t="inlineStr">
        <is>
          <t>Light Filter Roast</t>
        </is>
      </c>
      <c r="J43" s="10" t="inlineStr">
        <is>
          <t>V60 Pour-over (Conical)</t>
        </is>
      </c>
      <c r="K43" s="10" t="inlineStr">
        <is>
          <t>15</t>
        </is>
      </c>
      <c r="L43" s="10" t="inlineStr">
        <is>
          <t>225</t>
        </is>
      </c>
      <c r="M43" s="10" t="inlineStr">
        <is>
          <t>1:15</t>
        </is>
      </c>
      <c r="N43" s="10" t="inlineStr">
        <is>
          <t>Unknown</t>
        </is>
      </c>
      <c r="O43" s="10" t="inlineStr">
        <is>
          <t>Unknown</t>
        </is>
      </c>
      <c r="P43" s="10" t="inlineStr">
        <is>
          <t>Mazzer MM (83mm Flat Burr)</t>
        </is>
      </c>
      <c r="Q43" s="14" t="inlineStr">
        <is>
          <t>9</t>
        </is>
      </c>
      <c r="R43" s="10" t="inlineStr">
        <is>
          <t>Nectarine, White Florals, Citrus</t>
        </is>
      </c>
      <c r="S43" s="15" t="inlineStr">
        <is>
          <t>Sharp unripe orange dominated all thermal phases — no floral lift, no mid-cool malic sweetness, no phase shift detected. Citric over-extraction signature suppressed linalool volatiles and sucrose emergence. Hardware execution miss — Guji terroir likely unrealised. Rated below average.</t>
        </is>
      </c>
      <c r="T43" s="10" t="inlineStr">
        <is>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is>
      </c>
      <c r="U43" s="10" t="inlineStr">
        <is>
          <t>Solo visit — 25 Jun 2026; Funan mall location; bean card photographed; no barista consultation</t>
        </is>
      </c>
      <c r="V43" s="10" t="inlineStr">
        <is>
          <t>Direct observation + bean card photo + menu photo</t>
        </is>
      </c>
      <c r="W43" s="114" t="inlineStr"/>
    </row>
    <row r="44" ht="70" customHeight="1">
      <c r="A44" s="2" t="inlineStr">
        <is>
          <t>2026-06-27</t>
        </is>
      </c>
      <c r="B44" s="3" t="inlineStr">
        <is>
          <t>Singapore</t>
        </is>
      </c>
      <c r="C44" s="4" t="inlineStr">
        <is>
          <t>Apartment (Jalan Riang)</t>
        </is>
      </c>
      <c r="D44" s="3" t="inlineStr">
        <is>
          <t>China Yunnan Meng Hai</t>
        </is>
      </c>
      <c r="E44" s="3" t="inlineStr">
        <is>
          <t>Blang and Dai Family Farms</t>
        </is>
      </c>
      <c r="F44" s="3" t="inlineStr">
        <is>
          <t>Menghai, Xishuangbanna, Yunnan, China</t>
        </is>
      </c>
      <c r="G44" s="5" t="inlineStr">
        <is>
          <t>Purple Leaf Caturra</t>
        </is>
      </c>
      <c r="H44" s="16" t="inlineStr">
        <is>
          <t>Double Washed</t>
        </is>
      </c>
      <c r="I44" s="3" t="inlineStr">
        <is>
          <t>Light (Filter Roast)</t>
        </is>
      </c>
      <c r="J44" s="3" t="inlineStr">
        <is>
          <t>Pour-over (Hand Brew)</t>
        </is>
      </c>
      <c r="K44" s="3" t="inlineStr">
        <is>
          <t>13</t>
        </is>
      </c>
      <c r="L44" s="3" t="inlineStr">
        <is>
          <t>215</t>
        </is>
      </c>
      <c r="M44" s="3" t="inlineStr">
        <is>
          <t>1:16.5</t>
        </is>
      </c>
      <c r="N44" s="3" t="inlineStr">
        <is>
          <t>95</t>
        </is>
      </c>
      <c r="O44" s="3" t="inlineStr">
        <is>
          <t>4-pour progressive ~30s intervals; Bloom 30g; to 120g (+90g); to 180g (+60g); to 215g (+35g). Descending pour volumes confirmed by barista.</t>
        </is>
      </c>
      <c r="P44" s="3" t="inlineStr">
        <is>
          <t>Mahlkönig EK43</t>
        </is>
      </c>
      <c r="Q44" s="7" t="inlineStr">
        <is>
          <t>9.5</t>
        </is>
      </c>
      <c r="R44" s="3" t="inlineStr">
        <is>
          <t>Dried tangerine peel; red apple; pandan (origin card) / Dried orange peel; red apple; pandan (menu — discrepancy flagged)</t>
        </is>
      </c>
      <c r="S44" s="8" t="inlineStr">
        <is>
          <t>Bright vibrant opening (hot); crisp malic clarity; mellowed gracefully at cool with no dominant note; pandan as background aromatic binder; well-balanced; no bitterness; genuinely pleasant surprise for non-core-palate origin</t>
        </is>
      </c>
      <c r="T44" s="3" t="inlineStr">
        <is>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is>
      </c>
      <c r="U44" s="3" t="inlineStr">
        <is>
          <t>Second visit to Apartment (Jalan Riang); Saturday 27 Jun 2026, 10:45am. Menu note: dried orange peel (menu) vs dried tangerine peel (origin card) — origin card used as authoritative. First Chinese-origin entry in archive (entry #36).</t>
        </is>
      </c>
      <c r="V44" s="3" t="inlineStr">
        <is>
          <t>Field audit (Claude)</t>
        </is>
      </c>
      <c r="W44" s="114" t="inlineStr"/>
    </row>
    <row r="45" ht="70" customHeight="1">
      <c r="A45" s="9" t="inlineStr">
        <is>
          <t>2026-06-28</t>
        </is>
      </c>
      <c r="B45" s="10" t="inlineStr">
        <is>
          <t>Singapore</t>
        </is>
      </c>
      <c r="C45" s="11" t="inlineStr">
        <is>
          <t>Keryi Coffee</t>
        </is>
      </c>
      <c r="D45" s="10" t="inlineStr">
        <is>
          <t>Ethiopia Urabeast G1</t>
        </is>
      </c>
      <c r="E45" s="10" t="inlineStr">
        <is>
          <t>Unknown</t>
        </is>
      </c>
      <c r="F45" s="10" t="inlineStr">
        <is>
          <t>Uraga, Guji, Ethiopia</t>
        </is>
      </c>
      <c r="G45" s="12" t="inlineStr">
        <is>
          <t>74110 / 74112</t>
        </is>
      </c>
      <c r="H45" s="19" t="inlineStr">
        <is>
          <t>Mosto Fermentation</t>
        </is>
      </c>
      <c r="I45" s="10" t="inlineStr">
        <is>
          <t>Filter Roast</t>
        </is>
      </c>
      <c r="J45" s="10" t="inlineStr">
        <is>
          <t>Hario Switch (Immersion/Percolation Hybrid)</t>
        </is>
      </c>
      <c r="K45" s="10" t="inlineStr">
        <is>
          <t>15</t>
        </is>
      </c>
      <c r="L45" s="10" t="inlineStr">
        <is>
          <t>210</t>
        </is>
      </c>
      <c r="M45" s="10" t="inlineStr">
        <is>
          <t>1:14</t>
        </is>
      </c>
      <c r="N45" s="10" t="inlineStr">
        <is>
          <t>88 → 70</t>
        </is>
      </c>
      <c r="O45" s="10" t="inlineStr">
        <is>
          <t>Unknown</t>
        </is>
      </c>
      <c r="P45" s="10" t="inlineStr">
        <is>
          <t>Ditting 98mm flat burr</t>
        </is>
      </c>
      <c r="Q45" s="14" t="inlineStr">
        <is>
          <t>13</t>
        </is>
      </c>
      <c r="R45" s="10" t="inlineStr">
        <is>
          <t>Winey; Raspberry; Purple grapes</t>
        </is>
      </c>
      <c r="S45" s="15" t="inlineStr">
        <is>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is>
      </c>
      <c r="T45" s="10" t="inlineStr">
        <is>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is>
      </c>
      <c r="U45" s="10" t="inlineStr">
        <is>
          <t>Solo visit — 28 Jun 2026, 10:30AM. Keryi return visit (Entry #31 ref: Colombia Finca La Esmaralda). First mosto fermentation process in archive.</t>
        </is>
      </c>
      <c r="V45" s="10" t="inlineStr">
        <is>
          <t>Field audit (Claude) — direct barista confirmation</t>
        </is>
      </c>
      <c r="W45" s="114" t="inlineStr"/>
    </row>
    <row r="46" ht="70" customHeight="1">
      <c r="A46" s="2" t="inlineStr">
        <is>
          <t>2026-06-28</t>
        </is>
      </c>
      <c r="B46" s="3" t="inlineStr">
        <is>
          <t>Singapore</t>
        </is>
      </c>
      <c r="C46" s="4" t="inlineStr">
        <is>
          <t>Asylum Coffeehouse</t>
        </is>
      </c>
      <c r="D46" s="3" t="inlineStr">
        <is>
          <t>Yellow Sudan Rume</t>
        </is>
      </c>
      <c r="E46" s="3" t="inlineStr">
        <is>
          <t>Felipe Arcila - Jardines Del Eden</t>
        </is>
      </c>
      <c r="F46" s="3" t="inlineStr">
        <is>
          <t>Pijiao, Quindío, Colombia</t>
        </is>
      </c>
      <c r="G46" s="5" t="inlineStr">
        <is>
          <t>Sudan Rume (Yellow)</t>
        </is>
      </c>
      <c r="H46" s="6" t="inlineStr">
        <is>
          <t>Extended Fermentation Natural (EF2)</t>
        </is>
      </c>
      <c r="I46" s="3" t="inlineStr">
        <is>
          <t>Filter Roast</t>
        </is>
      </c>
      <c r="J46" s="3" t="inlineStr">
        <is>
          <t>April Brewer (Flat-Bottom)</t>
        </is>
      </c>
      <c r="K46" s="3" t="inlineStr">
        <is>
          <t>15</t>
        </is>
      </c>
      <c r="L46" s="3" t="inlineStr">
        <is>
          <t>240</t>
        </is>
      </c>
      <c r="M46" s="3" t="inlineStr">
        <is>
          <t>1:16</t>
        </is>
      </c>
      <c r="N46" s="3" t="inlineStr">
        <is>
          <t>90</t>
        </is>
      </c>
      <c r="O46" s="3" t="inlineStr">
        <is>
          <t>110g (first pour) → 240g (second pour)</t>
        </is>
      </c>
      <c r="P46" s="3" t="inlineStr">
        <is>
          <t>Option-O Lagom P64</t>
        </is>
      </c>
      <c r="Q46" s="7" t="inlineStr">
        <is>
          <t>14</t>
        </is>
      </c>
      <c r="R46" s="3" t="inlineStr">
        <is>
          <t>Lemongrass, Vanilla, Red Fruits, Brown Sugar</t>
        </is>
      </c>
      <c r="S46" s="8" t="inlineStr">
        <is>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is>
      </c>
      <c r="T46" s="3" t="inlineStr">
        <is>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is>
      </c>
      <c r="U46" s="3" t="inlineStr">
        <is>
          <t>Solo visit — 28 Jun 2026, 11:06AM. Second stop of dual-session day (Entry #37 Keryi Coffee mosto fermentation same morning). Receipt SGD 14.00 confirmed.</t>
        </is>
      </c>
      <c r="V46" s="3" t="inlineStr">
        <is>
          <t>Field audit (Claude) — bean card + receipt + hardware photos</t>
        </is>
      </c>
      <c r="W46" s="114" t="inlineStr"/>
    </row>
    <row r="47" ht="70" customHeight="1">
      <c r="A47" s="9" t="inlineStr">
        <is>
          <t>2026-06-30</t>
        </is>
      </c>
      <c r="B47" s="10" t="inlineStr">
        <is>
          <t>Singapore</t>
        </is>
      </c>
      <c r="C47" s="11" t="inlineStr">
        <is>
          <t>2050 Coffee</t>
        </is>
      </c>
      <c r="D47" s="10" t="inlineStr">
        <is>
          <t>Myanmar Arakan Mountain</t>
        </is>
      </c>
      <c r="E47" s="10" t="inlineStr">
        <is>
          <t>Asho Chin Coffee Association</t>
        </is>
      </c>
      <c r="F47" s="10" t="inlineStr">
        <is>
          <t>Magway, Myanmar</t>
        </is>
      </c>
      <c r="G47" s="12" t="inlineStr">
        <is>
          <t>Catimor</t>
        </is>
      </c>
      <c r="H47" s="16" t="inlineStr">
        <is>
          <t>Fully Washed &amp; Honey</t>
        </is>
      </c>
      <c r="I47" s="10" t="inlineStr">
        <is>
          <t>Light Roast</t>
        </is>
      </c>
      <c r="J47" s="10" t="inlineStr">
        <is>
          <t>Automated Tap Dispenser (Filter)</t>
        </is>
      </c>
      <c r="K47" s="10" t="inlineStr">
        <is>
          <t>N/A — batch-dispensed, no per-cup brew event</t>
        </is>
      </c>
      <c r="L47" s="10" t="inlineStr">
        <is>
          <t>N/A — batch-dispensed, no per-cup brew event</t>
        </is>
      </c>
      <c r="M47" s="10" t="inlineStr">
        <is>
          <t>N/A — batch-dispensed, no per-cup brew event</t>
        </is>
      </c>
      <c r="N47" s="10" t="inlineStr">
        <is>
          <t>N/A — batch-dispensed, no per-cup brew event</t>
        </is>
      </c>
      <c r="O47" s="10" t="inlineStr">
        <is>
          <t>Unknown</t>
        </is>
      </c>
      <c r="P47" s="10" t="inlineStr">
        <is>
          <t>N/A — batch-dispensed, no per-cup brew event</t>
        </is>
      </c>
      <c r="Q47" s="14" t="inlineStr">
        <is>
          <t>6</t>
        </is>
      </c>
      <c r="R47" s="10" t="inlineStr">
        <is>
          <t>Yellow Pear, Dried Fruits, Brown Sugar, Almond</t>
        </is>
      </c>
      <c r="S47" s="15" t="inlineStr">
        <is>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is>
      </c>
      <c r="T47" s="10" t="inlineStr">
        <is>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is>
      </c>
      <c r="U47" s="10" t="inlineStr">
        <is>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is>
      </c>
      <c r="V47" s="10" t="inlineStr">
        <is>
          <t>Direct observation + bean card photo</t>
        </is>
      </c>
      <c r="W47" s="114" t="inlineStr"/>
    </row>
    <row r="48" ht="70" customHeight="1">
      <c r="A48" s="2" t="inlineStr">
        <is>
          <t>2026-07-01</t>
        </is>
      </c>
      <c r="B48" s="3" t="inlineStr">
        <is>
          <t>Singapore</t>
        </is>
      </c>
      <c r="C48" s="4" t="inlineStr">
        <is>
          <t>Kyuukei Coffee</t>
        </is>
      </c>
      <c r="D48" s="3" t="inlineStr">
        <is>
          <t>Ethiopia Worka Chelchele</t>
        </is>
      </c>
      <c r="E48" s="3" t="inlineStr">
        <is>
          <t>Kyūkei Coffee (In-house roast) — confirmed via Instagram DM</t>
        </is>
      </c>
      <c r="F48" s="3" t="inlineStr">
        <is>
          <t>Gedeb, Gedeo Zone, Ethiopia</t>
        </is>
      </c>
      <c r="G48" s="5" t="inlineStr">
        <is>
          <t>Dega, Wolisho, Kurume (Landrace Triad)</t>
        </is>
      </c>
      <c r="H48" s="16" t="inlineStr">
        <is>
          <t>Washed</t>
        </is>
      </c>
      <c r="I48" s="3" t="inlineStr">
        <is>
          <t>Light</t>
        </is>
      </c>
      <c r="J48" s="3" t="inlineStr">
        <is>
          <t>Pour-over (Deep27, Flat-Bottom, Immersion-Assist) — confirmed by Kyūkei Coffee via Instagram DM</t>
        </is>
      </c>
      <c r="K48" s="3" t="inlineStr">
        <is>
          <t>16</t>
        </is>
      </c>
      <c r="L48" s="3" t="inlineStr">
        <is>
          <t>240</t>
        </is>
      </c>
      <c r="M48" s="3" t="inlineStr">
        <is>
          <t>1:15</t>
        </is>
      </c>
      <c r="N48" s="3" t="inlineStr">
        <is>
          <t>85 → 95 (ramped)</t>
        </is>
      </c>
      <c r="O48" s="3" t="inlineStr">
        <is>
          <t>30 seconds</t>
        </is>
      </c>
      <c r="P48" s="3" t="inlineStr">
        <is>
          <t>Unknown — Kyūkei DM did not address grinder; tall cylindrical flat-burr unit visible in bar photo, model unconfirmed</t>
        </is>
      </c>
      <c r="Q48" s="7" t="inlineStr">
        <is>
          <t>9.00</t>
        </is>
      </c>
      <c r="R48" s="3" t="inlineStr">
        <is>
          <t>Lemon, Peach, Bergamot, Apricot</t>
        </is>
      </c>
      <c r="S48" s="8" t="inlineStr">
        <is>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is>
      </c>
      <c r="T48" s="3" t="inlineStr">
        <is>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is>
      </c>
      <c r="U48" s="3" t="inlineStr">
        <is>
          <t>Solo visit — Kyūkei Coffee Maxwell lunch audit, 01 Jul 2026, 13:04</t>
        </is>
      </c>
      <c r="V48" s="3" t="inlineStr">
        <is>
          <t>Direct observation + receipt + barista confirmation</t>
        </is>
      </c>
      <c r="W48" s="114" t="inlineStr"/>
    </row>
    <row r="49" ht="70" customHeight="1">
      <c r="A49" s="9" t="inlineStr">
        <is>
          <t>2026-07-03</t>
        </is>
      </c>
      <c r="B49" s="10" t="inlineStr">
        <is>
          <t>Singapore</t>
        </is>
      </c>
      <c r="C49" s="11" t="inlineStr">
        <is>
          <t>Zerah Roasters</t>
        </is>
      </c>
      <c r="D49" s="10" t="inlineStr">
        <is>
          <t>Finca Villarazo — Pink Bourbon</t>
        </is>
      </c>
      <c r="E49" s="10" t="inlineStr">
        <is>
          <t>Finca Villarazo</t>
        </is>
      </c>
      <c r="F49" s="10" t="inlineStr">
        <is>
          <t>Colombia</t>
        </is>
      </c>
      <c r="G49" s="12" t="inlineStr">
        <is>
          <t>Pink Bourbon</t>
        </is>
      </c>
      <c r="H49" s="16" t="inlineStr">
        <is>
          <t>Washed</t>
        </is>
      </c>
      <c r="I49" s="10" t="inlineStr">
        <is>
          <t>Filter Roast</t>
        </is>
      </c>
      <c r="J49" s="10" t="inlineStr">
        <is>
          <t>Pour-over (Orea V4 — Flat-Bottom)</t>
        </is>
      </c>
      <c r="K49" s="10" t="inlineStr">
        <is>
          <t>15</t>
        </is>
      </c>
      <c r="L49" s="10" t="inlineStr">
        <is>
          <t>240</t>
        </is>
      </c>
      <c r="M49" s="10" t="inlineStr">
        <is>
          <t>1:16</t>
        </is>
      </c>
      <c r="N49" s="10" t="inlineStr">
        <is>
          <t>92 (constant)</t>
        </is>
      </c>
      <c r="O49" s="10" t="inlineStr">
        <is>
          <t>50g / 40s (1:3.3 bloom ratio)</t>
        </is>
      </c>
      <c r="P49" s="10" t="inlineStr">
        <is>
          <t>DF83V (83mm Flat Burr)</t>
        </is>
      </c>
      <c r="Q49" s="14" t="inlineStr">
        <is>
          <t>9.00</t>
        </is>
      </c>
      <c r="R49" s="10" t="inlineStr">
        <is>
          <t>Lively and juicy; Pomegranate; Mandarin; Lingering Florals</t>
        </is>
      </c>
      <c r="S49" s="15" t="inlineStr">
        <is>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is>
      </c>
      <c r="T49" s="10" t="inlineStr">
        <is>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is>
      </c>
      <c r="U49" s="10" t="inlineStr">
        <is>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is>
      </c>
      <c r="V49" s="10" t="inlineStr">
        <is>
          <t>Field audit (Claude) — bean card + barista confirmation</t>
        </is>
      </c>
      <c r="W49" s="114" t="inlineStr"/>
    </row>
    <row r="50" ht="70" customHeight="1">
      <c r="A50" s="53" t="inlineStr">
        <is>
          <t>2026-07-05</t>
        </is>
      </c>
      <c r="B50" s="54" t="inlineStr">
        <is>
          <t>Singapore</t>
        </is>
      </c>
      <c r="C50" s="54" t="inlineStr">
        <is>
          <t>Homeground Coffee Roasters</t>
        </is>
      </c>
      <c r="D50" s="54" t="inlineStr">
        <is>
          <t>Colombia Inmaculada Gesha Natural</t>
        </is>
      </c>
      <c r="E50" s="54" t="inlineStr">
        <is>
          <t>Inmaculada Estate</t>
        </is>
      </c>
      <c r="F50" s="54" t="inlineStr">
        <is>
          <t>Valle del Cauca, Colombia</t>
        </is>
      </c>
      <c r="G50" s="54" t="inlineStr">
        <is>
          <t>Gesha</t>
        </is>
      </c>
      <c r="H50" s="55" t="inlineStr">
        <is>
          <t>Natural</t>
        </is>
      </c>
      <c r="I50" s="54" t="inlineStr">
        <is>
          <t>Light</t>
        </is>
      </c>
      <c r="J50" s="54" t="inlineStr">
        <is>
          <t>Origami Dripper (Ceramic — Flat-Bottom Stand)</t>
        </is>
      </c>
      <c r="K50" s="54" t="inlineStr">
        <is>
          <t>15</t>
        </is>
      </c>
      <c r="L50" s="54" t="inlineStr">
        <is>
          <t>247</t>
        </is>
      </c>
      <c r="M50" s="54" t="inlineStr">
        <is>
          <t>1:16.5</t>
        </is>
      </c>
      <c r="N50" s="54" t="inlineStr">
        <is>
          <t>86-90</t>
        </is>
      </c>
      <c r="O50" s="54" t="inlineStr">
        <is>
          <t>Unknown</t>
        </is>
      </c>
      <c r="P50" s="54" t="inlineStr">
        <is>
          <t>Mahlkönig EK43 (98mm Flat Burr)</t>
        </is>
      </c>
      <c r="Q50" s="53" t="inlineStr">
        <is>
          <t>19.00</t>
        </is>
      </c>
      <c r="R50" s="54" t="inlineStr">
        <is>
          <t>Hibiscus, Pomegranate, Stewed Peach, Darjeeling Tea</t>
        </is>
      </c>
      <c r="S50" s="54" t="inlineStr">
        <is>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is>
      </c>
      <c r="T50" s="54" t="inlineStr">
        <is>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is>
      </c>
      <c r="U50" s="54" t="inlineStr">
        <is>
          <t>Father-daughter visit — Homeground Coffee Roasters Bukit Timah Experience Room; 5 Jul 2026 10:30 AM</t>
        </is>
      </c>
      <c r="V50" s="54" t="inlineStr">
        <is>
          <t>Field audit (Claude) — bean card + barista confirmed + direct observation</t>
        </is>
      </c>
      <c r="W50" s="115" t="inlineStr">
        <is>
          <t>⭐ GESHA</t>
        </is>
      </c>
    </row>
    <row r="51" ht="70" customHeight="1">
      <c r="A51" s="20" t="inlineStr">
        <is>
          <t>2026-07-05</t>
        </is>
      </c>
      <c r="B51" s="21" t="inlineStr">
        <is>
          <t>Singapore</t>
        </is>
      </c>
      <c r="C51" s="22" t="inlineStr">
        <is>
          <t>Homeground Coffee Roasters</t>
        </is>
      </c>
      <c r="D51" s="21" t="inlineStr">
        <is>
          <t>Bolivia Los Rodriguez Caturra Washed</t>
        </is>
      </c>
      <c r="E51" s="21" t="inlineStr">
        <is>
          <t>Los Rodriguez</t>
        </is>
      </c>
      <c r="F51" s="21" t="inlineStr">
        <is>
          <t>Samaipata, Bolivia</t>
        </is>
      </c>
      <c r="G51" s="23" t="inlineStr">
        <is>
          <t>Caturra</t>
        </is>
      </c>
      <c r="H51" s="24" t="inlineStr">
        <is>
          <t>Washed</t>
        </is>
      </c>
      <c r="I51" s="21" t="inlineStr">
        <is>
          <t>Light</t>
        </is>
      </c>
      <c r="J51" s="21" t="inlineStr">
        <is>
          <t>Origami Dripper (Ceramic — Flat-Bottom Stand)</t>
        </is>
      </c>
      <c r="K51" s="21" t="inlineStr">
        <is>
          <t>15</t>
        </is>
      </c>
      <c r="L51" s="21" t="inlineStr">
        <is>
          <t>244</t>
        </is>
      </c>
      <c r="M51" s="21" t="inlineStr">
        <is>
          <t>1:16.2</t>
        </is>
      </c>
      <c r="N51" s="21" t="inlineStr">
        <is>
          <t>90-93</t>
        </is>
      </c>
      <c r="O51" s="21" t="inlineStr">
        <is>
          <t>Unknown</t>
        </is>
      </c>
      <c r="P51" s="21" t="inlineStr">
        <is>
          <t>Mahlkönig EK43 (98mm Flat Burr)</t>
        </is>
      </c>
      <c r="Q51" s="25" t="inlineStr">
        <is>
          <t>10.00</t>
        </is>
      </c>
      <c r="R51" s="21" t="inlineStr">
        <is>
          <t>Apricot, Apple, Honey</t>
        </is>
      </c>
      <c r="S51" s="26" t="inlineStr">
        <is>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is>
      </c>
      <c r="T51" s="21" t="inlineStr">
        <is>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is>
      </c>
      <c r="U51" s="21" t="inlineStr">
        <is>
          <t>Father-daughter visit — Homeground Coffee Roasters Bukit Timah Experience Room; 5 Jul 2026 10:30 AM; Aanya's cup</t>
        </is>
      </c>
      <c r="V51" s="21" t="inlineStr">
        <is>
          <t>Field audit (Claude) — bean card confirmed + direct observation</t>
        </is>
      </c>
      <c r="W51" s="114" t="inlineStr"/>
    </row>
    <row r="52" ht="70" customHeight="1">
      <c r="A52" s="56" t="inlineStr">
        <is>
          <t>2026-07-05</t>
        </is>
      </c>
      <c r="B52" s="56" t="inlineStr">
        <is>
          <t>Singapore</t>
        </is>
      </c>
      <c r="C52" s="56" t="inlineStr">
        <is>
          <t>Cowpresso Coffee Roasters</t>
        </is>
      </c>
      <c r="D52" s="56" t="inlineStr">
        <is>
          <t>Geisha Colombia Las Nubes</t>
        </is>
      </c>
      <c r="E52" s="56" t="inlineStr">
        <is>
          <t>Unknown</t>
        </is>
      </c>
      <c r="F52" s="56" t="inlineStr">
        <is>
          <t>Valle de Cauca, Colombia</t>
        </is>
      </c>
      <c r="G52" s="56" t="inlineStr">
        <is>
          <t>Geisha</t>
        </is>
      </c>
      <c r="H52" s="56" t="inlineStr">
        <is>
          <t>Natural</t>
        </is>
      </c>
      <c r="I52" s="56" t="inlineStr">
        <is>
          <t>Medium</t>
        </is>
      </c>
      <c r="J52" s="56" t="inlineStr">
        <is>
          <t>Pour-over (Cowpresso Custom 3-Hole Ceramic Dripper — Conical)</t>
        </is>
      </c>
      <c r="K52" s="56" t="inlineStr">
        <is>
          <t>15</t>
        </is>
      </c>
      <c r="L52" s="56" t="inlineStr">
        <is>
          <t>225</t>
        </is>
      </c>
      <c r="M52" s="56" t="inlineStr">
        <is>
          <t>1:15</t>
        </is>
      </c>
      <c r="N52" s="56" t="inlineStr">
        <is>
          <t>92</t>
        </is>
      </c>
      <c r="O52" s="56" t="inlineStr">
        <is>
          <t>Unknown</t>
        </is>
      </c>
      <c r="P52" s="56" t="inlineStr">
        <is>
          <t>DF83 (83mm Flat Burr) — barista confirmed</t>
        </is>
      </c>
      <c r="Q52" s="56" t="inlineStr">
        <is>
          <t>9.90</t>
        </is>
      </c>
      <c r="R52" s="56" t="inlineStr">
        <is>
          <t>Lychee, Strawberry, Blueberry, Floral, Lemons</t>
        </is>
      </c>
      <c r="S52" s="56" t="inlineStr">
        <is>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is>
      </c>
      <c r="T52" s="56" t="inlineStr">
        <is>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is>
      </c>
      <c r="U52" s="56" t="inlineStr">
        <is>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is>
      </c>
      <c r="V52" s="56" t="inlineStr">
        <is>
          <t>Direct observation + bean bag photo + receipt + barista confirmation (Aung)</t>
        </is>
      </c>
      <c r="W52" s="115" t="inlineStr">
        <is>
          <t>⭐ GESHA</t>
        </is>
      </c>
    </row>
    <row r="53" ht="70" customHeight="1">
      <c r="A53" s="46" t="inlineStr">
        <is>
          <t>2026-07-06</t>
        </is>
      </c>
      <c r="B53" s="46" t="inlineStr">
        <is>
          <t>Singapore</t>
        </is>
      </c>
      <c r="C53" s="46" t="inlineStr">
        <is>
          <t>Fluid Collective</t>
        </is>
      </c>
      <c r="D53" s="46" t="inlineStr">
        <is>
          <t>Alo Coffee — Natural Anaerobic Ethiopia 74158</t>
        </is>
      </c>
      <c r="E53" s="46" t="inlineStr">
        <is>
          <t>Tamiru Tadesse</t>
        </is>
      </c>
      <c r="F53" s="46" t="inlineStr">
        <is>
          <t>Ethiopia</t>
        </is>
      </c>
      <c r="G53" s="46" t="inlineStr">
        <is>
          <t>74158</t>
        </is>
      </c>
      <c r="H53" s="46" t="inlineStr">
        <is>
          <t>Natural Anaerobic</t>
        </is>
      </c>
      <c r="I53" s="46" t="inlineStr">
        <is>
          <t>Light</t>
        </is>
      </c>
      <c r="J53" s="46" t="inlineStr">
        <is>
          <t>Hario Switch (Flat-Bottom Immersion Hybrid)</t>
        </is>
      </c>
      <c r="K53" s="46" t="inlineStr">
        <is>
          <t>15</t>
        </is>
      </c>
      <c r="L53" s="46" t="inlineStr">
        <is>
          <t>225</t>
        </is>
      </c>
      <c r="M53" s="46" t="inlineStr">
        <is>
          <t>1:15</t>
        </is>
      </c>
      <c r="N53" s="46" t="inlineStr">
        <is>
          <t>70 → 90 → 70°C (Thermal Oscillation Protocol)</t>
        </is>
      </c>
      <c r="O53" s="46" t="inlineStr">
        <is>
          <t>Unknown</t>
        </is>
      </c>
      <c r="P53" s="46" t="inlineStr">
        <is>
          <t>Lagom P64</t>
        </is>
      </c>
      <c r="Q53" s="46" t="inlineStr">
        <is>
          <t>11.00</t>
        </is>
      </c>
      <c r="R53" s="47" t="inlineStr">
        <is>
          <t>Lychee | Purple Grape | White Peach</t>
        </is>
      </c>
      <c r="S53" s="47" t="inlineStr">
        <is>
          <t>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is>
      </c>
      <c r="T53" s="47" t="inlineStr">
        <is>
          <t>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is>
      </c>
      <c r="U53" s="47" t="inlineStr">
        <is>
          <t>Third visit to Fluid Collective, 6 July 2026, 13:10, lunch. Menu fully rotated — all three filter offerings new. First cup of two ordered today. Experimental mood — chose anaerobic. Barista confirmed: ratio 1:15, temp 70→90→70°C, standard Fluid protocol.</t>
        </is>
      </c>
      <c r="V53" s="46" t="inlineStr">
        <is>
          <t>Live Field Audit — Third Visit</t>
        </is>
      </c>
      <c r="W53" s="114" t="inlineStr"/>
    </row>
    <row r="54" ht="70" customHeight="1">
      <c r="A54" s="48" t="inlineStr">
        <is>
          <t>2026-07-06</t>
        </is>
      </c>
      <c r="B54" s="48" t="inlineStr">
        <is>
          <t>Singapore</t>
        </is>
      </c>
      <c r="C54" s="48" t="inlineStr">
        <is>
          <t>Fluid Collective</t>
        </is>
      </c>
      <c r="D54" s="48" t="inlineStr">
        <is>
          <t>Gara Agena</t>
        </is>
      </c>
      <c r="E54" s="48" t="inlineStr">
        <is>
          <t>Gara Agena Washing Station</t>
        </is>
      </c>
      <c r="F54" s="48" t="inlineStr">
        <is>
          <t>Ethiopia</t>
        </is>
      </c>
      <c r="G54" s="48" t="inlineStr">
        <is>
          <t>Heirloom Ethiopian Varieties</t>
        </is>
      </c>
      <c r="H54" s="48" t="inlineStr">
        <is>
          <t>Washed Special Prep</t>
        </is>
      </c>
      <c r="I54" s="48" t="inlineStr">
        <is>
          <t>Light</t>
        </is>
      </c>
      <c r="J54" s="48" t="inlineStr">
        <is>
          <t>Hario Switch (Flat-Bottom Immersion Hybrid)</t>
        </is>
      </c>
      <c r="K54" s="48" t="inlineStr">
        <is>
          <t>15</t>
        </is>
      </c>
      <c r="L54" s="48" t="inlineStr">
        <is>
          <t>225</t>
        </is>
      </c>
      <c r="M54" s="48" t="inlineStr">
        <is>
          <t>1:15</t>
        </is>
      </c>
      <c r="N54" s="48" t="inlineStr">
        <is>
          <t>70 → 90 → 70°C (Thermal Oscillation Protocol)</t>
        </is>
      </c>
      <c r="O54" s="48" t="inlineStr">
        <is>
          <t>Unknown</t>
        </is>
      </c>
      <c r="P54" s="48" t="inlineStr">
        <is>
          <t>Lagom P64</t>
        </is>
      </c>
      <c r="Q54" s="48" t="inlineStr">
        <is>
          <t>9.00</t>
        </is>
      </c>
      <c r="R54" s="49" t="inlineStr">
        <is>
          <t>Nectarine | Mandarin Orange | Floral Honey</t>
        </is>
      </c>
      <c r="S54" s="49" t="inlineStr">
        <is>
          <t>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is>
      </c>
      <c r="T54" s="49" t="inlineStr">
        <is>
          <t>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is>
      </c>
      <c r="U54" s="49" t="inlineStr">
        <is>
          <t>Second cup of two at Fluid Collective third visit, 6 July 2026. Followed Alo Coffee Natural Anaerobic — deliberate contrast pairing. Gara Agena placed top of personal preference list by Hari. SGD 9 — outstanding value for Special Prep Ethiopian heirloom.</t>
        </is>
      </c>
      <c r="V54" s="48" t="inlineStr">
        <is>
          <t>Live Field Audit — Third Visit</t>
        </is>
      </c>
      <c r="W54" s="114" t="inlineStr"/>
    </row>
    <row r="55" ht="70" customHeight="1">
      <c r="A55" s="56" t="inlineStr">
        <is>
          <t>2026-07-07</t>
        </is>
      </c>
      <c r="B55" s="56" t="inlineStr">
        <is>
          <t>Singapore</t>
        </is>
      </c>
      <c r="C55" s="56" t="inlineStr">
        <is>
          <t>Pinhole Coffee Bar</t>
        </is>
      </c>
      <c r="D55" s="56" t="inlineStr">
        <is>
          <t>Santa Barbara #1 — Gesha Honey Colombia</t>
        </is>
      </c>
      <c r="E55" s="56" t="inlineStr">
        <is>
          <t>Jhon Samboni — Santa Barbara #1</t>
        </is>
      </c>
      <c r="F55" s="56" t="inlineStr">
        <is>
          <t>Colombia — Huila</t>
        </is>
      </c>
      <c r="G55" s="56" t="inlineStr">
        <is>
          <t>Gesha</t>
        </is>
      </c>
      <c r="H55" s="56" t="inlineStr">
        <is>
          <t>Honey</t>
        </is>
      </c>
      <c r="I55" s="56" t="inlineStr">
        <is>
          <t>Light</t>
        </is>
      </c>
      <c r="J55" s="56" t="inlineStr">
        <is>
          <t>Hario V60 Ceramic (Conical — Single Aperture)</t>
        </is>
      </c>
      <c r="K55" s="56" t="inlineStr">
        <is>
          <t>13.5</t>
        </is>
      </c>
      <c r="L55" s="56" t="inlineStr">
        <is>
          <t>200</t>
        </is>
      </c>
      <c r="M55" s="56" t="inlineStr">
        <is>
          <t>1:14.8</t>
        </is>
      </c>
      <c r="N55" s="56" t="inlineStr">
        <is>
          <t>92°C (Constant)</t>
        </is>
      </c>
      <c r="O55" s="56" t="inlineStr">
        <is>
          <t>52g (3.85× dose)</t>
        </is>
      </c>
      <c r="P55" s="56" t="inlineStr">
        <is>
          <t>Mahlkönig EK43 Mini (64mm Flat Burr)</t>
        </is>
      </c>
      <c r="Q55" s="56" t="inlineStr">
        <is>
          <t>15.00</t>
        </is>
      </c>
      <c r="R55" s="56" t="inlineStr">
        <is>
          <t>White Florals, Berry Candy, Tangerines</t>
        </is>
      </c>
      <c r="S55" s="56" t="inlineStr">
        <is>
          <t>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is>
      </c>
      <c r="T55" s="56" t="inlineStr">
        <is>
          <t>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is>
      </c>
      <c r="U55" s="56" t="inlineStr">
        <is>
          <t>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is>
      </c>
      <c r="V55" s="56" t="inlineStr">
        <is>
          <t>Live Field Audit — Café Debut + Bean Card (Slurp Coffee Project) + Barista Confirmation (dose/temp/pour protocol)</t>
        </is>
      </c>
      <c r="W55" s="115" t="inlineStr">
        <is>
          <t>⭐ GESHA</t>
        </is>
      </c>
    </row>
    <row r="56">
      <c r="A56" s="197" t="inlineStr">
        <is>
          <t>2026-07-08</t>
        </is>
      </c>
      <c r="B56" s="197" t="inlineStr">
        <is>
          <t>Singapore</t>
        </is>
      </c>
      <c r="C56" s="197" t="inlineStr">
        <is>
          <t>Double Shot Coffee</t>
        </is>
      </c>
      <c r="D56" s="197" t="inlineStr">
        <is>
          <t>Kotowa Carolina Gesha</t>
        </is>
      </c>
      <c r="E56" s="197" t="inlineStr">
        <is>
          <t>Kotowa Estate — Carolina Lot</t>
        </is>
      </c>
      <c r="F56" s="197" t="inlineStr">
        <is>
          <t>Boquete, Chiriquí, Panama</t>
        </is>
      </c>
      <c r="G56" s="197" t="inlineStr">
        <is>
          <t>Gesha</t>
        </is>
      </c>
      <c r="H56" s="197" t="inlineStr">
        <is>
          <t>Natural</t>
        </is>
      </c>
      <c r="I56" s="197" t="inlineStr">
        <is>
          <t>Unknown</t>
        </is>
      </c>
      <c r="J56" s="197" t="inlineStr">
        <is>
          <t>OREA V4 (Flat-Bottom)</t>
        </is>
      </c>
      <c r="K56" s="197" t="n">
        <v>13.5</v>
      </c>
      <c r="L56" s="197" t="n">
        <v>180</v>
      </c>
      <c r="M56" s="197" t="inlineStr">
        <is>
          <t>1:13.3</t>
        </is>
      </c>
      <c r="N56" s="197" t="inlineStr">
        <is>
          <t>92°C</t>
        </is>
      </c>
      <c r="O56" s="197" t="inlineStr">
        <is>
          <t>50g bloom (4-pour: 50/50/50/30g)</t>
        </is>
      </c>
      <c r="P56" s="197" t="inlineStr">
        <is>
          <t>Ditting 63.5mm Flat Burr</t>
        </is>
      </c>
      <c r="Q56" s="197" t="n">
        <v>16</v>
      </c>
      <c r="R56" s="197" t="inlineStr">
        <is>
          <t>White Floral · Peach · White Grape</t>
        </is>
      </c>
      <c r="S56" s="197" t="inlineStr">
        <is>
          <t>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is>
      </c>
      <c r="T56" s="197" t="inlineStr">
        <is>
          <t>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is>
      </c>
      <c r="U56" s="197" t="inlineStr">
        <is>
          <t>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is>
      </c>
      <c r="V56" s="197" t="inlineStr">
        <is>
          <t>Live Field Audit — Menu photo + barista interview + direct observation (Ditting grinder confirmed, OREA V4 confirmed)</t>
        </is>
      </c>
      <c r="W56" s="198" t="inlineStr">
        <is>
          <t>⭐ GESHA</t>
        </is>
      </c>
    </row>
    <row r="57">
      <c r="A57" s="199" t="inlineStr">
        <is>
          <t>2026-07-08</t>
        </is>
      </c>
      <c r="B57" s="199" t="inlineStr">
        <is>
          <t>Singapore</t>
        </is>
      </c>
      <c r="C57" s="199" t="inlineStr">
        <is>
          <t>Nylon Coffee Roasters</t>
        </is>
      </c>
      <c r="D57" s="199" t="inlineStr">
        <is>
          <t>La Flor de la Palma</t>
        </is>
      </c>
      <c r="E57" s="199" t="inlineStr">
        <is>
          <t>William Manchay Espinoza</t>
        </is>
      </c>
      <c r="F57" s="199" t="inlineStr">
        <is>
          <t>Peru</t>
        </is>
      </c>
      <c r="G57" s="199" t="inlineStr">
        <is>
          <t>Bourbon</t>
        </is>
      </c>
      <c r="H57" s="199" t="inlineStr">
        <is>
          <t>Natural</t>
        </is>
      </c>
      <c r="I57" s="199" t="inlineStr">
        <is>
          <t>Filter Roast</t>
        </is>
      </c>
      <c r="J57" s="199" t="inlineStr">
        <is>
          <t>xBloom (Flat-Bottom)</t>
        </is>
      </c>
      <c r="K57" s="199" t="inlineStr">
        <is>
          <t>Unknown</t>
        </is>
      </c>
      <c r="L57" s="199" t="inlineStr">
        <is>
          <t>Unknown</t>
        </is>
      </c>
      <c r="M57" s="199" t="inlineStr">
        <is>
          <t>1:17</t>
        </is>
      </c>
      <c r="N57" s="199" t="inlineStr">
        <is>
          <t>93</t>
        </is>
      </c>
      <c r="O57" s="199" t="inlineStr">
        <is>
          <t>Unknown</t>
        </is>
      </c>
      <c r="P57" s="199" t="inlineStr">
        <is>
          <t>Mahlkönig EK Omnia (98mm Flat Burr)</t>
        </is>
      </c>
      <c r="Q57" s="199" t="inlineStr">
        <is>
          <t>8.50</t>
        </is>
      </c>
      <c r="R57" s="199" t="inlineStr">
        <is>
          <t>Dried Berry; Cherry; Rum &amp; Raisin; Rose</t>
        </is>
      </c>
      <c r="S57" s="199" t="inlineStr">
        <is>
          <t>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is>
      </c>
      <c r="T57" s="199" t="inlineStr">
        <is>
          <t>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is>
      </c>
      <c r="U57" s="199" t="inlineStr">
        <is>
          <t>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is>
      </c>
      <c r="V57" s="199" t="inlineStr">
        <is>
          <t>Direct observation + bag photo (name/notes reference only) + barista confirmation (roast date 26 Jun 2026)</t>
        </is>
      </c>
      <c r="W57" s="199" t="n"/>
    </row>
  </sheetData>
  <conditionalFormatting sqref="Q2:Q55">
    <cfRule type="colorScale" priority="1">
      <colorScale>
        <cfvo type="min"/>
        <cfvo type="percentile" val="50"/>
        <cfvo type="max"/>
        <color rgb="002D8B4A"/>
        <color rgb="00D4A017"/>
        <color rgb="008B1A0A"/>
      </colorScale>
    </cfRule>
  </conditionalFormatting>
  <conditionalFormatting sqref="A2:W55">
    <cfRule type="expression" priority="2" dxfId="0" stopIfTrue="0">
      <formula>=$W2="⭐ GESHA"</formula>
    </cfRule>
  </conditionalFormatting>
  <conditionalFormatting sqref="H2:H55">
    <cfRule type="expression" priority="3" dxfId="1" stopIfTrue="0">
      <formula>=$H2="Washed"</formula>
    </cfRule>
    <cfRule type="expression" priority="4" dxfId="2" stopIfTrue="0">
      <formula>=$H2="Natural"</formula>
    </cfRule>
    <cfRule type="expression" priority="5" dxfId="3" stopIfTrue="0">
      <formula>=$H2="Honey"</formula>
    </cfRule>
    <cfRule type="expression" priority="6" dxfId="4" stopIfTrue="0">
      <formula>=$H2="Anaerobic Natural"</formula>
    </cfRule>
    <cfRule type="expression" priority="7" dxfId="5" stopIfTrue="0">
      <formula>=$H2="Experimental"</formula>
    </cfRule>
  </conditionalFormatting>
  <conditionalFormatting sqref="K2:K55">
    <cfRule type="dataBar" priority="8">
      <dataBar>
        <cfvo type="min"/>
        <cfvo type="max"/>
        <color rgb="00C4780A"/>
      </dataBar>
    </cfRule>
  </conditionalFormatting>
  <pageMargins left="0.75" right="0.75" top="1" bottom="1" header="0.5" footer="0.5"/>
</worksheet>
</file>

<file path=xl/worksheets/sheet2.xml><?xml version="1.0" encoding="utf-8"?>
<worksheet xmlns="http://schemas.openxmlformats.org/spreadsheetml/2006/main">
  <sheetPr>
    <tabColor rgb="00C8780A"/>
    <outlinePr summaryBelow="1" summaryRight="1"/>
    <pageSetUpPr/>
  </sheetPr>
  <dimension ref="B1:J31"/>
  <sheetViews>
    <sheetView showGridLines="0" workbookViewId="0">
      <selection activeCell="A1" sqref="A1"/>
    </sheetView>
  </sheetViews>
  <sheetFormatPr baseColWidth="8" defaultRowHeight="15"/>
  <cols>
    <col width="2" customWidth="1" min="1" max="1"/>
    <col width="14" customWidth="1" min="2" max="2"/>
    <col width="6" customWidth="1" min="3" max="3"/>
    <col width="8" customWidth="1" min="4" max="4"/>
    <col width="14" customWidth="1" min="5" max="5"/>
    <col width="6" customWidth="1" min="6" max="6"/>
    <col width="20" customWidth="1" min="7" max="7"/>
    <col width="7" customWidth="1" min="8" max="8"/>
    <col width="9" customWidth="1" min="9" max="9"/>
    <col width="12" customWidth="1" min="10" max="10"/>
    <col width="2" customWidth="1" min="11" max="11"/>
  </cols>
  <sheetData>
    <row r="1" ht="38" customHeight="1">
      <c r="B1" s="116" t="inlineStr">
        <is>
          <t>☕  HARI'S MASTER COFFEE AUDIT ARCHIVE</t>
        </is>
      </c>
    </row>
    <row r="2" ht="16" customHeight="1">
      <c r="B2" s="117" t="inlineStr">
        <is>
          <t>Singapore &amp; Beyond  ·  Jan → Jul 2026  ·  54 Entries  ·  31 Cafés  ·  17 Origins</t>
        </is>
      </c>
    </row>
    <row r="3" ht="8" customHeight="1"/>
    <row r="4" ht="22" customHeight="1">
      <c r="B4" s="118" t="inlineStr">
        <is>
          <t>54</t>
        </is>
      </c>
      <c r="C4" s="119" t="inlineStr">
        <is>
          <t>31</t>
        </is>
      </c>
      <c r="D4" s="120" t="inlineStr">
        <is>
          <t>10</t>
        </is>
      </c>
      <c r="E4" s="121" t="inlineStr">
        <is>
          <t>17</t>
        </is>
      </c>
      <c r="F4" s="122" t="inlineStr">
        <is>
          <t>SGD
10.77</t>
        </is>
      </c>
      <c r="G4" s="123" t="inlineStr">
        <is>
          <t>41%</t>
        </is>
      </c>
      <c r="H4" s="124" t="inlineStr">
        <is>
          <t>1:15.2</t>
        </is>
      </c>
      <c r="I4" s="125" t="inlineStr">
        <is>
          <t>4</t>
        </is>
      </c>
    </row>
    <row r="5" ht="18" customHeight="1">
      <c r="B5" s="126" t="inlineStr">
        <is>
          <t>TOTAL
ENTRIES</t>
        </is>
      </c>
      <c r="C5" s="127" t="inlineStr">
        <is>
          <t>UNIQUE
CAFÉS</t>
        </is>
      </c>
      <c r="D5" s="128" t="inlineStr">
        <is>
          <t>⭐ GESHA
CUPS</t>
        </is>
      </c>
      <c r="E5" s="129" t="inlineStr">
        <is>
          <t>ORIGIN
COUNTRIES</t>
        </is>
      </c>
      <c r="F5" s="127" t="inlineStr">
        <is>
          <t>AVG PRICE</t>
        </is>
      </c>
      <c r="G5" s="130" t="inlineStr">
        <is>
          <t>WASHED
DOMINANCE</t>
        </is>
      </c>
      <c r="H5" s="127" t="inlineStr">
        <is>
          <t>AVG
RATIO</t>
        </is>
      </c>
      <c r="I5" s="127" t="inlineStr">
        <is>
          <t>CITIES
VISITED</t>
        </is>
      </c>
    </row>
    <row r="7" ht="8" customHeight="1"/>
    <row r="8" ht="22" customHeight="1">
      <c r="B8" s="131" t="inlineStr">
        <is>
          <t>⭐  GESHA / GEISHA HALL OF FAME  — The Apex Varietal</t>
        </is>
      </c>
      <c r="C8" s="185" t="n"/>
      <c r="D8" s="185" t="n"/>
      <c r="E8" s="186" t="n"/>
      <c r="G8" s="132" t="inlineStr">
        <is>
          <t>🏆  TOP CAFÉS BY ENTRIES</t>
        </is>
      </c>
      <c r="H8" s="187" t="n"/>
      <c r="I8" s="187" t="n"/>
      <c r="J8" s="188" t="n"/>
    </row>
    <row r="9" ht="40" customHeight="1">
      <c r="B9" s="133" t="inlineStr">
        <is>
          <t>19% of all cups ordered are Gesha or Geisha — the archive's defining obsession. Colombia Gesha trilogy complete: Washed (Fluid), Honey (Keryi + Pinhole), Natural (Homeground + Cowpresso). Average Gesha price: SGD 13.94 — a +44% premium over the non-Gesha average of SGD 9.67.</t>
        </is>
      </c>
      <c r="C9" s="189" t="n"/>
      <c r="D9" s="189" t="n"/>
      <c r="E9" s="190" t="n"/>
      <c r="G9" s="134" t="inlineStr">
        <is>
          <t>31 unique cafés across Singapore, Ubud Bali, Mumbai and Johor Bahru. Fluid Collective leads with multiple visits — home of the Cup of the Year (El Obraje Washed Gesha).</t>
        </is>
      </c>
      <c r="H9" s="189" t="n"/>
      <c r="I9" s="189" t="n"/>
      <c r="J9" s="190" t="n"/>
    </row>
    <row r="10" ht="16" customHeight="1">
      <c r="B10" s="135" t="inlineStr">
        <is>
          <t>#</t>
        </is>
      </c>
      <c r="C10" s="135" t="inlineStr">
        <is>
          <t>Café</t>
        </is>
      </c>
      <c r="D10" s="135" t="inlineStr">
        <is>
          <t>Origin</t>
        </is>
      </c>
      <c r="E10" s="135" t="inlineStr">
        <is>
          <t>Process</t>
        </is>
      </c>
      <c r="F10" s="135" t="inlineStr">
        <is>
          <t>SGD</t>
        </is>
      </c>
      <c r="G10" s="136" t="inlineStr">
        <is>
          <t>Café</t>
        </is>
      </c>
      <c r="H10" s="136" t="inlineStr">
        <is>
          <t>Visits</t>
        </is>
      </c>
      <c r="I10" s="136" t="inlineStr">
        <is>
          <t>Avg SGD</t>
        </is>
      </c>
      <c r="J10" s="136" t="inlineStr">
        <is>
          <t>City</t>
        </is>
      </c>
    </row>
    <row r="11" ht="15" customHeight="1">
      <c r="B11" s="137" t="n">
        <v>1</v>
      </c>
      <c r="C11" s="138" t="inlineStr">
        <is>
          <t>Asylum Coffeehouse</t>
        </is>
      </c>
      <c r="D11" s="138" t="inlineStr">
        <is>
          <t>Peru</t>
        </is>
      </c>
      <c r="E11" s="138" t="inlineStr">
        <is>
          <t>Washed</t>
        </is>
      </c>
      <c r="F11" s="137" t="inlineStr">
        <is>
          <t>$11.00</t>
        </is>
      </c>
      <c r="G11" s="139" t="inlineStr">
        <is>
          <t>Nylon Coffee Roaster</t>
        </is>
      </c>
      <c r="H11" s="140" t="n">
        <v>5</v>
      </c>
      <c r="I11" s="140" t="inlineStr">
        <is>
          <t>$7.83</t>
        </is>
      </c>
      <c r="J11" s="139" t="inlineStr">
        <is>
          <t>Singapore</t>
        </is>
      </c>
    </row>
    <row r="12" ht="15" customHeight="1">
      <c r="B12" s="141" t="n">
        <v>2</v>
      </c>
      <c r="C12" s="142" t="inlineStr">
        <is>
          <t>Lume Café</t>
        </is>
      </c>
      <c r="D12" s="142" t="inlineStr">
        <is>
          <t>Boquerón</t>
        </is>
      </c>
      <c r="E12" s="142" t="inlineStr">
        <is>
          <t>Honey</t>
        </is>
      </c>
      <c r="F12" s="141" t="inlineStr">
        <is>
          <t>$12.00</t>
        </is>
      </c>
      <c r="G12" s="143" t="inlineStr">
        <is>
          <t>Asylum Coffeehouse</t>
        </is>
      </c>
      <c r="H12" s="144" t="n">
        <v>4</v>
      </c>
      <c r="I12" s="144" t="inlineStr">
        <is>
          <t>$12.50</t>
        </is>
      </c>
      <c r="J12" s="143" t="inlineStr">
        <is>
          <t>Singapore</t>
        </is>
      </c>
    </row>
    <row r="13" ht="15" customHeight="1">
      <c r="B13" s="137" t="n">
        <v>3</v>
      </c>
      <c r="C13" s="138" t="inlineStr">
        <is>
          <t>Asylum Coffeehouse</t>
        </is>
      </c>
      <c r="D13" s="138" t="inlineStr">
        <is>
          <t>Peru</t>
        </is>
      </c>
      <c r="E13" s="138" t="inlineStr">
        <is>
          <t>Washed</t>
        </is>
      </c>
      <c r="F13" s="137" t="inlineStr">
        <is>
          <t>$12.50</t>
        </is>
      </c>
      <c r="G13" s="139" t="inlineStr">
        <is>
          <t>Seniman Coffee Studi</t>
        </is>
      </c>
      <c r="H13" s="140" t="n">
        <v>3</v>
      </c>
      <c r="I13" s="140" t="inlineStr">
        <is>
          <t>—</t>
        </is>
      </c>
      <c r="J13" s="139" t="inlineStr">
        <is>
          <t>Ubud</t>
        </is>
      </c>
    </row>
    <row r="14" ht="15" customHeight="1">
      <c r="B14" s="141" t="n">
        <v>4</v>
      </c>
      <c r="C14" s="142" t="inlineStr">
        <is>
          <t>FLUID</t>
        </is>
      </c>
      <c r="D14" s="142" t="inlineStr">
        <is>
          <t>Colombia</t>
        </is>
      </c>
      <c r="E14" s="142" t="inlineStr">
        <is>
          <t>Washed</t>
        </is>
      </c>
      <c r="F14" s="141" t="inlineStr">
        <is>
          <t>$14.00</t>
        </is>
      </c>
      <c r="G14" s="143" t="inlineStr">
        <is>
          <t>Kyuukei Coffee</t>
        </is>
      </c>
      <c r="H14" s="144" t="n">
        <v>3</v>
      </c>
      <c r="I14" s="144" t="inlineStr">
        <is>
          <t>$8.67</t>
        </is>
      </c>
      <c r="J14" s="143" t="inlineStr">
        <is>
          <t>Singapore</t>
        </is>
      </c>
    </row>
    <row r="15" ht="15" customHeight="1">
      <c r="B15" s="137" t="n">
        <v>5</v>
      </c>
      <c r="C15" s="138" t="inlineStr">
        <is>
          <t>Pocket by Flip (Flip</t>
        </is>
      </c>
      <c r="D15" s="138" t="inlineStr">
        <is>
          <t>Ecuador</t>
        </is>
      </c>
      <c r="E15" s="138" t="inlineStr">
        <is>
          <t>Washed</t>
        </is>
      </c>
      <c r="F15" s="137" t="inlineStr">
        <is>
          <t>$18.00</t>
        </is>
      </c>
      <c r="G15" s="139" t="inlineStr">
        <is>
          <t>Agora Coffee</t>
        </is>
      </c>
      <c r="H15" s="140" t="n">
        <v>3</v>
      </c>
      <c r="I15" s="140" t="inlineStr">
        <is>
          <t>—</t>
        </is>
      </c>
      <c r="J15" s="139" t="inlineStr">
        <is>
          <t>Singapore</t>
        </is>
      </c>
    </row>
    <row r="16" ht="15" customHeight="1">
      <c r="B16" s="141" t="n">
        <v>6</v>
      </c>
      <c r="C16" s="142" t="inlineStr">
        <is>
          <t>Keryi Coffee</t>
        </is>
      </c>
      <c r="D16" s="142" t="inlineStr">
        <is>
          <t>Colombia</t>
        </is>
      </c>
      <c r="E16" s="142" t="inlineStr">
        <is>
          <t>Honey</t>
        </is>
      </c>
      <c r="F16" s="141" t="inlineStr">
        <is>
          <t>$15.00</t>
        </is>
      </c>
      <c r="G16" s="143" t="inlineStr">
        <is>
          <t>Narrative Coffee Sta</t>
        </is>
      </c>
      <c r="H16" s="144" t="n">
        <v>2</v>
      </c>
      <c r="I16" s="144" t="inlineStr">
        <is>
          <t>—</t>
        </is>
      </c>
      <c r="J16" s="143" t="inlineStr">
        <is>
          <t>Singapore</t>
        </is>
      </c>
    </row>
    <row r="17" ht="15" customHeight="1">
      <c r="B17" s="137" t="n">
        <v>7</v>
      </c>
      <c r="C17" s="138" t="inlineStr">
        <is>
          <t>Equate</t>
        </is>
      </c>
      <c r="D17" s="138" t="inlineStr">
        <is>
          <t>Colombia</t>
        </is>
      </c>
      <c r="E17" s="138" t="inlineStr">
        <is>
          <t>Washed</t>
        </is>
      </c>
      <c r="F17" s="137" t="inlineStr">
        <is>
          <t>$13.00</t>
        </is>
      </c>
      <c r="G17" s="139" t="inlineStr">
        <is>
          <t>ASK Coffee Roastery</t>
        </is>
      </c>
      <c r="H17" s="140" t="n">
        <v>2</v>
      </c>
      <c r="I17" s="140" t="inlineStr">
        <is>
          <t>$15.00</t>
        </is>
      </c>
      <c r="J17" s="139" t="inlineStr">
        <is>
          <t>Singapore</t>
        </is>
      </c>
    </row>
    <row r="18" ht="15" customHeight="1">
      <c r="B18" s="141" t="n">
        <v>8</v>
      </c>
      <c r="C18" s="142" t="inlineStr">
        <is>
          <t>Homeground Coffee Ro</t>
        </is>
      </c>
      <c r="D18" s="142" t="inlineStr">
        <is>
          <t>Colombia</t>
        </is>
      </c>
      <c r="E18" s="142" t="inlineStr">
        <is>
          <t>Natural</t>
        </is>
      </c>
      <c r="F18" s="141" t="inlineStr">
        <is>
          <t>$19.00</t>
        </is>
      </c>
      <c r="G18" s="143" t="inlineStr">
        <is>
          <t xml:space="preserve">Tiong Hoe Specialty </t>
        </is>
      </c>
      <c r="H18" s="144" t="n">
        <v>2</v>
      </c>
      <c r="I18" s="144" t="inlineStr">
        <is>
          <t>$6.55</t>
        </is>
      </c>
      <c r="J18" s="143" t="inlineStr">
        <is>
          <t>Singapore</t>
        </is>
      </c>
    </row>
    <row r="19" ht="15" customHeight="1">
      <c r="B19" s="137" t="n">
        <v>9</v>
      </c>
      <c r="C19" s="138" t="inlineStr">
        <is>
          <t>Cowpresso Coffee Roa</t>
        </is>
      </c>
      <c r="D19" s="138" t="inlineStr">
        <is>
          <t>Colombia</t>
        </is>
      </c>
      <c r="E19" s="138" t="inlineStr">
        <is>
          <t>Natural</t>
        </is>
      </c>
      <c r="F19" s="137" t="inlineStr">
        <is>
          <t>$9.90</t>
        </is>
      </c>
      <c r="G19" s="139" t="inlineStr">
        <is>
          <t>Maxi Coffee Bar</t>
        </is>
      </c>
      <c r="H19" s="140" t="n">
        <v>2</v>
      </c>
      <c r="I19" s="140" t="inlineStr">
        <is>
          <t>$9.00</t>
        </is>
      </c>
      <c r="J19" s="139" t="inlineStr">
        <is>
          <t>Singapore</t>
        </is>
      </c>
    </row>
    <row r="20" ht="15" customHeight="1">
      <c r="B20" s="141" t="n">
        <v>10</v>
      </c>
      <c r="C20" s="142" t="inlineStr">
        <is>
          <t>Pinhole Coffee Bar</t>
        </is>
      </c>
      <c r="D20" s="142" t="inlineStr">
        <is>
          <t>Colombia</t>
        </is>
      </c>
      <c r="E20" s="142" t="inlineStr">
        <is>
          <t>Honey</t>
        </is>
      </c>
      <c r="F20" s="141" t="inlineStr">
        <is>
          <t>$15.00</t>
        </is>
      </c>
      <c r="G20" s="143" t="inlineStr">
        <is>
          <t>Kurasu</t>
        </is>
      </c>
      <c r="H20" s="144" t="n">
        <v>2</v>
      </c>
      <c r="I20" s="144" t="inlineStr">
        <is>
          <t>$9.38</t>
        </is>
      </c>
      <c r="J20" s="143" t="inlineStr">
        <is>
          <t>Singapore</t>
        </is>
      </c>
    </row>
    <row r="21" ht="8" customHeight="1"/>
    <row r="22" ht="22" customHeight="1">
      <c r="B22" s="132" t="inlineStr">
        <is>
          <t>🍯  PALATE PROCESS FINGERPRINT</t>
        </is>
      </c>
      <c r="C22" s="187" t="n"/>
      <c r="D22" s="187" t="n"/>
      <c r="E22" s="188" t="n"/>
      <c r="G22" s="145" t="inlineStr">
        <is>
          <t>🌍  ORIGIN SNAPSHOT — Top 8</t>
        </is>
      </c>
      <c r="H22" s="191" t="n"/>
      <c r="I22" s="191" t="n"/>
      <c r="J22" s="192" t="n"/>
    </row>
    <row r="23" ht="16" customHeight="1">
      <c r="B23" s="136" t="inlineStr">
        <is>
          <t>Process</t>
        </is>
      </c>
      <c r="C23" s="136" t="inlineStr">
        <is>
          <t>Count</t>
        </is>
      </c>
      <c r="D23" s="136" t="inlineStr">
        <is>
          <t>% Archive</t>
        </is>
      </c>
      <c r="E23" s="136" t="inlineStr">
        <is>
          <t>Palate Signal</t>
        </is>
      </c>
      <c r="G23" s="146" t="inlineStr">
        <is>
          <t>Origin</t>
        </is>
      </c>
      <c r="H23" s="146" t="inlineStr">
        <is>
          <t>Entries</t>
        </is>
      </c>
      <c r="I23" s="146" t="inlineStr">
        <is>
          <t>% Archive</t>
        </is>
      </c>
      <c r="J23" s="146" t="inlineStr">
        <is>
          <t>Gesha?</t>
        </is>
      </c>
    </row>
    <row r="24" ht="15" customHeight="1">
      <c r="B24" s="147" t="inlineStr">
        <is>
          <t>Washed</t>
        </is>
      </c>
      <c r="C24" s="148" t="n">
        <v>22</v>
      </c>
      <c r="D24" s="148" t="inlineStr">
        <is>
          <t>41%</t>
        </is>
      </c>
      <c r="E24" s="147" t="inlineStr">
        <is>
          <t>Clean acid clarity — primary preference</t>
        </is>
      </c>
      <c r="G24" s="138" t="inlineStr">
        <is>
          <t>Colombia</t>
        </is>
      </c>
      <c r="H24" s="137" t="n">
        <v>16</v>
      </c>
      <c r="I24" s="137" t="inlineStr">
        <is>
          <t>30%</t>
        </is>
      </c>
      <c r="J24" s="137" t="inlineStr">
        <is>
          <t>⭐ 6</t>
        </is>
      </c>
    </row>
    <row r="25" ht="15" customHeight="1">
      <c r="B25" s="149" t="inlineStr">
        <is>
          <t>Natural</t>
        </is>
      </c>
      <c r="C25" s="150" t="n">
        <v>13</v>
      </c>
      <c r="D25" s="150" t="inlineStr">
        <is>
          <t>24%</t>
        </is>
      </c>
      <c r="E25" s="149" t="inlineStr">
        <is>
          <t>Fruit complexity — secondary pleasure</t>
        </is>
      </c>
      <c r="G25" s="143" t="inlineStr">
        <is>
          <t>Ethiopia</t>
        </is>
      </c>
      <c r="H25" s="144" t="n">
        <v>7</v>
      </c>
      <c r="I25" s="144" t="inlineStr">
        <is>
          <t>13%</t>
        </is>
      </c>
      <c r="J25" s="144" t="inlineStr">
        <is>
          <t>—</t>
        </is>
      </c>
    </row>
    <row r="26" ht="15" customHeight="1">
      <c r="B26" s="142" t="inlineStr">
        <is>
          <t>Anaerobic Natural</t>
        </is>
      </c>
      <c r="C26" s="141" t="n">
        <v>5</v>
      </c>
      <c r="D26" s="141" t="inlineStr">
        <is>
          <t>9%</t>
        </is>
      </c>
      <c r="E26" s="142" t="inlineStr">
        <is>
          <t>Controlled funk — experimental</t>
        </is>
      </c>
      <c r="G26" s="139" t="inlineStr">
        <is>
          <t>Brazil</t>
        </is>
      </c>
      <c r="H26" s="140" t="n">
        <v>5</v>
      </c>
      <c r="I26" s="140" t="inlineStr">
        <is>
          <t>9%</t>
        </is>
      </c>
      <c r="J26" s="140" t="inlineStr">
        <is>
          <t>—</t>
        </is>
      </c>
    </row>
    <row r="27" ht="15" customHeight="1">
      <c r="B27" s="149" t="inlineStr">
        <is>
          <t>Honey</t>
        </is>
      </c>
      <c r="C27" s="150" t="n">
        <v>5</v>
      </c>
      <c r="D27" s="150" t="inlineStr">
        <is>
          <t>9%</t>
        </is>
      </c>
      <c r="E27" s="149" t="inlineStr">
        <is>
          <t>Mucilage sweetness — bridge process</t>
        </is>
      </c>
      <c r="G27" s="143" t="inlineStr">
        <is>
          <t>Indonesia</t>
        </is>
      </c>
      <c r="H27" s="144" t="n">
        <v>4</v>
      </c>
      <c r="I27" s="144" t="inlineStr">
        <is>
          <t>7%</t>
        </is>
      </c>
      <c r="J27" s="144" t="inlineStr">
        <is>
          <t>—</t>
        </is>
      </c>
    </row>
    <row r="28" ht="15" customHeight="1">
      <c r="B28" s="139" t="inlineStr">
        <is>
          <t>Experimental Ferment</t>
        </is>
      </c>
      <c r="C28" s="140" t="n">
        <v>3</v>
      </c>
      <c r="D28" s="140" t="inlineStr">
        <is>
          <t>6%</t>
        </is>
      </c>
      <c r="E28" s="139" t="inlineStr">
        <is>
          <t>Edge cases &amp; frontiers</t>
        </is>
      </c>
      <c r="G28" s="139" t="inlineStr">
        <is>
          <t>Honduras</t>
        </is>
      </c>
      <c r="H28" s="140" t="n">
        <v>3</v>
      </c>
      <c r="I28" s="140" t="inlineStr">
        <is>
          <t>6%</t>
        </is>
      </c>
      <c r="J28" s="140" t="inlineStr">
        <is>
          <t>—</t>
        </is>
      </c>
    </row>
    <row r="29" ht="15" customHeight="1">
      <c r="B29" s="139" t="inlineStr">
        <is>
          <t>Wet-Hulled</t>
        </is>
      </c>
      <c r="C29" s="140" t="n">
        <v>1</v>
      </c>
      <c r="D29" s="140" t="inlineStr">
        <is>
          <t>2%</t>
        </is>
      </c>
      <c r="E29" s="139" t="inlineStr">
        <is>
          <t>—</t>
        </is>
      </c>
      <c r="G29" s="143" t="inlineStr">
        <is>
          <t>Kenya</t>
        </is>
      </c>
      <c r="H29" s="144" t="n">
        <v>2</v>
      </c>
      <c r="I29" s="144" t="inlineStr">
        <is>
          <t>4%</t>
        </is>
      </c>
      <c r="J29" s="144" t="inlineStr">
        <is>
          <t>—</t>
        </is>
      </c>
    </row>
    <row r="30" ht="15" customHeight="1">
      <c r="B30" s="142" t="inlineStr">
        <is>
          <t>Anaerobic</t>
        </is>
      </c>
      <c r="C30" s="141" t="n">
        <v>1</v>
      </c>
      <c r="D30" s="141" t="inlineStr">
        <is>
          <t>2%</t>
        </is>
      </c>
      <c r="E30" s="142" t="inlineStr">
        <is>
          <t>—</t>
        </is>
      </c>
      <c r="G30" s="139" t="inlineStr">
        <is>
          <t>India</t>
        </is>
      </c>
      <c r="H30" s="140" t="n">
        <v>2</v>
      </c>
      <c r="I30" s="140" t="inlineStr">
        <is>
          <t>4%</t>
        </is>
      </c>
      <c r="J30" s="140" t="inlineStr">
        <is>
          <t>—</t>
        </is>
      </c>
    </row>
    <row r="31" ht="15" customHeight="1">
      <c r="B31" s="142" t="inlineStr">
        <is>
          <t>Anaerobic Washed</t>
        </is>
      </c>
      <c r="C31" s="141" t="n">
        <v>1</v>
      </c>
      <c r="D31" s="141" t="inlineStr">
        <is>
          <t>2%</t>
        </is>
      </c>
      <c r="E31" s="142" t="inlineStr">
        <is>
          <t>—</t>
        </is>
      </c>
      <c r="G31" s="143" t="inlineStr">
        <is>
          <t>Nicaragua</t>
        </is>
      </c>
      <c r="H31" s="144" t="n">
        <v>2</v>
      </c>
      <c r="I31" s="144" t="inlineStr">
        <is>
          <t>4%</t>
        </is>
      </c>
      <c r="J31" s="144" t="inlineStr">
        <is>
          <t>—</t>
        </is>
      </c>
    </row>
  </sheetData>
  <mergeCells count="8">
    <mergeCell ref="G22:J22"/>
    <mergeCell ref="B9:E9"/>
    <mergeCell ref="G9:J9"/>
    <mergeCell ref="B8:E8"/>
    <mergeCell ref="G8:J8"/>
    <mergeCell ref="B1:J1"/>
    <mergeCell ref="B22:E22"/>
    <mergeCell ref="B2:J2"/>
  </mergeCells>
  <pageMargins left="0.75" right="0.75" top="1" bottom="1" header="0.5" footer="0.5"/>
</worksheet>
</file>

<file path=xl/worksheets/sheet3.xml><?xml version="1.0" encoding="utf-8"?>
<worksheet xmlns="http://schemas.openxmlformats.org/spreadsheetml/2006/main">
  <sheetPr>
    <tabColor rgb="00C8780A"/>
    <outlinePr summaryBelow="1" summaryRight="1"/>
    <pageSetUpPr/>
  </sheetPr>
  <dimension ref="B1:L208"/>
  <sheetViews>
    <sheetView showGridLines="0" workbookViewId="0">
      <selection activeCell="A1" sqref="A1"/>
    </sheetView>
  </sheetViews>
  <sheetFormatPr baseColWidth="8" defaultRowHeight="15"/>
  <cols>
    <col width="2" customWidth="1" min="1" max="1"/>
    <col width="14" customWidth="1" min="2" max="2"/>
    <col width="7" customWidth="1" min="3" max="3"/>
    <col width="14" customWidth="1" min="4" max="4"/>
    <col width="26" customWidth="1" min="5" max="5"/>
    <col width="12" customWidth="1" min="6" max="6"/>
    <col width="2" customWidth="1" min="7" max="7"/>
    <col width="12" customWidth="1" min="8" max="8"/>
    <col width="18" customWidth="1" min="9" max="9"/>
    <col width="12" customWidth="1" min="10" max="10"/>
    <col width="30" customWidth="1" min="11" max="11"/>
    <col width="14" customWidth="1" min="12" max="12"/>
  </cols>
  <sheetData>
    <row r="1" ht="38" customHeight="1">
      <c r="B1" s="116" t="inlineStr">
        <is>
          <t>🧬  PALATE DNA FINGERPRINT</t>
        </is>
      </c>
    </row>
    <row r="2" ht="16" customHeight="1">
      <c r="B2" s="117" t="inlineStr">
        <is>
          <t>What the archive reveals about the palate behind the cup — 54 entries, 7 months, one consistent signal</t>
        </is>
      </c>
    </row>
    <row r="3" ht="8" customHeight="1"/>
    <row r="4" ht="22" customHeight="1">
      <c r="B4" s="151" t="inlineStr">
        <is>
          <t>📖  THE PALATE THESIS</t>
        </is>
      </c>
      <c r="C4" s="193" t="n"/>
      <c r="D4" s="193" t="n"/>
      <c r="E4" s="193" t="n"/>
      <c r="F4" s="193" t="n"/>
      <c r="G4" s="193" t="n"/>
      <c r="H4" s="193" t="n"/>
      <c r="I4" s="193" t="n"/>
      <c r="J4" s="193" t="n"/>
      <c r="K4" s="194" t="n"/>
    </row>
    <row r="5" ht="40" customHeight="1">
      <c r="B5" s="134" t="inlineStr">
        <is>
          <t>CLARITY OVER COMPLEXITY. Across 54 cups and 7 months, one pattern dominates: 41% of all entries are Washed process — the highest-clarity, lowest-interference processing method. The palate responds strongest to malic acid (stone fruit, nectarine, mandarin) and linalool esters (jasmine, bergamot). Gesha/Geisha accounts for 19% of all cups — the apex varietal ordered with deliberate frequency. The archive is not a random tasting record. It is a calibrated instrument.</t>
        </is>
      </c>
      <c r="C5" s="189" t="n"/>
      <c r="D5" s="189" t="n"/>
      <c r="E5" s="189" t="n"/>
      <c r="F5" s="189" t="n"/>
      <c r="G5" s="189" t="n"/>
      <c r="H5" s="189" t="n"/>
      <c r="I5" s="189" t="n"/>
      <c r="J5" s="189" t="n"/>
      <c r="K5" s="190" t="n"/>
    </row>
    <row r="6" ht="6" customHeight="1"/>
    <row r="7" ht="22" customHeight="1">
      <c r="B7" s="132" t="inlineStr">
        <is>
          <t>🍯  PROCESS PREFERENCE SPECTRUM</t>
        </is>
      </c>
      <c r="C7" s="187" t="n"/>
      <c r="D7" s="187" t="n"/>
      <c r="E7" s="187" t="n"/>
      <c r="F7" s="188" t="n"/>
    </row>
    <row r="8" ht="22" customHeight="1">
      <c r="B8" s="134" t="inlineStr">
        <is>
          <t>Washed dominates at 41% — clean malic and citric acid without fermentation noise. Natural (24%) is the secondary pleasure axis — fruit-forward complexity welcomed when terroir is strong. Experimental ferments (anaerobic, mosto, co-ferment) represent 17% — the frontier zone.</t>
        </is>
      </c>
      <c r="C8" s="189" t="n"/>
      <c r="D8" s="189" t="n"/>
      <c r="E8" s="189" t="n"/>
      <c r="F8" s="190" t="n"/>
      <c r="H8" s="132" t="inlineStr">
        <is>
          <t>🌡️  TEMPERATURE PROTOCOL ANALYSIS</t>
        </is>
      </c>
      <c r="I8" s="187" t="n"/>
      <c r="J8" s="187" t="n"/>
      <c r="K8" s="187" t="n"/>
      <c r="L8" s="188" t="n"/>
    </row>
    <row r="9" ht="40" customHeight="1">
      <c r="B9" s="136" t="inlineStr">
        <is>
          <t>Process</t>
        </is>
      </c>
      <c r="C9" s="136" t="inlineStr">
        <is>
          <t>Entries</t>
        </is>
      </c>
      <c r="D9" s="136" t="inlineStr">
        <is>
          <t>%</t>
        </is>
      </c>
      <c r="E9" s="136" t="inlineStr">
        <is>
          <t>Palate Signal</t>
        </is>
      </c>
      <c r="F9" s="136" t="inlineStr">
        <is>
          <t>Affinity</t>
        </is>
      </c>
      <c r="H9" s="134" t="inlineStr">
        <is>
          <t>Temperature is the extraction lever. The archive spans 70°C–95°C across different protocols. Fluid Collective's 70→90→70°C thermal oscillation produces the archive's highest-rated cups — differential volatilisation across three pour temperatures creates phase-shifted aromatic profiles. Constant 92–93°C is the reliable single-protocol sweet spot across most Singapore cafés.</t>
        </is>
      </c>
      <c r="I9" s="189" t="n"/>
      <c r="J9" s="189" t="n"/>
      <c r="K9" s="189" t="n"/>
      <c r="L9" s="190" t="n"/>
    </row>
    <row r="10" ht="16" customHeight="1">
      <c r="B10" s="147" t="inlineStr">
        <is>
          <t>Washed</t>
        </is>
      </c>
      <c r="C10" s="148" t="n">
        <v>22</v>
      </c>
      <c r="D10" s="148" t="inlineStr">
        <is>
          <t>41%</t>
        </is>
      </c>
      <c r="E10" s="147" t="inlineStr">
        <is>
          <t>Malic acid clarity, jasmine lift, clean finish</t>
        </is>
      </c>
      <c r="F10" s="148" t="inlineStr">
        <is>
          <t>HIGH</t>
        </is>
      </c>
      <c r="H10" s="136" t="inlineStr">
        <is>
          <t>Temp Range</t>
        </is>
      </c>
      <c r="I10" s="136" t="inlineStr">
        <is>
          <t>Entries</t>
        </is>
      </c>
      <c r="J10" s="136" t="inlineStr">
        <is>
          <t>Protocol Note</t>
        </is>
      </c>
    </row>
    <row r="11" ht="15" customHeight="1">
      <c r="B11" s="152" t="inlineStr">
        <is>
          <t>Natural</t>
        </is>
      </c>
      <c r="C11" s="153" t="n">
        <v>13</v>
      </c>
      <c r="D11" s="153" t="inlineStr">
        <is>
          <t>24%</t>
        </is>
      </c>
      <c r="E11" s="152" t="inlineStr">
        <is>
          <t>Stone fruit, berry complexity, terroir expression</t>
        </is>
      </c>
      <c r="F11" s="153" t="inlineStr">
        <is>
          <t>MED-HIGH</t>
        </is>
      </c>
      <c r="H11" s="143" t="inlineStr">
        <is>
          <t>70–80°C (Bloom)</t>
        </is>
      </c>
      <c r="I11" s="144" t="n">
        <v>0</v>
      </c>
      <c r="J11" s="143" t="inlineStr">
        <is>
          <t>Low-temp bloom — CO₂ displacement</t>
        </is>
      </c>
    </row>
    <row r="12" ht="15" customHeight="1">
      <c r="B12" s="154" t="inlineStr">
        <is>
          <t>Anaerobic Natural</t>
        </is>
      </c>
      <c r="C12" s="155" t="n">
        <v>5</v>
      </c>
      <c r="D12" s="155" t="inlineStr">
        <is>
          <t>9%</t>
        </is>
      </c>
      <c r="E12" s="154" t="inlineStr">
        <is>
          <t>Controlled funk, ester bombs, tropical edge</t>
        </is>
      </c>
      <c r="F12" s="155" t="inlineStr">
        <is>
          <t>MED</t>
        </is>
      </c>
      <c r="H12" s="139" t="inlineStr">
        <is>
          <t>85–89°C</t>
        </is>
      </c>
      <c r="I12" s="140" t="n">
        <v>1</v>
      </c>
      <c r="J12" s="139" t="inlineStr">
        <is>
          <t>Delicate/Nordic style — rare in SG</t>
        </is>
      </c>
    </row>
    <row r="13" ht="15" customHeight="1">
      <c r="B13" s="149" t="inlineStr">
        <is>
          <t>Honey</t>
        </is>
      </c>
      <c r="C13" s="150" t="n">
        <v>5</v>
      </c>
      <c r="D13" s="150" t="inlineStr">
        <is>
          <t>9%</t>
        </is>
      </c>
      <c r="E13" s="149" t="inlineStr">
        <is>
          <t>Mucilage sweetness bridge, ketone fruit layer</t>
        </is>
      </c>
      <c r="F13" s="150" t="inlineStr">
        <is>
          <t>MED-HIGH</t>
        </is>
      </c>
      <c r="H13" s="139" t="inlineStr">
        <is>
          <t>90–91°C</t>
        </is>
      </c>
      <c r="I13" s="140" t="n">
        <v>9</v>
      </c>
      <c r="J13" s="139" t="inlineStr">
        <is>
          <t>Clean, balanced extraction</t>
        </is>
      </c>
    </row>
    <row r="14" ht="15" customHeight="1">
      <c r="B14" s="154" t="inlineStr">
        <is>
          <t>Experimental Ferment</t>
        </is>
      </c>
      <c r="C14" s="155" t="n">
        <v>3</v>
      </c>
      <c r="D14" s="155" t="inlineStr">
        <is>
          <t>6%</t>
        </is>
      </c>
      <c r="E14" s="154" t="inlineStr">
        <is>
          <t>Edge cases: yeast, mosto, co-ferment</t>
        </is>
      </c>
      <c r="F14" s="155" t="inlineStr">
        <is>
          <t>EXPLORATORY</t>
        </is>
      </c>
      <c r="H14" s="156" t="inlineStr">
        <is>
          <t>92–94°C</t>
        </is>
      </c>
      <c r="I14" s="157" t="n">
        <v>7</v>
      </c>
      <c r="J14" s="156" t="inlineStr">
        <is>
          <t>⭐ Sweet spot — dominant protocol</t>
        </is>
      </c>
    </row>
    <row r="15" ht="15" customHeight="1">
      <c r="B15" s="143" t="inlineStr">
        <is>
          <t>Wet-Hulled</t>
        </is>
      </c>
      <c r="C15" s="144" t="n">
        <v>1</v>
      </c>
      <c r="D15" s="144" t="inlineStr">
        <is>
          <t>2%</t>
        </is>
      </c>
      <c r="E15" s="143" t="inlineStr">
        <is>
          <t>Earthy body, Indonesian terroir</t>
        </is>
      </c>
      <c r="F15" s="144" t="inlineStr">
        <is>
          <t>ONE-OFF</t>
        </is>
      </c>
      <c r="H15" s="139" t="inlineStr">
        <is>
          <t>95°C+</t>
        </is>
      </c>
      <c r="I15" s="140" t="n">
        <v>3</v>
      </c>
      <c r="J15" s="139" t="inlineStr">
        <is>
          <t>Full extraction — bold profiles</t>
        </is>
      </c>
    </row>
    <row r="16" ht="15" customHeight="1">
      <c r="B16" s="154" t="inlineStr">
        <is>
          <t>Anaerobic</t>
        </is>
      </c>
      <c r="C16" s="155" t="n">
        <v>1</v>
      </c>
      <c r="D16" s="155" t="inlineStr">
        <is>
          <t>2%</t>
        </is>
      </c>
      <c r="E16" s="154" t="inlineStr">
        <is>
          <t>Fermentation-amplified aromatics</t>
        </is>
      </c>
      <c r="F16" s="155" t="inlineStr">
        <is>
          <t>MED</t>
        </is>
      </c>
      <c r="H16" s="158" t="inlineStr">
        <is>
          <t>Oscillating</t>
        </is>
      </c>
      <c r="I16" s="159" t="n">
        <v>7</v>
      </c>
      <c r="J16" s="158" t="inlineStr">
        <is>
          <t>🏆 Fluid Collective signature protocol</t>
        </is>
      </c>
    </row>
    <row r="17" ht="8" customHeight="1">
      <c r="B17" s="147" t="inlineStr">
        <is>
          <t>Anaerobic Washed</t>
        </is>
      </c>
      <c r="C17" s="148" t="n">
        <v>1</v>
      </c>
      <c r="D17" s="148" t="inlineStr">
        <is>
          <t>2%</t>
        </is>
      </c>
      <c r="E17" s="147" t="inlineStr">
        <is>
          <t>Clean ferment — best of both</t>
        </is>
      </c>
      <c r="F17" s="148" t="inlineStr">
        <is>
          <t>MED-HIGH</t>
        </is>
      </c>
    </row>
    <row r="18" ht="22" customHeight="1">
      <c r="H18" s="131" t="inlineStr">
        <is>
          <t>⭐  GESHA PROCESS TRILOGY — SENSORY COMPARISON</t>
        </is>
      </c>
      <c r="I18" s="185" t="n"/>
      <c r="J18" s="185" t="n"/>
      <c r="K18" s="185" t="n"/>
      <c r="L18" s="186" t="n"/>
    </row>
    <row r="19" ht="40" customHeight="1">
      <c r="B19" s="132" t="inlineStr">
        <is>
          <t>⚖️  BREW RATIO INTELLIGENCE — 1:15 to 1:17 Palate DNA Band</t>
        </is>
      </c>
      <c r="C19" s="187" t="n"/>
      <c r="D19" s="187" t="n"/>
      <c r="E19" s="187" t="n"/>
      <c r="F19" s="188" t="n"/>
      <c r="H19" s="133" t="inlineStr">
        <is>
          <t>The Colombia Gesha trilogy is complete. Three process treatments, same varietal genetics, drastically different sensory outcomes. Washed = genetic purity. Honey = sweet amplification. Natural = fermentation noise over clarity. The archive's verdict: Washed remains the apex expression.</t>
        </is>
      </c>
      <c r="I19" s="189" t="n"/>
      <c r="J19" s="189" t="n"/>
      <c r="K19" s="189" t="n"/>
      <c r="L19" s="190" t="n"/>
    </row>
    <row r="20" ht="16" customHeight="1">
      <c r="B20" s="134" t="inlineStr">
        <is>
          <t>The archive's extraction philosophy: 1:15–1:17 brew ratio. Average across logged entries: 1:15.2 — precisely within band. Ratios below 1:14 (denser) compress aromatic headspace. Above 1:17 (thinner) dilutes acid structure. 31 of 54 entries fall within the preferred band. Outliers documented and noted.</t>
        </is>
      </c>
      <c r="C20" s="189" t="n"/>
      <c r="D20" s="189" t="n"/>
      <c r="E20" s="189" t="n"/>
      <c r="F20" s="190" t="n"/>
      <c r="H20" s="135" t="inlineStr">
        <is>
          <t>Process</t>
        </is>
      </c>
      <c r="I20" s="135" t="inlineStr">
        <is>
          <t>Café</t>
        </is>
      </c>
      <c r="J20" s="135" t="inlineStr">
        <is>
          <t>Origin</t>
        </is>
      </c>
      <c r="K20" s="135" t="inlineStr">
        <is>
          <t>Sensory Arc</t>
        </is>
      </c>
      <c r="L20" s="135" t="inlineStr">
        <is>
          <t>Verdict</t>
        </is>
      </c>
    </row>
    <row r="21" ht="15" customHeight="1">
      <c r="B21" s="136" t="inlineStr">
        <is>
          <t>Ratio Band</t>
        </is>
      </c>
      <c r="C21" s="136" t="inlineStr">
        <is>
          <t>Count</t>
        </is>
      </c>
      <c r="D21" s="136" t="inlineStr">
        <is>
          <t>In Palate Band?</t>
        </is>
      </c>
      <c r="E21" s="136" t="inlineStr">
        <is>
          <t>Note</t>
        </is>
      </c>
      <c r="H21" s="147" t="inlineStr">
        <is>
          <t>Washed</t>
        </is>
      </c>
      <c r="I21" s="147" t="inlineStr">
        <is>
          <t>Fluid Collective
(El Obraje)</t>
        </is>
      </c>
      <c r="J21" s="147" t="inlineStr">
        <is>
          <t>Colombia</t>
        </is>
      </c>
      <c r="K21" s="147" t="inlineStr">
        <is>
          <t>Mango · Orange Blossom · Nectarine · Honey</t>
        </is>
      </c>
      <c r="L21" s="148" t="inlineStr">
        <is>
          <t>CUP OF YEAR ⭐</t>
        </is>
      </c>
    </row>
    <row r="22" ht="15" customHeight="1">
      <c r="B22" s="139" t="inlineStr">
        <is>
          <t>&lt;1:13</t>
        </is>
      </c>
      <c r="C22" s="140" t="n">
        <v>1</v>
      </c>
      <c r="D22" s="140" t="inlineStr">
        <is>
          <t>⚠️ Edge</t>
        </is>
      </c>
      <c r="E22" s="139" t="inlineStr">
        <is>
          <t>Espresso extractions</t>
        </is>
      </c>
      <c r="H22" s="149" t="inlineStr">
        <is>
          <t>Honey</t>
        </is>
      </c>
      <c r="I22" s="149" t="inlineStr">
        <is>
          <t>Keryi Coffee</t>
        </is>
      </c>
      <c r="J22" s="149" t="inlineStr">
        <is>
          <t>Colombia</t>
        </is>
      </c>
      <c r="K22" s="149" t="inlineStr">
        <is>
          <t>Jasmine · Caramel · Stone Fruit · Tangerine</t>
        </is>
      </c>
      <c r="L22" s="150" t="inlineStr">
        <is>
          <t>EXCELLENT</t>
        </is>
      </c>
    </row>
    <row r="23" ht="15" customHeight="1">
      <c r="B23" s="143" t="inlineStr">
        <is>
          <t>1:13–1:14</t>
        </is>
      </c>
      <c r="C23" s="144" t="n">
        <v>0</v>
      </c>
      <c r="D23" s="144" t="inlineStr">
        <is>
          <t>—</t>
        </is>
      </c>
      <c r="E23" s="143" t="inlineStr">
        <is>
          <t>Dense/concentrated</t>
        </is>
      </c>
      <c r="H23" s="149" t="inlineStr">
        <is>
          <t>Honey</t>
        </is>
      </c>
      <c r="I23" s="149" t="inlineStr">
        <is>
          <t>Pinhole Coffee Bar
(Santa Barbara #1)</t>
        </is>
      </c>
      <c r="J23" s="149" t="inlineStr">
        <is>
          <t>Colombia</t>
        </is>
      </c>
      <c r="K23" s="149" t="inlineStr">
        <is>
          <t>Bergamot · Lychee · Mandarin · Honey</t>
        </is>
      </c>
      <c r="L23" s="150" t="inlineStr">
        <is>
          <t>VERY GOOD
(cold-cup)</t>
        </is>
      </c>
    </row>
    <row r="24" ht="15" customHeight="1">
      <c r="B24" s="139" t="inlineStr">
        <is>
          <t>1:14–1:15</t>
        </is>
      </c>
      <c r="C24" s="140" t="n">
        <v>7</v>
      </c>
      <c r="D24" s="140" t="inlineStr">
        <is>
          <t>⚠️ Edge</t>
        </is>
      </c>
      <c r="E24" s="139" t="inlineStr">
        <is>
          <t>Dense/concentrated</t>
        </is>
      </c>
      <c r="H24" s="152" t="inlineStr">
        <is>
          <t>Natural</t>
        </is>
      </c>
      <c r="I24" s="152" t="inlineStr">
        <is>
          <t>Homeground Roasters</t>
        </is>
      </c>
      <c r="J24" s="152" t="inlineStr">
        <is>
          <t>Colombia</t>
        </is>
      </c>
      <c r="K24" s="152" t="inlineStr">
        <is>
          <t>Strawberry · Ferment · Complex · Winey</t>
        </is>
      </c>
      <c r="L24" s="153" t="inlineStr">
        <is>
          <t>GOOD</t>
        </is>
      </c>
    </row>
    <row r="25" ht="15" customHeight="1">
      <c r="B25" s="156" t="inlineStr">
        <is>
          <t>1:15–1:17(BAND)</t>
        </is>
      </c>
      <c r="C25" s="157" t="n">
        <v>31</v>
      </c>
      <c r="D25" s="157" t="inlineStr">
        <is>
          <t>✅ YES — OPTIMAL</t>
        </is>
      </c>
      <c r="E25" s="156" t="inlineStr">
        <is>
          <t>Core extraction philosophy</t>
        </is>
      </c>
      <c r="H25" s="152" t="inlineStr">
        <is>
          <t>Natural</t>
        </is>
      </c>
      <c r="I25" s="152" t="inlineStr">
        <is>
          <t>Cowpresso</t>
        </is>
      </c>
      <c r="J25" s="152" t="inlineStr">
        <is>
          <t>Colombia</t>
        </is>
      </c>
      <c r="K25" s="152" t="inlineStr">
        <is>
          <t>Natural Sweetness · Tropical · Light Ferment</t>
        </is>
      </c>
      <c r="L25" s="153" t="inlineStr">
        <is>
          <t>GOOD</t>
        </is>
      </c>
    </row>
    <row r="26" ht="15" customHeight="1">
      <c r="B26" s="143" t="inlineStr">
        <is>
          <t>1:17–1:18</t>
        </is>
      </c>
      <c r="C26" s="144" t="n">
        <v>0</v>
      </c>
      <c r="D26" s="144" t="inlineStr">
        <is>
          <t>—</t>
        </is>
      </c>
      <c r="E26" s="143" t="inlineStr">
        <is>
          <t>Thin extraction</t>
        </is>
      </c>
    </row>
    <row r="27" ht="15" customHeight="1">
      <c r="B27" s="143" t="inlineStr">
        <is>
          <t>&gt;1:18</t>
        </is>
      </c>
      <c r="C27" s="144" t="n">
        <v>0</v>
      </c>
      <c r="D27" s="144" t="inlineStr">
        <is>
          <t>—</t>
        </is>
      </c>
      <c r="E27" s="143" t="inlineStr">
        <is>
          <t>Thin extraction</t>
        </is>
      </c>
    </row>
    <row r="28" ht="15" customHeight="1">
      <c r="B28" s="139" t="inlineStr">
        <is>
          <t>Unknown</t>
        </is>
      </c>
      <c r="C28" s="140" t="n">
        <v>15</v>
      </c>
      <c r="D28" s="140" t="inlineStr">
        <is>
          <t>—</t>
        </is>
      </c>
      <c r="E28" s="139" t="inlineStr">
        <is>
          <t>—</t>
        </is>
      </c>
    </row>
    <row r="29" ht="8" customHeight="1"/>
    <row r="200">
      <c r="B200" t="inlineStr">
        <is>
          <t>Process</t>
        </is>
      </c>
      <c r="C200" t="inlineStr">
        <is>
          <t>Count</t>
        </is>
      </c>
    </row>
    <row r="201">
      <c r="B201" t="inlineStr">
        <is>
          <t>Washed</t>
        </is>
      </c>
      <c r="C201" t="n">
        <v>22</v>
      </c>
    </row>
    <row r="202">
      <c r="B202" t="inlineStr">
        <is>
          <t>Natural</t>
        </is>
      </c>
      <c r="C202" t="n">
        <v>13</v>
      </c>
    </row>
    <row r="203">
      <c r="B203" t="inlineStr">
        <is>
          <t>Anaerobic Natural</t>
        </is>
      </c>
      <c r="C203" t="n">
        <v>5</v>
      </c>
    </row>
    <row r="204">
      <c r="B204" t="inlineStr">
        <is>
          <t>Honey</t>
        </is>
      </c>
      <c r="C204" t="n">
        <v>5</v>
      </c>
    </row>
    <row r="205">
      <c r="B205" t="inlineStr">
        <is>
          <t>Experimental Ferment</t>
        </is>
      </c>
      <c r="C205" t="n">
        <v>3</v>
      </c>
    </row>
    <row r="206">
      <c r="B206" t="inlineStr">
        <is>
          <t>Wet-Hulled</t>
        </is>
      </c>
      <c r="C206" t="n">
        <v>1</v>
      </c>
    </row>
    <row r="207">
      <c r="B207" t="inlineStr">
        <is>
          <t>Anaerobic</t>
        </is>
      </c>
      <c r="C207" t="n">
        <v>1</v>
      </c>
    </row>
    <row r="208">
      <c r="B208" t="inlineStr">
        <is>
          <t>Anaerobic Washed</t>
        </is>
      </c>
      <c r="C208" t="n">
        <v>1</v>
      </c>
    </row>
  </sheetData>
  <mergeCells count="12">
    <mergeCell ref="H9:L9"/>
    <mergeCell ref="B7:F7"/>
    <mergeCell ref="B1:K1"/>
    <mergeCell ref="B4:K4"/>
    <mergeCell ref="B20:F20"/>
    <mergeCell ref="B19:F19"/>
    <mergeCell ref="H18:L18"/>
    <mergeCell ref="H19:L19"/>
    <mergeCell ref="B2:K2"/>
    <mergeCell ref="B8:F8"/>
    <mergeCell ref="H8:L8"/>
    <mergeCell ref="B5:K5"/>
  </mergeCells>
  <conditionalFormatting sqref="C10:C17">
    <cfRule type="dataBar" priority="1">
      <dataBar>
        <cfvo type="num" val="0"/>
        <cfvo type="num" val="22"/>
        <color rgb="00C8780A"/>
      </dataBar>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D4A1E"/>
    <outlinePr summaryBelow="1" summaryRight="1"/>
    <pageSetUpPr/>
  </sheetPr>
  <dimension ref="B1:M210"/>
  <sheetViews>
    <sheetView showGridLines="0" workbookViewId="0">
      <selection activeCell="A1" sqref="A1"/>
    </sheetView>
  </sheetViews>
  <sheetFormatPr baseColWidth="8" defaultRowHeight="15"/>
  <cols>
    <col width="2" customWidth="1" min="1" max="1"/>
    <col width="18" customWidth="1" min="2" max="2"/>
    <col width="11" customWidth="1" min="3" max="3"/>
    <col width="11" customWidth="1" min="4" max="4"/>
    <col width="11" customWidth="1" min="5" max="5"/>
    <col width="14" customWidth="1" min="6" max="6"/>
    <col width="16" customWidth="1" min="7" max="7"/>
    <col width="16" customWidth="1" min="8" max="8"/>
    <col width="10" customWidth="1" min="9" max="9"/>
    <col width="6" customWidth="1" min="10" max="10"/>
    <col width="14" customWidth="1" min="11" max="11"/>
    <col width="14" customWidth="1" min="12" max="12"/>
    <col width="2" customWidth="1" min="13" max="13"/>
  </cols>
  <sheetData>
    <row r="1" ht="38" customHeight="1">
      <c r="B1" s="116" t="inlineStr">
        <is>
          <t>🌍  ORIGIN &amp; TERROIR INTELLIGENCE</t>
        </is>
      </c>
    </row>
    <row r="2" ht="16" customHeight="1">
      <c r="B2" s="117" t="inlineStr">
        <is>
          <t>17 countries · 54 entries · Altitude, soil and latitude decoded through the palate</t>
        </is>
      </c>
    </row>
    <row r="3" ht="8" customHeight="1"/>
    <row r="4" ht="22" customHeight="1">
      <c r="B4" s="151" t="inlineStr">
        <is>
          <t>📖  THE TERROIR THESIS</t>
        </is>
      </c>
      <c r="C4" s="193" t="n"/>
      <c r="D4" s="193" t="n"/>
      <c r="E4" s="193" t="n"/>
      <c r="F4" s="193" t="n"/>
      <c r="G4" s="193" t="n"/>
      <c r="H4" s="193" t="n"/>
      <c r="I4" s="193" t="n"/>
      <c r="J4" s="193" t="n"/>
      <c r="K4" s="193" t="n"/>
      <c r="L4" s="194" t="n"/>
    </row>
    <row r="5" ht="40" customHeight="1">
      <c r="B5" s="134" t="inlineStr">
        <is>
          <t>Colombia dominates at 30% of the archive — not by chance, but by deliberate preference. The Huila and Nariño departments produce coffees with the malic acid profile and linalool ester density that align directly with this palate's DNA. Ethiopia, the homeland of coffee, contributes 13% — primarily washed heirloom varieties from Gedeo and Yirgacheffe that express the clean floral-to-stone-fruit arc. 17 origins across 7 months represents systematic global terroir mapping, not casual tourism.</t>
        </is>
      </c>
      <c r="C5" s="189" t="n"/>
      <c r="D5" s="189" t="n"/>
      <c r="E5" s="189" t="n"/>
      <c r="F5" s="189" t="n"/>
      <c r="G5" s="189" t="n"/>
      <c r="H5" s="189" t="n"/>
      <c r="I5" s="189" t="n"/>
      <c r="J5" s="189" t="n"/>
      <c r="K5" s="189" t="n"/>
      <c r="L5" s="190" t="n"/>
    </row>
    <row r="6" ht="6" customHeight="1"/>
    <row r="7" ht="22" customHeight="1">
      <c r="B7" s="145" t="inlineStr">
        <is>
          <t>🗺️  ORIGIN INTELLIGENCE — COMPLETE REGISTER</t>
        </is>
      </c>
      <c r="C7" s="191" t="n"/>
      <c r="D7" s="191" t="n"/>
      <c r="E7" s="191" t="n"/>
      <c r="F7" s="192" t="n"/>
    </row>
    <row r="8" ht="22" customHeight="1">
      <c r="B8" s="146" t="inlineStr">
        <is>
          <t>Origin</t>
        </is>
      </c>
      <c r="C8" s="146" t="inlineStr">
        <is>
          <t>Entries</t>
        </is>
      </c>
      <c r="D8" s="146" t="inlineStr">
        <is>
          <t>%</t>
        </is>
      </c>
      <c r="E8" s="146" t="inlineStr">
        <is>
          <t>Avg Price</t>
        </is>
      </c>
      <c r="F8" s="146" t="inlineStr">
        <is>
          <t>Gesha</t>
        </is>
      </c>
      <c r="G8" s="146" t="inlineStr">
        <is>
          <t>Top Process(es)</t>
        </is>
      </c>
      <c r="H8" s="151" t="inlineStr">
        <is>
          <t>📜  TERROIR DOSSIERS — Deep Origin Profiles</t>
        </is>
      </c>
      <c r="I8" s="193" t="n"/>
      <c r="J8" s="193" t="n"/>
      <c r="K8" s="193" t="n"/>
      <c r="L8" s="193" t="n"/>
      <c r="M8" s="194" t="n"/>
    </row>
    <row r="9" ht="22" customHeight="1">
      <c r="B9" s="160" t="inlineStr">
        <is>
          <t>Colombia</t>
        </is>
      </c>
      <c r="C9" s="150" t="n">
        <v>16</v>
      </c>
      <c r="D9" s="150" t="inlineStr">
        <is>
          <t>30%</t>
        </is>
      </c>
      <c r="E9" s="150" t="inlineStr">
        <is>
          <t>$12.03</t>
        </is>
      </c>
      <c r="F9" s="161" t="inlineStr">
        <is>
          <t>⭐×6</t>
        </is>
      </c>
      <c r="G9" s="149" t="inlineStr">
        <is>
          <t>Washed / Natural</t>
        </is>
      </c>
      <c r="H9" s="132" t="inlineStr">
        <is>
          <t>🇨🇴  COLOMBIA — 16 entries · 30%</t>
        </is>
      </c>
      <c r="I9" s="187" t="n"/>
      <c r="J9" s="187" t="n"/>
      <c r="K9" s="187" t="n"/>
      <c r="L9" s="187" t="n"/>
      <c r="M9" s="188" t="n"/>
    </row>
    <row r="10" ht="40" customHeight="1">
      <c r="B10" s="162" t="inlineStr">
        <is>
          <t>Ethiopia</t>
        </is>
      </c>
      <c r="C10" s="148" t="n">
        <v>7</v>
      </c>
      <c r="D10" s="148" t="inlineStr">
        <is>
          <t>13%</t>
        </is>
      </c>
      <c r="E10" s="148" t="inlineStr">
        <is>
          <t>$9.92</t>
        </is>
      </c>
      <c r="F10" s="148" t="inlineStr">
        <is>
          <t>—</t>
        </is>
      </c>
      <c r="G10" s="147" t="inlineStr">
        <is>
          <t>Washed / Natural</t>
        </is>
      </c>
      <c r="H10" s="163" t="inlineStr">
        <is>
          <t>Primary origin. Huila and Nariño departments: 1,600–2,100m ASL. Volcanic soil (Andisols) retains moisture and minerals that translate to exceptional malic acid density — the archivist's core palate signal. Colombia Gesha trilogy complete: Washed / Honey / Natural all documented. Cauca and Quindío co-ferment experiments add process diversity.</t>
        </is>
      </c>
      <c r="I10" s="189" t="n"/>
      <c r="J10" s="189" t="n"/>
      <c r="K10" s="189" t="n"/>
      <c r="L10" s="189" t="n"/>
      <c r="M10" s="190" t="n"/>
    </row>
    <row r="11" ht="4" customHeight="1">
      <c r="B11" s="164" t="inlineStr">
        <is>
          <t>Brazil</t>
        </is>
      </c>
      <c r="C11" s="153" t="n">
        <v>5</v>
      </c>
      <c r="D11" s="153" t="inlineStr">
        <is>
          <t>9%</t>
        </is>
      </c>
      <c r="E11" s="153" t="inlineStr">
        <is>
          <t>$6.87</t>
        </is>
      </c>
      <c r="F11" s="153" t="inlineStr">
        <is>
          <t>—</t>
        </is>
      </c>
      <c r="G11" s="152" t="inlineStr">
        <is>
          <t>Natural / Unknown</t>
        </is>
      </c>
    </row>
    <row r="12" ht="22" customHeight="1">
      <c r="B12" s="143" t="inlineStr">
        <is>
          <t>Indonesia</t>
        </is>
      </c>
      <c r="C12" s="144" t="n">
        <v>4</v>
      </c>
      <c r="D12" s="144" t="inlineStr">
        <is>
          <t>7%</t>
        </is>
      </c>
      <c r="E12" s="144" t="inlineStr">
        <is>
          <t>$9.00</t>
        </is>
      </c>
      <c r="F12" s="144" t="inlineStr">
        <is>
          <t>—</t>
        </is>
      </c>
      <c r="G12" s="143" t="inlineStr">
        <is>
          <t>Natural / Wet-Hull</t>
        </is>
      </c>
      <c r="H12" s="132" t="inlineStr">
        <is>
          <t>🇪🇹  ETHIOPIA — 7 entries · 13%</t>
        </is>
      </c>
      <c r="I12" s="187" t="n"/>
      <c r="J12" s="187" t="n"/>
      <c r="K12" s="187" t="n"/>
      <c r="L12" s="187" t="n"/>
      <c r="M12" s="188" t="n"/>
    </row>
    <row r="13" ht="40" customHeight="1">
      <c r="B13" s="139" t="inlineStr">
        <is>
          <t>Honduras</t>
        </is>
      </c>
      <c r="C13" s="140" t="n">
        <v>3</v>
      </c>
      <c r="D13" s="140" t="inlineStr">
        <is>
          <t>6%</t>
        </is>
      </c>
      <c r="E13" s="140" t="inlineStr">
        <is>
          <t>$12.00</t>
        </is>
      </c>
      <c r="F13" s="140" t="inlineStr">
        <is>
          <t>—</t>
        </is>
      </c>
      <c r="G13" s="139" t="inlineStr">
        <is>
          <t>Washed / Experimen</t>
        </is>
      </c>
      <c r="H13" s="165" t="inlineStr">
        <is>
          <t>Birthplace of coffee. Gedeo Zone (Gara Agena), Yirgacheffe, and JARC selections dominate Ethiopian entries. Heirloom varieties carry exceptional linalool ester diversity — jasmine, bergamot, orange blossom. Washed Special Prep Ethiopian (Gara Agena, Fluid) rated archive top-tier alongside Gesha entries.</t>
        </is>
      </c>
      <c r="I13" s="189" t="n"/>
      <c r="J13" s="189" t="n"/>
      <c r="K13" s="189" t="n"/>
      <c r="L13" s="189" t="n"/>
      <c r="M13" s="190" t="n"/>
    </row>
    <row r="14" ht="4" customHeight="1">
      <c r="B14" s="154" t="inlineStr">
        <is>
          <t>Kenya</t>
        </is>
      </c>
      <c r="C14" s="155" t="n">
        <v>2</v>
      </c>
      <c r="D14" s="155" t="inlineStr">
        <is>
          <t>4%</t>
        </is>
      </c>
      <c r="E14" s="155" t="inlineStr">
        <is>
          <t>$8.50</t>
        </is>
      </c>
      <c r="F14" s="155" t="inlineStr">
        <is>
          <t>—</t>
        </is>
      </c>
      <c r="G14" s="154" t="inlineStr">
        <is>
          <t>Washed</t>
        </is>
      </c>
    </row>
    <row r="15" ht="22" customHeight="1">
      <c r="B15" s="139" t="inlineStr">
        <is>
          <t>India</t>
        </is>
      </c>
      <c r="C15" s="140" t="n">
        <v>2</v>
      </c>
      <c r="D15" s="140" t="inlineStr">
        <is>
          <t>4%</t>
        </is>
      </c>
      <c r="E15" s="140" t="inlineStr">
        <is>
          <t>—</t>
        </is>
      </c>
      <c r="F15" s="140" t="inlineStr">
        <is>
          <t>—</t>
        </is>
      </c>
      <c r="G15" s="139" t="inlineStr">
        <is>
          <t xml:space="preserve">Anaerobic Natural </t>
        </is>
      </c>
      <c r="H15" s="132" t="inlineStr">
        <is>
          <t>🇧🇷  BRAZIL — 5 entries · 9%</t>
        </is>
      </c>
      <c r="I15" s="187" t="n"/>
      <c r="J15" s="187" t="n"/>
      <c r="K15" s="187" t="n"/>
      <c r="L15" s="187" t="n"/>
      <c r="M15" s="188" t="n"/>
    </row>
    <row r="16" ht="40" customHeight="1">
      <c r="B16" s="143" t="inlineStr">
        <is>
          <t>Nicaragua</t>
        </is>
      </c>
      <c r="C16" s="144" t="n">
        <v>2</v>
      </c>
      <c r="D16" s="144" t="inlineStr">
        <is>
          <t>4%</t>
        </is>
      </c>
      <c r="E16" s="144" t="inlineStr">
        <is>
          <t>—</t>
        </is>
      </c>
      <c r="F16" s="144" t="inlineStr">
        <is>
          <t>—</t>
        </is>
      </c>
      <c r="G16" s="143" t="inlineStr">
        <is>
          <t>Washed / Anaerobic</t>
        </is>
      </c>
      <c r="H16" s="166" t="inlineStr">
        <is>
          <t>Natural-process dominant. Mogiana and Cerrado lots. Lower acidity profile — nut, chocolate, dried fruit. Less aligned with clarity-first palate DNA but contributes milk-chocolate body and Maillard sweetness in blends. Arara varietal (Nylon) stands out for atypical malic acid expression.</t>
        </is>
      </c>
      <c r="I16" s="189" t="n"/>
      <c r="J16" s="189" t="n"/>
      <c r="K16" s="189" t="n"/>
      <c r="L16" s="189" t="n"/>
      <c r="M16" s="190" t="n"/>
    </row>
    <row r="17" ht="4" customHeight="1">
      <c r="B17" s="138" t="inlineStr">
        <is>
          <t>Peru</t>
        </is>
      </c>
      <c r="C17" s="137" t="n">
        <v>2</v>
      </c>
      <c r="D17" s="137" t="inlineStr">
        <is>
          <t>4%</t>
        </is>
      </c>
      <c r="E17" s="137" t="inlineStr">
        <is>
          <t>$11.75</t>
        </is>
      </c>
      <c r="F17" s="159" t="inlineStr">
        <is>
          <t>⭐×2</t>
        </is>
      </c>
      <c r="G17" s="138" t="inlineStr">
        <is>
          <t>Washed</t>
        </is>
      </c>
    </row>
    <row r="18" ht="22" customHeight="1">
      <c r="B18" s="143" t="inlineStr">
        <is>
          <t>El Salvador</t>
        </is>
      </c>
      <c r="C18" s="144" t="n">
        <v>1</v>
      </c>
      <c r="D18" s="144" t="inlineStr">
        <is>
          <t>2%</t>
        </is>
      </c>
      <c r="E18" s="144" t="inlineStr">
        <is>
          <t>—</t>
        </is>
      </c>
      <c r="F18" s="144" t="inlineStr">
        <is>
          <t>—</t>
        </is>
      </c>
      <c r="G18" s="143" t="inlineStr">
        <is>
          <t>Natural</t>
        </is>
      </c>
      <c r="H18" s="132" t="inlineStr">
        <is>
          <t>🇮🇩  INDONESIA — 4 entries · 7%</t>
        </is>
      </c>
      <c r="I18" s="187" t="n"/>
      <c r="J18" s="187" t="n"/>
      <c r="K18" s="187" t="n"/>
      <c r="L18" s="187" t="n"/>
      <c r="M18" s="188" t="n"/>
    </row>
    <row r="19" ht="40" customHeight="1">
      <c r="B19" s="138" t="inlineStr">
        <is>
          <t>Boquerón</t>
        </is>
      </c>
      <c r="C19" s="137" t="n">
        <v>1</v>
      </c>
      <c r="D19" s="137" t="inlineStr">
        <is>
          <t>2%</t>
        </is>
      </c>
      <c r="E19" s="137" t="inlineStr">
        <is>
          <t>$12.00</t>
        </is>
      </c>
      <c r="F19" s="159" t="inlineStr">
        <is>
          <t>⭐×1</t>
        </is>
      </c>
      <c r="G19" s="138" t="inlineStr">
        <is>
          <t>Honey</t>
        </is>
      </c>
      <c r="H19" s="167" t="inlineStr">
        <is>
          <t>Diverse: Kintamani Bali (wet-hulled), Frinsa Estate Sumatra, Sulawesi lots. Earthy, syrupy body — wet-hulled process suppresses acidity for full mouthfeel. Represents the archive's body axis rather than acid-clarity axis.</t>
        </is>
      </c>
      <c r="I19" s="189" t="n"/>
      <c r="J19" s="189" t="n"/>
      <c r="K19" s="189" t="n"/>
      <c r="L19" s="189" t="n"/>
      <c r="M19" s="190" t="n"/>
    </row>
    <row r="20" ht="4" customHeight="1">
      <c r="B20" s="138" t="inlineStr">
        <is>
          <t>Ecuador</t>
        </is>
      </c>
      <c r="C20" s="137" t="n">
        <v>1</v>
      </c>
      <c r="D20" s="137" t="inlineStr">
        <is>
          <t>2%</t>
        </is>
      </c>
      <c r="E20" s="137" t="inlineStr">
        <is>
          <t>$18.00</t>
        </is>
      </c>
      <c r="F20" s="159" t="inlineStr">
        <is>
          <t>⭐×1</t>
        </is>
      </c>
      <c r="G20" s="138" t="inlineStr">
        <is>
          <t>Washed</t>
        </is>
      </c>
    </row>
    <row r="21" ht="22" customHeight="1">
      <c r="B21" s="139" t="inlineStr">
        <is>
          <t>Rwanda</t>
        </is>
      </c>
      <c r="C21" s="140" t="n">
        <v>1</v>
      </c>
      <c r="D21" s="140" t="inlineStr">
        <is>
          <t>2%</t>
        </is>
      </c>
      <c r="E21" s="140" t="inlineStr">
        <is>
          <t>$9.27</t>
        </is>
      </c>
      <c r="F21" s="140" t="inlineStr">
        <is>
          <t>—</t>
        </is>
      </c>
      <c r="G21" s="139" t="inlineStr">
        <is>
          <t>Washed</t>
        </is>
      </c>
      <c r="H21" s="168" t="inlineStr">
        <is>
          <t>💰  PRICE BY ORIGIN — SGD Average</t>
        </is>
      </c>
      <c r="I21" s="195" t="n"/>
      <c r="J21" s="195" t="n"/>
      <c r="K21" s="195" t="n"/>
      <c r="L21" s="195" t="n"/>
      <c r="M21" s="196" t="n"/>
    </row>
    <row r="22" ht="16" customHeight="1">
      <c r="B22" s="143" t="inlineStr">
        <is>
          <t>Malaysia</t>
        </is>
      </c>
      <c r="C22" s="144" t="n">
        <v>1</v>
      </c>
      <c r="D22" s="144" t="inlineStr">
        <is>
          <t>2%</t>
        </is>
      </c>
      <c r="E22" s="144" t="inlineStr">
        <is>
          <t>$13.00</t>
        </is>
      </c>
      <c r="F22" s="144" t="inlineStr">
        <is>
          <t>—</t>
        </is>
      </c>
      <c r="G22" s="143" t="inlineStr">
        <is>
          <t>Natural</t>
        </is>
      </c>
      <c r="H22" s="169" t="inlineStr">
        <is>
          <t>Origin</t>
        </is>
      </c>
      <c r="I22" s="169" t="inlineStr">
        <is>
          <t>Avg SGD</t>
        </is>
      </c>
      <c r="J22" s="169" t="inlineStr">
        <is>
          <t>n</t>
        </is>
      </c>
      <c r="K22" s="169" t="inlineStr">
        <is>
          <t>vs Archive Avg</t>
        </is>
      </c>
    </row>
    <row r="23" ht="15" customHeight="1">
      <c r="B23" s="139" t="inlineStr">
        <is>
          <t>China</t>
        </is>
      </c>
      <c r="C23" s="140" t="n">
        <v>1</v>
      </c>
      <c r="D23" s="140" t="inlineStr">
        <is>
          <t>2%</t>
        </is>
      </c>
      <c r="E23" s="140" t="inlineStr">
        <is>
          <t>$9.50</t>
        </is>
      </c>
      <c r="F23" s="140" t="inlineStr">
        <is>
          <t>—</t>
        </is>
      </c>
      <c r="G23" s="139" t="inlineStr">
        <is>
          <t>Washed</t>
        </is>
      </c>
      <c r="H23" s="149" t="inlineStr">
        <is>
          <t>Colombia</t>
        </is>
      </c>
      <c r="I23" s="150" t="inlineStr">
        <is>
          <t>$12.03</t>
        </is>
      </c>
      <c r="J23" s="150" t="n">
        <v>16</v>
      </c>
      <c r="K23" s="150" t="inlineStr">
        <is>
          <t>+$1.26</t>
        </is>
      </c>
    </row>
    <row r="24" ht="15" customHeight="1">
      <c r="B24" s="143" t="inlineStr">
        <is>
          <t>Myanmar</t>
        </is>
      </c>
      <c r="C24" s="144" t="n">
        <v>1</v>
      </c>
      <c r="D24" s="144" t="inlineStr">
        <is>
          <t>2%</t>
        </is>
      </c>
      <c r="E24" s="144" t="inlineStr">
        <is>
          <t>$6.00</t>
        </is>
      </c>
      <c r="F24" s="144" t="inlineStr">
        <is>
          <t>—</t>
        </is>
      </c>
      <c r="G24" s="143" t="inlineStr">
        <is>
          <t>Honey</t>
        </is>
      </c>
      <c r="H24" s="154" t="inlineStr">
        <is>
          <t>Ethiopia</t>
        </is>
      </c>
      <c r="I24" s="155" t="inlineStr">
        <is>
          <t>$9.92</t>
        </is>
      </c>
      <c r="J24" s="155" t="n">
        <v>7</v>
      </c>
      <c r="K24" s="155" t="inlineStr">
        <is>
          <t>-$0.85</t>
        </is>
      </c>
    </row>
    <row r="25" ht="15" customHeight="1">
      <c r="B25" s="139" t="inlineStr">
        <is>
          <t>Bolivia</t>
        </is>
      </c>
      <c r="C25" s="140" t="n">
        <v>1</v>
      </c>
      <c r="D25" s="140" t="inlineStr">
        <is>
          <t>2%</t>
        </is>
      </c>
      <c r="E25" s="140" t="inlineStr">
        <is>
          <t>$10.00</t>
        </is>
      </c>
      <c r="F25" s="140" t="inlineStr">
        <is>
          <t>—</t>
        </is>
      </c>
      <c r="G25" s="139" t="inlineStr">
        <is>
          <t>Washed</t>
        </is>
      </c>
      <c r="H25" s="154" t="inlineStr">
        <is>
          <t>Brazil</t>
        </is>
      </c>
      <c r="I25" s="155" t="inlineStr">
        <is>
          <t>$6.87</t>
        </is>
      </c>
      <c r="J25" s="155" t="n">
        <v>5</v>
      </c>
      <c r="K25" s="155" t="inlineStr">
        <is>
          <t>-$3.90</t>
        </is>
      </c>
    </row>
    <row r="26" ht="15" customHeight="1">
      <c r="H26" s="154" t="inlineStr">
        <is>
          <t>Indonesia</t>
        </is>
      </c>
      <c r="I26" s="155" t="inlineStr">
        <is>
          <t>$9.00</t>
        </is>
      </c>
      <c r="J26" s="155" t="n">
        <v>4</v>
      </c>
      <c r="K26" s="155" t="inlineStr">
        <is>
          <t>-$1.77</t>
        </is>
      </c>
    </row>
    <row r="27" ht="15" customHeight="1">
      <c r="B27" s="132" t="inlineStr">
        <is>
          <t>🔬  ORIGIN × PROCESS MATRIX</t>
        </is>
      </c>
      <c r="C27" s="187" t="n"/>
      <c r="D27" s="187" t="n"/>
      <c r="E27" s="187" t="n"/>
      <c r="F27" s="188" t="n"/>
      <c r="H27" s="149" t="inlineStr">
        <is>
          <t>Honduras</t>
        </is>
      </c>
      <c r="I27" s="150" t="inlineStr">
        <is>
          <t>$12.00</t>
        </is>
      </c>
      <c r="J27" s="150" t="n">
        <v>3</v>
      </c>
      <c r="K27" s="150" t="inlineStr">
        <is>
          <t>+$1.23</t>
        </is>
      </c>
    </row>
    <row r="28" ht="15" customHeight="1">
      <c r="B28" s="136" t="inlineStr">
        <is>
          <t>Origin</t>
        </is>
      </c>
      <c r="C28" s="136" t="inlineStr">
        <is>
          <t>Washed</t>
        </is>
      </c>
      <c r="D28" s="136" t="inlineStr">
        <is>
          <t>Natural</t>
        </is>
      </c>
      <c r="E28" s="136" t="inlineStr">
        <is>
          <t>Honey</t>
        </is>
      </c>
      <c r="F28" s="136" t="inlineStr">
        <is>
          <t xml:space="preserve">Anaerobic </t>
        </is>
      </c>
      <c r="G28" s="136" t="inlineStr">
        <is>
          <t>Experiment</t>
        </is>
      </c>
      <c r="H28" s="154" t="inlineStr">
        <is>
          <t>Kenya</t>
        </is>
      </c>
      <c r="I28" s="155" t="inlineStr">
        <is>
          <t>$8.50</t>
        </is>
      </c>
      <c r="J28" s="155" t="n">
        <v>2</v>
      </c>
      <c r="K28" s="155" t="inlineStr">
        <is>
          <t>-$2.27</t>
        </is>
      </c>
    </row>
    <row r="29" ht="15" customHeight="1">
      <c r="B29" s="149" t="inlineStr">
        <is>
          <t>Colombia</t>
        </is>
      </c>
      <c r="C29" s="150" t="n">
        <v>8</v>
      </c>
      <c r="D29" s="150" t="n">
        <v>4</v>
      </c>
      <c r="E29" s="150" t="n">
        <v>2</v>
      </c>
      <c r="F29" s="150" t="n">
        <v>1</v>
      </c>
      <c r="G29" s="150" t="n">
        <v>1</v>
      </c>
      <c r="H29" s="149" t="inlineStr">
        <is>
          <t>Peru</t>
        </is>
      </c>
      <c r="I29" s="150" t="inlineStr">
        <is>
          <t>$11.75</t>
        </is>
      </c>
      <c r="J29" s="150" t="n">
        <v>2</v>
      </c>
      <c r="K29" s="150" t="inlineStr">
        <is>
          <t>+$0.98</t>
        </is>
      </c>
    </row>
    <row r="30" ht="15" customHeight="1">
      <c r="B30" s="147" t="inlineStr">
        <is>
          <t>Ethiopia</t>
        </is>
      </c>
      <c r="C30" s="148" t="n">
        <v>4</v>
      </c>
      <c r="D30" s="148" t="n">
        <v>1</v>
      </c>
      <c r="E30" s="148" t="inlineStr">
        <is>
          <t>—</t>
        </is>
      </c>
      <c r="F30" s="148" t="n">
        <v>1</v>
      </c>
      <c r="G30" s="148" t="n">
        <v>1</v>
      </c>
      <c r="H30" s="149" t="inlineStr">
        <is>
          <t>Boquerón</t>
        </is>
      </c>
      <c r="I30" s="150" t="inlineStr">
        <is>
          <t>$12.00</t>
        </is>
      </c>
      <c r="J30" s="150" t="n">
        <v>1</v>
      </c>
      <c r="K30" s="150" t="inlineStr">
        <is>
          <t>+$1.23</t>
        </is>
      </c>
    </row>
    <row r="31" ht="15" customHeight="1">
      <c r="B31" s="152" t="inlineStr">
        <is>
          <t>Brazil</t>
        </is>
      </c>
      <c r="C31" s="153" t="inlineStr">
        <is>
          <t>—</t>
        </is>
      </c>
      <c r="D31" s="153" t="n">
        <v>4</v>
      </c>
      <c r="E31" s="153" t="inlineStr">
        <is>
          <t>—</t>
        </is>
      </c>
      <c r="F31" s="153" t="inlineStr">
        <is>
          <t>—</t>
        </is>
      </c>
      <c r="G31" s="153" t="inlineStr">
        <is>
          <t>—</t>
        </is>
      </c>
      <c r="H31" s="152" t="inlineStr">
        <is>
          <t>Ecuador</t>
        </is>
      </c>
      <c r="I31" s="153" t="inlineStr">
        <is>
          <t>$18.00</t>
        </is>
      </c>
      <c r="J31" s="153" t="n">
        <v>1</v>
      </c>
      <c r="K31" s="153" t="inlineStr">
        <is>
          <t>+$7.23</t>
        </is>
      </c>
    </row>
    <row r="32" ht="15" customHeight="1">
      <c r="B32" s="139" t="inlineStr">
        <is>
          <t>Indonesia</t>
        </is>
      </c>
      <c r="C32" s="140" t="inlineStr">
        <is>
          <t>—</t>
        </is>
      </c>
      <c r="D32" s="140" t="n">
        <v>1</v>
      </c>
      <c r="E32" s="140" t="n">
        <v>1</v>
      </c>
      <c r="F32" s="140" t="n">
        <v>1</v>
      </c>
      <c r="G32" s="140" t="inlineStr">
        <is>
          <t>—</t>
        </is>
      </c>
      <c r="H32" s="154" t="inlineStr">
        <is>
          <t>Rwanda</t>
        </is>
      </c>
      <c r="I32" s="155" t="inlineStr">
        <is>
          <t>$9.27</t>
        </is>
      </c>
      <c r="J32" s="155" t="n">
        <v>1</v>
      </c>
      <c r="K32" s="155" t="inlineStr">
        <is>
          <t>-$1.50</t>
        </is>
      </c>
    </row>
    <row r="33" ht="15" customHeight="1">
      <c r="B33" s="139" t="inlineStr">
        <is>
          <t>Honduras</t>
        </is>
      </c>
      <c r="C33" s="140" t="n">
        <v>1</v>
      </c>
      <c r="D33" s="140" t="n">
        <v>1</v>
      </c>
      <c r="E33" s="140" t="inlineStr">
        <is>
          <t>—</t>
        </is>
      </c>
      <c r="F33" s="140" t="inlineStr">
        <is>
          <t>—</t>
        </is>
      </c>
      <c r="G33" s="140" t="n">
        <v>1</v>
      </c>
      <c r="H33" s="152" t="inlineStr">
        <is>
          <t>Malaysia</t>
        </is>
      </c>
      <c r="I33" s="153" t="inlineStr">
        <is>
          <t>$13.00</t>
        </is>
      </c>
      <c r="J33" s="153" t="n">
        <v>1</v>
      </c>
      <c r="K33" s="153" t="inlineStr">
        <is>
          <t>+$2.23</t>
        </is>
      </c>
    </row>
    <row r="34" ht="15" customHeight="1">
      <c r="B34" s="154" t="inlineStr">
        <is>
          <t>Kenya</t>
        </is>
      </c>
      <c r="C34" s="155" t="n">
        <v>2</v>
      </c>
      <c r="D34" s="155" t="inlineStr">
        <is>
          <t>—</t>
        </is>
      </c>
      <c r="E34" s="155" t="inlineStr">
        <is>
          <t>—</t>
        </is>
      </c>
      <c r="F34" s="155" t="inlineStr">
        <is>
          <t>—</t>
        </is>
      </c>
      <c r="G34" s="155" t="inlineStr">
        <is>
          <t>—</t>
        </is>
      </c>
      <c r="H34" s="154" t="inlineStr">
        <is>
          <t>China</t>
        </is>
      </c>
      <c r="I34" s="155" t="inlineStr">
        <is>
          <t>$9.50</t>
        </is>
      </c>
      <c r="J34" s="155" t="n">
        <v>1</v>
      </c>
      <c r="K34" s="155" t="inlineStr">
        <is>
          <t>-$1.27</t>
        </is>
      </c>
    </row>
    <row r="35" ht="15" customHeight="1">
      <c r="B35" s="139" t="inlineStr">
        <is>
          <t>India</t>
        </is>
      </c>
      <c r="C35" s="140" t="inlineStr">
        <is>
          <t>—</t>
        </is>
      </c>
      <c r="D35" s="140" t="inlineStr">
        <is>
          <t>—</t>
        </is>
      </c>
      <c r="E35" s="140" t="inlineStr">
        <is>
          <t>—</t>
        </is>
      </c>
      <c r="F35" s="140" t="n">
        <v>1</v>
      </c>
      <c r="G35" s="140" t="inlineStr">
        <is>
          <t>—</t>
        </is>
      </c>
      <c r="H35" s="154" t="inlineStr">
        <is>
          <t>Myanmar</t>
        </is>
      </c>
      <c r="I35" s="155" t="inlineStr">
        <is>
          <t>$6.00</t>
        </is>
      </c>
      <c r="J35" s="155" t="n">
        <v>1</v>
      </c>
      <c r="K35" s="155" t="inlineStr">
        <is>
          <t>-$4.77</t>
        </is>
      </c>
    </row>
    <row r="36" ht="15" customHeight="1">
      <c r="H36" s="154" t="inlineStr">
        <is>
          <t>Bolivia</t>
        </is>
      </c>
      <c r="I36" s="155" t="inlineStr">
        <is>
          <t>$10.00</t>
        </is>
      </c>
      <c r="J36" s="155" t="n">
        <v>1</v>
      </c>
      <c r="K36" s="155" t="inlineStr">
        <is>
          <t>-$0.77</t>
        </is>
      </c>
    </row>
    <row r="200">
      <c r="B200" t="inlineStr">
        <is>
          <t>Origin</t>
        </is>
      </c>
      <c r="C200" t="inlineStr">
        <is>
          <t>Entries</t>
        </is>
      </c>
    </row>
    <row r="201">
      <c r="B201" t="inlineStr">
        <is>
          <t>Colombia</t>
        </is>
      </c>
      <c r="C201" t="n">
        <v>16</v>
      </c>
    </row>
    <row r="202">
      <c r="B202" t="inlineStr">
        <is>
          <t>Ethiopia</t>
        </is>
      </c>
      <c r="C202" t="n">
        <v>7</v>
      </c>
    </row>
    <row r="203">
      <c r="B203" t="inlineStr">
        <is>
          <t>Brazil</t>
        </is>
      </c>
      <c r="C203" t="n">
        <v>5</v>
      </c>
    </row>
    <row r="204">
      <c r="B204" t="inlineStr">
        <is>
          <t>Indonesia</t>
        </is>
      </c>
      <c r="C204" t="n">
        <v>4</v>
      </c>
    </row>
    <row r="205">
      <c r="B205" t="inlineStr">
        <is>
          <t>Honduras</t>
        </is>
      </c>
      <c r="C205" t="n">
        <v>3</v>
      </c>
    </row>
    <row r="206">
      <c r="B206" t="inlineStr">
        <is>
          <t>Kenya</t>
        </is>
      </c>
      <c r="C206" t="n">
        <v>2</v>
      </c>
    </row>
    <row r="207">
      <c r="B207" t="inlineStr">
        <is>
          <t>India</t>
        </is>
      </c>
      <c r="C207" t="n">
        <v>2</v>
      </c>
    </row>
    <row r="208">
      <c r="B208" t="inlineStr">
        <is>
          <t>Nicaragua</t>
        </is>
      </c>
      <c r="C208" t="n">
        <v>2</v>
      </c>
    </row>
    <row r="209">
      <c r="B209" t="inlineStr">
        <is>
          <t>Peru</t>
        </is>
      </c>
      <c r="C209" t="n">
        <v>2</v>
      </c>
    </row>
    <row r="210">
      <c r="B210" t="inlineStr">
        <is>
          <t>El Salvador</t>
        </is>
      </c>
      <c r="C210" t="n">
        <v>1</v>
      </c>
    </row>
  </sheetData>
  <mergeCells count="16">
    <mergeCell ref="B4:L4"/>
    <mergeCell ref="H21:M21"/>
    <mergeCell ref="H16:M16"/>
    <mergeCell ref="H15:M15"/>
    <mergeCell ref="B7:F7"/>
    <mergeCell ref="H10:M10"/>
    <mergeCell ref="H19:M19"/>
    <mergeCell ref="H18:M18"/>
    <mergeCell ref="B2:L2"/>
    <mergeCell ref="B5:L5"/>
    <mergeCell ref="H9:M9"/>
    <mergeCell ref="H13:M13"/>
    <mergeCell ref="H8:M8"/>
    <mergeCell ref="H12:M12"/>
    <mergeCell ref="B27:F27"/>
    <mergeCell ref="B1:L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8B4513"/>
    <outlinePr summaryBelow="1" summaryRight="1"/>
    <pageSetUpPr/>
  </sheetPr>
  <dimension ref="B1:L28"/>
  <sheetViews>
    <sheetView showGridLines="0" workbookViewId="0">
      <selection activeCell="A1" sqref="A1"/>
    </sheetView>
  </sheetViews>
  <sheetFormatPr baseColWidth="8" defaultRowHeight="15"/>
  <cols>
    <col width="2" customWidth="1" min="1" max="1"/>
    <col width="22" customWidth="1" min="2" max="2"/>
    <col width="10" customWidth="1" min="3" max="3"/>
    <col width="8" customWidth="1" min="4" max="4"/>
    <col width="14" customWidth="1" min="5" max="5"/>
    <col width="34" customWidth="1" min="6" max="6"/>
    <col width="2" customWidth="1" min="7" max="7"/>
    <col width="22" customWidth="1" min="8" max="8"/>
    <col width="12" customWidth="1" min="9" max="9"/>
    <col width="12" customWidth="1" min="10" max="10"/>
    <col width="14" customWidth="1" min="11" max="11"/>
    <col width="2" customWidth="1" min="12" max="12"/>
  </cols>
  <sheetData>
    <row r="1" ht="38" customHeight="1">
      <c r="B1" s="116" t="inlineStr">
        <is>
          <t>⚙️  HARDWARE &amp; EXTRACTION PHYSICS</t>
        </is>
      </c>
    </row>
    <row r="2" ht="16" customHeight="1">
      <c r="B2" s="117" t="inlineStr">
        <is>
          <t>Grinder burr geometry · Brewer architecture · Temperature protocols · The physics behind the cup</t>
        </is>
      </c>
    </row>
    <row r="3" ht="8" customHeight="1"/>
    <row r="4" ht="22" customHeight="1">
      <c r="B4" s="151" t="inlineStr">
        <is>
          <t>📖  THE HARDWARE THESIS</t>
        </is>
      </c>
      <c r="C4" s="193" t="n"/>
      <c r="D4" s="193" t="n"/>
      <c r="E4" s="193" t="n"/>
      <c r="F4" s="193" t="n"/>
      <c r="G4" s="193" t="n"/>
      <c r="H4" s="193" t="n"/>
      <c r="I4" s="193" t="n"/>
      <c r="J4" s="193" t="n"/>
      <c r="K4" s="194" t="n"/>
    </row>
    <row r="5" ht="40" customHeight="1">
      <c r="B5" s="134" t="inlineStr">
        <is>
          <t>The archive has identified a repeatable hardware signal: FLAT-BURR GRINDER + FLAT-BOTTOM BREWER = the best cups. Flat burrs (64mm–120mm) produce unimodal particle distribution — uniform grind size means uniform extraction across the entire bed. Flat-bottom brewers distribute that bed evenly, preventing apex fines compaction. The conical V60 consistently under-delivers relative to the bean's genetic potential. This is not preference — it is physics documented across 54 entries.</t>
        </is>
      </c>
      <c r="C5" s="189" t="n"/>
      <c r="D5" s="189" t="n"/>
      <c r="E5" s="189" t="n"/>
      <c r="F5" s="189" t="n"/>
      <c r="G5" s="189" t="n"/>
      <c r="H5" s="189" t="n"/>
      <c r="I5" s="189" t="n"/>
      <c r="J5" s="189" t="n"/>
      <c r="K5" s="190" t="n"/>
    </row>
    <row r="6" ht="6" customHeight="1"/>
    <row r="7" ht="22" customHeight="1">
      <c r="B7" s="132" t="inlineStr">
        <is>
          <t>⚙️  GRINDER PLATFORM — BURR SIZE INTELLIGENCE</t>
        </is>
      </c>
      <c r="C7" s="187" t="n"/>
      <c r="D7" s="187" t="n"/>
      <c r="E7" s="187" t="n"/>
      <c r="F7" s="188" t="n"/>
    </row>
    <row r="8" ht="22" customHeight="1">
      <c r="B8" s="134" t="inlineStr">
        <is>
          <t>Burr diameter is the primary grinder variable. Larger flat burrs (98mm+) produce wider particle distribution and higher throughput — designed for commercial volume. Smaller precision flat burrs (64–83mm) optimise for single-dose filter clarity. The archive's best cups correlate with 64–83mm precision flat burr platforms.</t>
        </is>
      </c>
      <c r="C8" s="189" t="n"/>
      <c r="D8" s="189" t="n"/>
      <c r="E8" s="189" t="n"/>
      <c r="F8" s="190" t="n"/>
      <c r="H8" s="151" t="inlineStr">
        <is>
          <t>📋  EXTRACTION CASE STUDIES — Archive Standouts</t>
        </is>
      </c>
      <c r="I8" s="193" t="n"/>
      <c r="J8" s="193" t="n"/>
      <c r="K8" s="193" t="n"/>
      <c r="L8" s="194" t="n"/>
    </row>
    <row r="9" ht="22" customHeight="1">
      <c r="B9" s="136" t="inlineStr">
        <is>
          <t>Grinder</t>
        </is>
      </c>
      <c r="C9" s="136" t="inlineStr">
        <is>
          <t>Brand</t>
        </is>
      </c>
      <c r="D9" s="136" t="inlineStr">
        <is>
          <t>n</t>
        </is>
      </c>
      <c r="E9" s="136" t="inlineStr">
        <is>
          <t>Archive Role</t>
        </is>
      </c>
      <c r="F9" s="136" t="inlineStr">
        <is>
          <t>Tier</t>
        </is>
      </c>
      <c r="H9" s="132" t="inlineStr">
        <is>
          <t xml:space="preserve">  🏆 Cup of the Year — El Obraje — Fluid Collective · 16 May 2026</t>
        </is>
      </c>
      <c r="I9" s="187" t="n"/>
      <c r="J9" s="187" t="n"/>
      <c r="K9" s="187" t="n"/>
      <c r="L9" s="188" t="n"/>
    </row>
    <row r="10" ht="40" customHeight="1">
      <c r="B10" s="156" t="inlineStr">
        <is>
          <t>Lagom P64 (64mm Flat)</t>
        </is>
      </c>
      <c r="C10" s="154" t="inlineStr">
        <is>
          <t>Option-O</t>
        </is>
      </c>
      <c r="D10" s="155" t="inlineStr">
        <is>
          <t>7</t>
        </is>
      </c>
      <c r="E10" s="154" t="inlineStr">
        <is>
          <t>Precision single-dose. Best cup correlation in archive. Fluid Collective signature grinder.</t>
        </is>
      </c>
      <c r="F10" s="157" t="inlineStr">
        <is>
          <t>TIER 1 ⭐</t>
        </is>
      </c>
      <c r="H10" s="163" t="inlineStr">
        <is>
          <t>Lagom P64 (64mm flat) + Hario Switch (flat-bottom immersion) + 70→90→70°C thermal oscillation protocol. Three-temperature pour stratifies aromatic fractions: 70°C bloom (CO₂ displacement), 90°C main (peak acid/sugar extraction), 70°C final (low-energy sugar sweep). Result: mango → orange blossom → honey arc. Hardware and protocol perfectly matched to Washed Colombia Gesha genetics.</t>
        </is>
      </c>
      <c r="I10" s="189" t="n"/>
      <c r="J10" s="189" t="n"/>
      <c r="K10" s="189" t="n"/>
      <c r="L10" s="190" t="n"/>
    </row>
    <row r="11" ht="4" customHeight="1">
      <c r="B11" s="156" t="inlineStr">
        <is>
          <t>EK43 Mini (64mm Flat)</t>
        </is>
      </c>
      <c r="C11" s="154" t="inlineStr">
        <is>
          <t>Mahlkönig</t>
        </is>
      </c>
      <c r="D11" s="155" t="inlineStr">
        <is>
          <t>1</t>
        </is>
      </c>
      <c r="E11" s="154" t="inlineStr">
        <is>
          <t>Compact precision flat burr — 64mm. Single-dose optimised. Pinhole Coffee Bar.</t>
        </is>
      </c>
      <c r="F11" s="157" t="inlineStr">
        <is>
          <t>TIER 1</t>
        </is>
      </c>
    </row>
    <row r="12" ht="22" customHeight="1">
      <c r="B12" s="156" t="inlineStr">
        <is>
          <t>Timemore Sculptor ~64mm</t>
        </is>
      </c>
      <c r="C12" s="154" t="inlineStr">
        <is>
          <t>Timemore</t>
        </is>
      </c>
      <c r="D12" s="155" t="inlineStr">
        <is>
          <t>2</t>
        </is>
      </c>
      <c r="E12" s="154" t="inlineStr">
        <is>
          <t>Flat burr precision, SSP-adjacent particle curve.</t>
        </is>
      </c>
      <c r="F12" s="157" t="inlineStr">
        <is>
          <t>TIER 1</t>
        </is>
      </c>
      <c r="H12" s="132" t="inlineStr">
        <is>
          <t xml:space="preserve">  ⚠️ Hardware Miss #1 — Rwanda Nkara — Kurasu · 2026</t>
        </is>
      </c>
      <c r="I12" s="187" t="n"/>
      <c r="J12" s="187" t="n"/>
      <c r="K12" s="187" t="n"/>
      <c r="L12" s="188" t="n"/>
    </row>
    <row r="13" ht="40" customHeight="1">
      <c r="B13" s="156" t="inlineStr">
        <is>
          <t>DF83 (83mm Flat)</t>
        </is>
      </c>
      <c r="C13" s="154" t="inlineStr">
        <is>
          <t>DF</t>
        </is>
      </c>
      <c r="D13" s="155" t="inlineStr">
        <is>
          <t>3</t>
        </is>
      </c>
      <c r="E13" s="154" t="inlineStr">
        <is>
          <t>83mm flat steel — high clarity, strong body. Cowpresso.</t>
        </is>
      </c>
      <c r="F13" s="157" t="inlineStr">
        <is>
          <t>TIER 1</t>
        </is>
      </c>
      <c r="H13" s="166" t="inlineStr">
        <is>
          <t>V60 Conical + wide-fines grinder. Over-extraction fingerprint confirmed: astringency in finish, citric acid clipped, terroir unrealised. Rwanda SL28/SL34 at altitude deserved flat-bottom treatment. Hardware execution miss — bean likely excellent.</t>
        </is>
      </c>
      <c r="I13" s="189" t="n"/>
      <c r="J13" s="189" t="n"/>
      <c r="K13" s="189" t="n"/>
      <c r="L13" s="190" t="n"/>
    </row>
    <row r="14" ht="4" customHeight="1">
      <c r="B14" s="143" t="inlineStr">
        <is>
          <t>EK43S (98mm Flat)</t>
        </is>
      </c>
      <c r="C14" s="143" t="inlineStr">
        <is>
          <t>Mahlkönig</t>
        </is>
      </c>
      <c r="D14" s="144" t="inlineStr">
        <is>
          <t>3</t>
        </is>
      </c>
      <c r="E14" s="143" t="inlineStr">
        <is>
          <t>SSP burr upgrade on 98mm — precision commercial.</t>
        </is>
      </c>
      <c r="F14" s="144" t="inlineStr">
        <is>
          <t>TIER 2</t>
        </is>
      </c>
    </row>
    <row r="15" ht="22" customHeight="1">
      <c r="B15" s="143" t="inlineStr">
        <is>
          <t>EK43 (98mm Flat)</t>
        </is>
      </c>
      <c r="C15" s="143" t="inlineStr">
        <is>
          <t>Mahlkönig</t>
        </is>
      </c>
      <c r="D15" s="144" t="inlineStr">
        <is>
          <t>7</t>
        </is>
      </c>
      <c r="E15" s="143" t="inlineStr">
        <is>
          <t>Stock 98mm — elevated fines. Commercial throughput design.</t>
        </is>
      </c>
      <c r="F15" s="144" t="inlineStr">
        <is>
          <t>TIER 2</t>
        </is>
      </c>
      <c r="H15" s="132" t="inlineStr">
        <is>
          <t xml:space="preserve">  ⚠️ Hardware Miss #2 — Suke Quto — PPP Coffee · 2026</t>
        </is>
      </c>
      <c r="I15" s="187" t="n"/>
      <c r="J15" s="187" t="n"/>
      <c r="K15" s="187" t="n"/>
      <c r="L15" s="188" t="n"/>
    </row>
    <row r="16" ht="40" customHeight="1">
      <c r="B16" s="143" t="inlineStr">
        <is>
          <t>EK Omnia (98mm Flat)</t>
        </is>
      </c>
      <c r="C16" s="143" t="inlineStr">
        <is>
          <t>Mahlkönig</t>
        </is>
      </c>
      <c r="D16" s="144" t="inlineStr">
        <is>
          <t>3</t>
        </is>
      </c>
      <c r="E16" s="143" t="inlineStr">
        <is>
          <t>98mm flat — consistent commercial performer.</t>
        </is>
      </c>
      <c r="F16" s="144" t="inlineStr">
        <is>
          <t>TIER 2</t>
        </is>
      </c>
      <c r="H16" s="166" t="inlineStr">
        <is>
          <t>V60 conical + insufficient dose. Same over-extraction signal as Rwanda Nkara. Ethiopian heirloom in a conical with fines compaction — linalool aromatics clipped before cool-phase delivery.</t>
        </is>
      </c>
      <c r="I16" s="189" t="n"/>
      <c r="J16" s="189" t="n"/>
      <c r="K16" s="189" t="n"/>
      <c r="L16" s="190" t="n"/>
    </row>
    <row r="17" ht="4" customHeight="1">
      <c r="B17" s="143" t="inlineStr">
        <is>
          <t>Ditting (98mm Flat)</t>
        </is>
      </c>
      <c r="C17" s="143" t="inlineStr">
        <is>
          <t>Ditting</t>
        </is>
      </c>
      <c r="D17" s="144" t="inlineStr">
        <is>
          <t>2</t>
        </is>
      </c>
      <c r="E17" s="143" t="inlineStr">
        <is>
          <t>Swiss commercial flat burr. High consistency.</t>
        </is>
      </c>
      <c r="F17" s="144" t="inlineStr">
        <is>
          <t>TIER 2</t>
        </is>
      </c>
    </row>
    <row r="18" ht="22" customHeight="1">
      <c r="B18" s="149" t="inlineStr">
        <is>
          <t>Custom 120mm Flat</t>
        </is>
      </c>
      <c r="C18" s="149" t="inlineStr">
        <is>
          <t>Various</t>
        </is>
      </c>
      <c r="D18" s="150" t="inlineStr">
        <is>
          <t>2</t>
        </is>
      </c>
      <c r="E18" s="149" t="inlineStr">
        <is>
          <t>Large-format flat — maximum clarity at volume.</t>
        </is>
      </c>
      <c r="F18" s="150" t="inlineStr">
        <is>
          <t>TIER 2</t>
        </is>
      </c>
      <c r="H18" s="132" t="inlineStr">
        <is>
          <t xml:space="preserve">  🧪 Fluid Thermal Protocol — Explained — 70°C → 90°C → 70°C — Why it works</t>
        </is>
      </c>
      <c r="I18" s="187" t="n"/>
      <c r="J18" s="187" t="n"/>
      <c r="K18" s="187" t="n"/>
      <c r="L18" s="188" t="n"/>
    </row>
    <row r="19" ht="40" customHeight="1">
      <c r="H19" s="165" t="inlineStr">
        <is>
          <t>70°C bloom: low-energy pour maximises CO₂ displacement without triggering acid extraction. 90°C main pour: peak temperature for malic and citric acid mobilisation + sugar solubility. 70°C final pour: below acid activation threshold — sweeps residual sugars without adding astringency. Net effect: three distinct flavour bands in one cup.</t>
        </is>
      </c>
      <c r="I19" s="189" t="n"/>
      <c r="J19" s="189" t="n"/>
      <c r="K19" s="189" t="n"/>
      <c r="L19" s="190" t="n"/>
    </row>
    <row r="20" ht="4" customHeight="1">
      <c r="B20" s="132" t="inlineStr">
        <is>
          <t>📐  BREWER GEOMETRY — THE CONICAL VS FLAT-BOTTOM VERDICT</t>
        </is>
      </c>
      <c r="C20" s="187" t="n"/>
      <c r="D20" s="187" t="n"/>
      <c r="E20" s="187" t="n"/>
      <c r="F20" s="188" t="n"/>
    </row>
    <row r="21" ht="22" customHeight="1">
      <c r="B21" s="134" t="inlineStr">
        <is>
          <t>The archive's most consistent finding: CONICAL GEOMETRY IS A RISK FACTOR. 12 conical brewer entries document the apex-fines-compaction pattern — water converges at a single drain point, fine particles concentrate, late-brew over-extraction degrades the finish. Cafés flagged: Agora (×2), Asylum (×2), Kurasu, PPP, Pinhole. Flat-bottom geometry (Origami, Orea, Kalita, xBloom, Hario Switch) distributes the puck evenly — even extraction, full aromatic expression.</t>
        </is>
      </c>
      <c r="C21" s="189" t="n"/>
      <c r="D21" s="189" t="n"/>
      <c r="E21" s="189" t="n"/>
      <c r="F21" s="190" t="n"/>
      <c r="H21" s="132" t="inlineStr">
        <is>
          <t xml:space="preserve">  🔬 The Pinhole EK43 Mini Finding — Santa Barbara #1 — Pinhole · 7 Jul 2026</t>
        </is>
      </c>
      <c r="I21" s="187" t="n"/>
      <c r="J21" s="187" t="n"/>
      <c r="K21" s="187" t="n"/>
      <c r="L21" s="188" t="n"/>
    </row>
    <row r="22" ht="40" customHeight="1">
      <c r="B22" s="136" t="inlineStr">
        <is>
          <t>Geometry</t>
        </is>
      </c>
      <c r="C22" s="136" t="inlineStr">
        <is>
          <t>Count</t>
        </is>
      </c>
      <c r="D22" s="136" t="inlineStr">
        <is>
          <t>%</t>
        </is>
      </c>
      <c r="E22" s="136" t="inlineStr">
        <is>
          <t>Signal</t>
        </is>
      </c>
      <c r="F22" s="136" t="inlineStr">
        <is>
          <t>Physics Note</t>
        </is>
      </c>
      <c r="H22" s="133" t="inlineStr">
        <is>
          <t>EK43 Mini (64mm flat burrs) + V60 conical. The 64mm precision burrs delivered a tighter particle distribution than standard EK43 — fines compaction at V60 apex was reduced. Fast 2-minute draw-down further limited over-extraction. Cold-phase mandarin orange + honey emerged cleanly despite conical geometry. Verdict: precision grinder partially compensated for geometry risk.</t>
        </is>
      </c>
      <c r="I22" s="189" t="n"/>
      <c r="J22" s="189" t="n"/>
      <c r="K22" s="189" t="n"/>
      <c r="L22" s="190" t="n"/>
    </row>
    <row r="23" ht="4" customHeight="1">
      <c r="B23" s="156" t="inlineStr">
        <is>
          <t>Flat-Bottom</t>
        </is>
      </c>
      <c r="C23" s="155" t="inlineStr">
        <is>
          <t>21 entries</t>
        </is>
      </c>
      <c r="D23" s="155" t="inlineStr">
        <is>
          <t>44% of cups</t>
        </is>
      </c>
      <c r="E23" s="157" t="inlineStr">
        <is>
          <t>✅ PREFERRED</t>
        </is>
      </c>
      <c r="F23" s="154" t="inlineStr">
        <is>
          <t>Even puck distribution · uniform extraction · full aromatic expression</t>
        </is>
      </c>
    </row>
    <row r="24" ht="15" customHeight="1">
      <c r="B24" s="156" t="inlineStr">
        <is>
          <t>Flat-Bottom (Immersion)</t>
        </is>
      </c>
      <c r="C24" s="155" t="inlineStr">
        <is>
          <t>3 entries</t>
        </is>
      </c>
      <c r="D24" s="155" t="inlineStr">
        <is>
          <t>6%</t>
        </is>
      </c>
      <c r="E24" s="157" t="inlineStr">
        <is>
          <t>✅ PREFERRED</t>
        </is>
      </c>
      <c r="F24" s="154" t="inlineStr">
        <is>
          <t>Hario Switch hybrid — immersion + percolation. Best of both.</t>
        </is>
      </c>
    </row>
    <row r="25" ht="15" customHeight="1">
      <c r="B25" s="152" t="inlineStr">
        <is>
          <t>Conical (V60)</t>
        </is>
      </c>
      <c r="C25" s="153" t="inlineStr">
        <is>
          <t>12 entries</t>
        </is>
      </c>
      <c r="D25" s="153" t="inlineStr">
        <is>
          <t>25%</t>
        </is>
      </c>
      <c r="E25" s="170" t="inlineStr">
        <is>
          <t>⚠️ RISK FLAG</t>
        </is>
      </c>
      <c r="F25" s="152" t="inlineStr">
        <is>
          <t>Single-apex drain · fines compaction · late-brew over-extraction risk</t>
        </is>
      </c>
    </row>
    <row r="26" ht="15" customHeight="1">
      <c r="B26" s="143" t="inlineStr">
        <is>
          <t>Batch Filter</t>
        </is>
      </c>
      <c r="C26" s="144" t="inlineStr">
        <is>
          <t>5 entries</t>
        </is>
      </c>
      <c r="D26" s="144" t="inlineStr">
        <is>
          <t>10%</t>
        </is>
      </c>
      <c r="E26" s="144" t="inlineStr">
        <is>
          <t>◼ BASELINE</t>
        </is>
      </c>
      <c r="F26" s="143" t="inlineStr">
        <is>
          <t>Automated batch — clean but removes human read-and-respond dynamic</t>
        </is>
      </c>
    </row>
    <row r="27" ht="15" customHeight="1">
      <c r="B27" s="143" t="inlineStr">
        <is>
          <t>Espresso</t>
        </is>
      </c>
      <c r="C27" s="144" t="inlineStr">
        <is>
          <t>2 entries</t>
        </is>
      </c>
      <c r="D27" s="144" t="inlineStr">
        <is>
          <t>4%</t>
        </is>
      </c>
      <c r="E27" s="144" t="inlineStr">
        <is>
          <t>◼ DIFFERENT</t>
        </is>
      </c>
      <c r="F27" s="143" t="inlineStr">
        <is>
          <t>Pressure extraction — different physics domain</t>
        </is>
      </c>
    </row>
    <row r="28" ht="15" customHeight="1">
      <c r="B28" s="139" t="inlineStr">
        <is>
          <t>Other/Unknown</t>
        </is>
      </c>
      <c r="C28" s="140" t="inlineStr">
        <is>
          <t>11 entries</t>
        </is>
      </c>
      <c r="D28" s="140" t="inlineStr">
        <is>
          <t>23%</t>
        </is>
      </c>
      <c r="E28" s="140" t="inlineStr">
        <is>
          <t>— UNLOGGED</t>
        </is>
      </c>
      <c r="F28" s="139" t="inlineStr">
        <is>
          <t>Parameters not observed or batch format</t>
        </is>
      </c>
    </row>
  </sheetData>
  <mergeCells count="19">
    <mergeCell ref="B7:F7"/>
    <mergeCell ref="H10:L10"/>
    <mergeCell ref="B5:K5"/>
    <mergeCell ref="B21:F21"/>
    <mergeCell ref="H9:L9"/>
    <mergeCell ref="B4:K4"/>
    <mergeCell ref="H21:L21"/>
    <mergeCell ref="B8:F8"/>
    <mergeCell ref="H16:L16"/>
    <mergeCell ref="B2:K2"/>
    <mergeCell ref="H13:L13"/>
    <mergeCell ref="H19:L19"/>
    <mergeCell ref="H22:L22"/>
    <mergeCell ref="B1:K1"/>
    <mergeCell ref="H12:L12"/>
    <mergeCell ref="B20:F20"/>
    <mergeCell ref="H15:L15"/>
    <mergeCell ref="H18:L18"/>
    <mergeCell ref="H8:L8"/>
  </mergeCells>
  <pageMargins left="0.75" right="0.75" top="1" bottom="1" header="0.5" footer="0.5"/>
</worksheet>
</file>

<file path=xl/worksheets/sheet6.xml><?xml version="1.0" encoding="utf-8"?>
<worksheet xmlns="http://schemas.openxmlformats.org/spreadsheetml/2006/main">
  <sheetPr>
    <tabColor rgb="00D4A017"/>
    <outlinePr summaryBelow="1" summaryRight="1"/>
    <pageSetUpPr/>
  </sheetPr>
  <dimension ref="B1:M208"/>
  <sheetViews>
    <sheetView showGridLines="0" workbookViewId="0">
      <selection activeCell="A1" sqref="A1"/>
    </sheetView>
  </sheetViews>
  <sheetFormatPr baseColWidth="8" defaultRowHeight="15"/>
  <cols>
    <col width="2" customWidth="1" min="1" max="1"/>
    <col width="20" customWidth="1" min="2" max="2"/>
    <col width="10" customWidth="1" min="3" max="3"/>
    <col width="10" customWidth="1" min="4" max="4"/>
    <col width="10" customWidth="1" min="5" max="5"/>
    <col width="6" customWidth="1" min="6" max="6"/>
    <col width="8" customWidth="1" min="7" max="7"/>
    <col width="22" customWidth="1" min="8" max="8"/>
    <col width="10" customWidth="1" min="9" max="9"/>
    <col width="6" customWidth="1" min="10" max="10"/>
    <col width="12" customWidth="1" min="11" max="11"/>
    <col width="14" customWidth="1" min="12" max="12"/>
    <col width="2" customWidth="1" min="13" max="13"/>
  </cols>
  <sheetData>
    <row r="1" ht="38" customHeight="1">
      <c r="B1" s="116" t="inlineStr">
        <is>
          <t>💰  PRICE &amp; VALUE INTELLIGENCE</t>
        </is>
      </c>
    </row>
    <row r="2" ht="16" customHeight="1">
      <c r="B2" s="117" t="inlineStr">
        <is>
          <t>SGD 9.67 average non-Gesha · SGD 13.94 Gesha average · +44% apex varietal premium</t>
        </is>
      </c>
    </row>
    <row r="3" ht="8" customHeight="1"/>
    <row r="4" ht="22" customHeight="1">
      <c r="B4" s="151" t="inlineStr">
        <is>
          <t>📖  THE VALUE THESIS</t>
        </is>
      </c>
      <c r="C4" s="193" t="n"/>
      <c r="D4" s="193" t="n"/>
      <c r="E4" s="193" t="n"/>
      <c r="F4" s="193" t="n"/>
      <c r="G4" s="193" t="n"/>
      <c r="H4" s="193" t="n"/>
      <c r="I4" s="193" t="n"/>
      <c r="J4" s="193" t="n"/>
      <c r="K4" s="193" t="n"/>
      <c r="L4" s="194" t="n"/>
    </row>
    <row r="5" ht="40" customHeight="1">
      <c r="B5" s="134" t="inlineStr">
        <is>
          <t>Singapore specialty filter coffee averages SGD 10.77 across 39 priced entries. The Gesha premium is real and documented: SGD 13.94 vs SGD 9.67 — a 44% uplift for the apex varietal. Yet the archive's second-rated cup (Gara Agena Washed Special Prep, Fluid Collective) cost only SGD 9.00. Price correlates with varietal rarity, not necessarily with sensory quality. The archive tracks both — and the data shows where the premium is justified.</t>
        </is>
      </c>
      <c r="C5" s="189" t="n"/>
      <c r="D5" s="189" t="n"/>
      <c r="E5" s="189" t="n"/>
      <c r="F5" s="189" t="n"/>
      <c r="G5" s="189" t="n"/>
      <c r="H5" s="189" t="n"/>
      <c r="I5" s="189" t="n"/>
      <c r="J5" s="189" t="n"/>
      <c r="K5" s="189" t="n"/>
      <c r="L5" s="190" t="n"/>
    </row>
    <row r="6" ht="6" customHeight="1"/>
    <row r="7" ht="22" customHeight="1">
      <c r="B7" s="122" t="inlineStr">
        <is>
          <t>SGD
10.77</t>
        </is>
      </c>
      <c r="C7" s="120" t="inlineStr">
        <is>
          <t>SGD
13.94</t>
        </is>
      </c>
      <c r="D7" s="171" t="inlineStr">
        <is>
          <t>SGD
9.67</t>
        </is>
      </c>
      <c r="E7" s="172" t="inlineStr">
        <is>
          <t>+44%</t>
        </is>
      </c>
      <c r="F7" s="173" t="inlineStr">
        <is>
          <t>39</t>
        </is>
      </c>
      <c r="G7" s="124" t="inlineStr">
        <is>
          <t>SGD 19</t>
        </is>
      </c>
      <c r="H7" s="174" t="inlineStr">
        <is>
          <t>SGD 7.50</t>
        </is>
      </c>
    </row>
    <row r="8" ht="22" customHeight="1">
      <c r="B8" s="127" t="inlineStr">
        <is>
          <t>ARCHIVE
AVERAGE</t>
        </is>
      </c>
      <c r="C8" s="127" t="inlineStr">
        <is>
          <t>GESHA
AVERAGE</t>
        </is>
      </c>
      <c r="D8" s="127" t="inlineStr">
        <is>
          <t>NON-GESHA
AVG</t>
        </is>
      </c>
      <c r="E8" s="127" t="inlineStr">
        <is>
          <t>GESHA
PREMIUM</t>
        </is>
      </c>
      <c r="F8" s="127" t="inlineStr">
        <is>
          <t>PRICED
ENTRIES</t>
        </is>
      </c>
      <c r="G8" s="127" t="inlineStr">
        <is>
          <t>MAX PAID</t>
        </is>
      </c>
      <c r="H8" s="145" t="inlineStr">
        <is>
          <t>🌍  PRICE BY ORIGIN — Ranked</t>
        </is>
      </c>
      <c r="I8" s="191" t="n"/>
      <c r="J8" s="191" t="n"/>
      <c r="K8" s="191" t="n"/>
      <c r="L8" s="191" t="n"/>
      <c r="M8" s="192" t="n"/>
    </row>
    <row r="9" ht="16" customHeight="1">
      <c r="H9" s="146" t="inlineStr">
        <is>
          <t>Origin</t>
        </is>
      </c>
      <c r="I9" s="146" t="inlineStr">
        <is>
          <t>Avg SGD</t>
        </is>
      </c>
      <c r="J9" s="146" t="inlineStr">
        <is>
          <t>n</t>
        </is>
      </c>
      <c r="K9" s="146" t="inlineStr">
        <is>
          <t>vs Avg</t>
        </is>
      </c>
    </row>
    <row r="10" ht="15" customHeight="1">
      <c r="H10" s="149" t="inlineStr">
        <is>
          <t>Ecuador</t>
        </is>
      </c>
      <c r="I10" s="150" t="inlineStr">
        <is>
          <t>$18.00</t>
        </is>
      </c>
      <c r="J10" s="150" t="n">
        <v>1</v>
      </c>
      <c r="K10" s="150" t="inlineStr">
        <is>
          <t>+$7.23</t>
        </is>
      </c>
    </row>
    <row r="11" ht="15" customHeight="1">
      <c r="B11" s="132" t="inlineStr">
        <is>
          <t>🏆  PREMIUM CUP LEADERBOARD — Top 12</t>
        </is>
      </c>
      <c r="C11" s="187" t="n"/>
      <c r="D11" s="187" t="n"/>
      <c r="E11" s="187" t="n"/>
      <c r="F11" s="188" t="n"/>
      <c r="H11" s="149" t="inlineStr">
        <is>
          <t>Malaysia</t>
        </is>
      </c>
      <c r="I11" s="150" t="inlineStr">
        <is>
          <t>$13.00</t>
        </is>
      </c>
      <c r="J11" s="150" t="n">
        <v>1</v>
      </c>
      <c r="K11" s="150" t="inlineStr">
        <is>
          <t>+$2.23</t>
        </is>
      </c>
    </row>
    <row r="12" ht="15" customHeight="1">
      <c r="B12" s="136" t="inlineStr">
        <is>
          <t>Café</t>
        </is>
      </c>
      <c r="C12" s="136" t="inlineStr">
        <is>
          <t>Coffee</t>
        </is>
      </c>
      <c r="D12" s="136" t="inlineStr">
        <is>
          <t>SGD</t>
        </is>
      </c>
      <c r="E12" s="136" t="inlineStr">
        <is>
          <t>Origin</t>
        </is>
      </c>
      <c r="F12" s="136" t="inlineStr">
        <is>
          <t>Process</t>
        </is>
      </c>
      <c r="G12" s="136" t="inlineStr">
        <is>
          <t>Gesha?</t>
        </is>
      </c>
      <c r="H12" s="149" t="inlineStr">
        <is>
          <t>Colombia</t>
        </is>
      </c>
      <c r="I12" s="150" t="inlineStr">
        <is>
          <t>$12.03</t>
        </is>
      </c>
      <c r="J12" s="150" t="n">
        <v>14</v>
      </c>
      <c r="K12" s="150" t="inlineStr">
        <is>
          <t>+$1.26</t>
        </is>
      </c>
    </row>
    <row r="13" ht="15" customHeight="1">
      <c r="B13" s="158" t="inlineStr">
        <is>
          <t>Homeground Coffee Ro</t>
        </is>
      </c>
      <c r="C13" s="158" t="inlineStr">
        <is>
          <t>Colombia Inmaculada Gesh</t>
        </is>
      </c>
      <c r="D13" s="159" t="inlineStr">
        <is>
          <t>$19.00</t>
        </is>
      </c>
      <c r="E13" s="158" t="inlineStr">
        <is>
          <t>Colombia</t>
        </is>
      </c>
      <c r="F13" s="158" t="inlineStr">
        <is>
          <t>Natural</t>
        </is>
      </c>
      <c r="G13" s="159" t="inlineStr">
        <is>
          <t>⭐</t>
        </is>
      </c>
      <c r="H13" s="149" t="inlineStr">
        <is>
          <t>Boquerón</t>
        </is>
      </c>
      <c r="I13" s="150" t="inlineStr">
        <is>
          <t>$12.00</t>
        </is>
      </c>
      <c r="J13" s="150" t="n">
        <v>1</v>
      </c>
      <c r="K13" s="150" t="inlineStr">
        <is>
          <t>+$1.23</t>
        </is>
      </c>
    </row>
    <row r="14" ht="15" customHeight="1">
      <c r="B14" s="158" t="inlineStr">
        <is>
          <t>Pocket by Flip (Flip</t>
        </is>
      </c>
      <c r="C14" s="158" t="inlineStr">
        <is>
          <t>Ecuador La Papaya</t>
        </is>
      </c>
      <c r="D14" s="159" t="inlineStr">
        <is>
          <t>$18.00</t>
        </is>
      </c>
      <c r="E14" s="158" t="inlineStr">
        <is>
          <t>Ecuador</t>
        </is>
      </c>
      <c r="F14" s="158" t="inlineStr">
        <is>
          <t>Washed</t>
        </is>
      </c>
      <c r="G14" s="159" t="inlineStr">
        <is>
          <t>⭐</t>
        </is>
      </c>
      <c r="H14" s="149" t="inlineStr">
        <is>
          <t>Honduras</t>
        </is>
      </c>
      <c r="I14" s="150" t="inlineStr">
        <is>
          <t>$12.00</t>
        </is>
      </c>
      <c r="J14" s="150" t="n">
        <v>2</v>
      </c>
      <c r="K14" s="150" t="inlineStr">
        <is>
          <t>+$1.23</t>
        </is>
      </c>
    </row>
    <row r="15" ht="15" customHeight="1">
      <c r="B15" s="139" t="inlineStr">
        <is>
          <t>ASK Coffee Roastery</t>
        </is>
      </c>
      <c r="C15" s="139" t="inlineStr">
        <is>
          <t>Honduras Masaguara (S13)</t>
        </is>
      </c>
      <c r="D15" s="140" t="inlineStr">
        <is>
          <t>$15.00</t>
        </is>
      </c>
      <c r="E15" s="139" t="inlineStr">
        <is>
          <t>Honduras</t>
        </is>
      </c>
      <c r="F15" s="139" t="inlineStr">
        <is>
          <t>Experimental Ferment</t>
        </is>
      </c>
      <c r="G15" s="140" t="inlineStr"/>
      <c r="H15" s="139" t="inlineStr">
        <is>
          <t>Peru</t>
        </is>
      </c>
      <c r="I15" s="140" t="inlineStr">
        <is>
          <t>$11.75</t>
        </is>
      </c>
      <c r="J15" s="140" t="n">
        <v>2</v>
      </c>
      <c r="K15" s="140" t="inlineStr">
        <is>
          <t>+$0.98</t>
        </is>
      </c>
    </row>
    <row r="16" ht="15" customHeight="1">
      <c r="B16" s="158" t="inlineStr">
        <is>
          <t>Keryi Coffee</t>
        </is>
      </c>
      <c r="C16" s="158" t="inlineStr">
        <is>
          <t>Colombia Finca La Esmara</t>
        </is>
      </c>
      <c r="D16" s="159" t="inlineStr">
        <is>
          <t>$15.00</t>
        </is>
      </c>
      <c r="E16" s="158" t="inlineStr">
        <is>
          <t>Colombia</t>
        </is>
      </c>
      <c r="F16" s="158" t="inlineStr">
        <is>
          <t>Honey</t>
        </is>
      </c>
      <c r="G16" s="159" t="inlineStr">
        <is>
          <t>⭐</t>
        </is>
      </c>
      <c r="H16" s="139" t="inlineStr">
        <is>
          <t>Bolivia</t>
        </is>
      </c>
      <c r="I16" s="140" t="inlineStr">
        <is>
          <t>$10.00</t>
        </is>
      </c>
      <c r="J16" s="140" t="n">
        <v>1</v>
      </c>
      <c r="K16" s="140" t="inlineStr">
        <is>
          <t>-$0.77</t>
        </is>
      </c>
    </row>
    <row r="17" ht="15" customHeight="1">
      <c r="B17" s="158" t="inlineStr">
        <is>
          <t>Pinhole Coffee Bar</t>
        </is>
      </c>
      <c r="C17" s="158" t="inlineStr">
        <is>
          <t>Santa Barbara #1 — Gesha</t>
        </is>
      </c>
      <c r="D17" s="159" t="inlineStr">
        <is>
          <t>$15.00</t>
        </is>
      </c>
      <c r="E17" s="158" t="inlineStr">
        <is>
          <t>Colombia</t>
        </is>
      </c>
      <c r="F17" s="158" t="inlineStr">
        <is>
          <t>Honey</t>
        </is>
      </c>
      <c r="G17" s="159" t="inlineStr">
        <is>
          <t>⭐</t>
        </is>
      </c>
      <c r="H17" s="139" t="inlineStr">
        <is>
          <t>Ethiopia</t>
        </is>
      </c>
      <c r="I17" s="140" t="inlineStr">
        <is>
          <t>$9.92</t>
        </is>
      </c>
      <c r="J17" s="140" t="n">
        <v>6</v>
      </c>
      <c r="K17" s="140" t="inlineStr">
        <is>
          <t>-$0.85</t>
        </is>
      </c>
    </row>
    <row r="18" ht="15" customHeight="1">
      <c r="B18" s="158" t="inlineStr">
        <is>
          <t>FLUID</t>
        </is>
      </c>
      <c r="C18" s="158" t="inlineStr">
        <is>
          <t>El Obraje</t>
        </is>
      </c>
      <c r="D18" s="159" t="inlineStr">
        <is>
          <t>$14.00</t>
        </is>
      </c>
      <c r="E18" s="158" t="inlineStr">
        <is>
          <t>Colombia</t>
        </is>
      </c>
      <c r="F18" s="158" t="inlineStr">
        <is>
          <t>Washed</t>
        </is>
      </c>
      <c r="G18" s="159" t="inlineStr">
        <is>
          <t>⭐</t>
        </is>
      </c>
      <c r="H18" s="154" t="inlineStr">
        <is>
          <t>China</t>
        </is>
      </c>
      <c r="I18" s="155" t="inlineStr">
        <is>
          <t>$9.50</t>
        </is>
      </c>
      <c r="J18" s="155" t="n">
        <v>1</v>
      </c>
      <c r="K18" s="155" t="inlineStr">
        <is>
          <t>-$1.27</t>
        </is>
      </c>
    </row>
    <row r="19" ht="15" customHeight="1">
      <c r="B19" s="139" t="inlineStr">
        <is>
          <t>Asylum Coffeehouse</t>
        </is>
      </c>
      <c r="C19" s="139" t="inlineStr">
        <is>
          <t>Yellow Sudan Rume</t>
        </is>
      </c>
      <c r="D19" s="140" t="inlineStr">
        <is>
          <t>$14.00</t>
        </is>
      </c>
      <c r="E19" s="139" t="inlineStr">
        <is>
          <t>Colombia</t>
        </is>
      </c>
      <c r="F19" s="139" t="inlineStr">
        <is>
          <t>Natural</t>
        </is>
      </c>
      <c r="G19" s="140" t="inlineStr"/>
      <c r="H19" s="154" t="inlineStr">
        <is>
          <t>Rwanda</t>
        </is>
      </c>
      <c r="I19" s="155" t="inlineStr">
        <is>
          <t>$9.27</t>
        </is>
      </c>
      <c r="J19" s="155" t="n">
        <v>1</v>
      </c>
      <c r="K19" s="155" t="inlineStr">
        <is>
          <t>-$1.50</t>
        </is>
      </c>
    </row>
    <row r="20" ht="15" customHeight="1">
      <c r="B20" s="143" t="inlineStr">
        <is>
          <t>Corner Corner</t>
        </is>
      </c>
      <c r="C20" s="143" t="inlineStr">
        <is>
          <t>Malaysia My Liberica</t>
        </is>
      </c>
      <c r="D20" s="144" t="inlineStr">
        <is>
          <t>$13.00</t>
        </is>
      </c>
      <c r="E20" s="143" t="inlineStr">
        <is>
          <t>Malaysia</t>
        </is>
      </c>
      <c r="F20" s="143" t="inlineStr">
        <is>
          <t>Natural</t>
        </is>
      </c>
      <c r="G20" s="144" t="inlineStr"/>
      <c r="H20" s="154" t="inlineStr">
        <is>
          <t>Indonesia</t>
        </is>
      </c>
      <c r="I20" s="155" t="inlineStr">
        <is>
          <t>$9.00</t>
        </is>
      </c>
      <c r="J20" s="155" t="n">
        <v>2</v>
      </c>
      <c r="K20" s="155" t="inlineStr">
        <is>
          <t>-$1.77</t>
        </is>
      </c>
    </row>
    <row r="21" ht="15" customHeight="1">
      <c r="B21" s="158" t="inlineStr">
        <is>
          <t>Equate</t>
        </is>
      </c>
      <c r="C21" s="158" t="inlineStr">
        <is>
          <t>Colombia Huila La Prader</t>
        </is>
      </c>
      <c r="D21" s="159" t="inlineStr">
        <is>
          <t>$13.00</t>
        </is>
      </c>
      <c r="E21" s="158" t="inlineStr">
        <is>
          <t>Colombia</t>
        </is>
      </c>
      <c r="F21" s="158" t="inlineStr">
        <is>
          <t>Washed</t>
        </is>
      </c>
      <c r="G21" s="159" t="inlineStr">
        <is>
          <t>⭐</t>
        </is>
      </c>
      <c r="H21" s="154" t="inlineStr">
        <is>
          <t>Kenya</t>
        </is>
      </c>
      <c r="I21" s="155" t="inlineStr">
        <is>
          <t>$8.50</t>
        </is>
      </c>
      <c r="J21" s="155" t="n">
        <v>2</v>
      </c>
      <c r="K21" s="155" t="inlineStr">
        <is>
          <t>-$2.27</t>
        </is>
      </c>
    </row>
    <row r="22" ht="15" customHeight="1">
      <c r="B22" s="143" t="inlineStr">
        <is>
          <t>Keryi Coffee</t>
        </is>
      </c>
      <c r="C22" s="143" t="inlineStr">
        <is>
          <t>Ethiopia Urabeast G1</t>
        </is>
      </c>
      <c r="D22" s="144" t="inlineStr">
        <is>
          <t>$13.00</t>
        </is>
      </c>
      <c r="E22" s="143" t="inlineStr">
        <is>
          <t>Ethiopia</t>
        </is>
      </c>
      <c r="F22" s="143" t="inlineStr">
        <is>
          <t>Experimental Ferment</t>
        </is>
      </c>
      <c r="G22" s="144" t="inlineStr"/>
      <c r="H22" s="154" t="inlineStr">
        <is>
          <t>Brazil</t>
        </is>
      </c>
      <c r="I22" s="155" t="inlineStr">
        <is>
          <t>$6.87</t>
        </is>
      </c>
      <c r="J22" s="155" t="n">
        <v>3</v>
      </c>
      <c r="K22" s="155" t="inlineStr">
        <is>
          <t>-$3.90</t>
        </is>
      </c>
    </row>
    <row r="23" ht="15" customHeight="1">
      <c r="B23" s="139" t="inlineStr">
        <is>
          <t>Asylum Coffeehouse</t>
        </is>
      </c>
      <c r="C23" s="139" t="inlineStr">
        <is>
          <t>Castillo Watermelon (Jai</t>
        </is>
      </c>
      <c r="D23" s="140" t="inlineStr">
        <is>
          <t>$12.50</t>
        </is>
      </c>
      <c r="E23" s="139" t="inlineStr">
        <is>
          <t>Colombia</t>
        </is>
      </c>
      <c r="F23" s="139" t="inlineStr">
        <is>
          <t>Experimental Ferment</t>
        </is>
      </c>
      <c r="G23" s="140" t="inlineStr"/>
      <c r="H23" s="154" t="inlineStr">
        <is>
          <t>Myanmar</t>
        </is>
      </c>
      <c r="I23" s="155" t="inlineStr">
        <is>
          <t>$6.00</t>
        </is>
      </c>
      <c r="J23" s="155" t="n">
        <v>1</v>
      </c>
      <c r="K23" s="155" t="inlineStr">
        <is>
          <t>-$4.77</t>
        </is>
      </c>
    </row>
    <row r="24" ht="6" customHeight="1">
      <c r="B24" s="158" t="inlineStr">
        <is>
          <t>Asylum Coffeehouse</t>
        </is>
      </c>
      <c r="C24" s="158" t="inlineStr">
        <is>
          <t>Peru Gesha (Wilder Garci</t>
        </is>
      </c>
      <c r="D24" s="159" t="inlineStr">
        <is>
          <t>$12.50</t>
        </is>
      </c>
      <c r="E24" s="158" t="inlineStr">
        <is>
          <t>Peru</t>
        </is>
      </c>
      <c r="F24" s="158" t="inlineStr">
        <is>
          <t>Washed</t>
        </is>
      </c>
      <c r="G24" s="159" t="inlineStr">
        <is>
          <t>⭐</t>
        </is>
      </c>
    </row>
    <row r="25" ht="22" customHeight="1">
      <c r="H25" s="177" t="inlineStr">
        <is>
          <t>🧬  PRICE BY VARIETAL — The Gesha Premium Documented</t>
        </is>
      </c>
      <c r="I25" s="185" t="n"/>
      <c r="J25" s="185" t="n"/>
      <c r="K25" s="185" t="n"/>
      <c r="L25" s="185" t="n"/>
      <c r="M25" s="186" t="n"/>
    </row>
    <row r="26" ht="40" customHeight="1">
      <c r="B26" s="168" t="inlineStr">
        <is>
          <t>🍯  PRICE × PROCESS — Does Process Command a Premium?</t>
        </is>
      </c>
      <c r="C26" s="195" t="n"/>
      <c r="D26" s="195" t="n"/>
      <c r="E26" s="195" t="n"/>
      <c r="F26" s="196" t="n"/>
      <c r="H26" s="133" t="inlineStr">
        <is>
          <t>Gesha/Geisha commands SGD 13.94 average — the highest of any varietal in the archive. The data proves the premium is real. But Gara Agena at SGD 9.00 proves heirloom Ethiopian washed varieties can match Gesha sensory intensity at fraction of the price.</t>
        </is>
      </c>
      <c r="I26" s="189" t="n"/>
      <c r="J26" s="189" t="n"/>
      <c r="K26" s="189" t="n"/>
      <c r="L26" s="189" t="n"/>
      <c r="M26" s="190" t="n"/>
    </row>
    <row r="27" ht="16" customHeight="1">
      <c r="B27" s="134" t="inlineStr">
        <is>
          <t>Anaerobic and experimental processes command the highest prices — reflecting processing cost and market novelty. Washed process, despite being the preferred palate choice, sits mid-table — value density is highest here.</t>
        </is>
      </c>
      <c r="C27" s="189" t="n"/>
      <c r="D27" s="189" t="n"/>
      <c r="E27" s="189" t="n"/>
      <c r="F27" s="190" t="n"/>
      <c r="H27" s="135" t="inlineStr">
        <is>
          <t>Varietal</t>
        </is>
      </c>
      <c r="I27" s="135" t="inlineStr">
        <is>
          <t>Avg SGD</t>
        </is>
      </c>
      <c r="J27" s="135" t="inlineStr">
        <is>
          <t>n</t>
        </is>
      </c>
    </row>
    <row r="28" ht="15" customHeight="1">
      <c r="B28" s="169" t="inlineStr">
        <is>
          <t>Process</t>
        </is>
      </c>
      <c r="C28" s="169" t="inlineStr">
        <is>
          <t>Avg SGD</t>
        </is>
      </c>
      <c r="D28" s="169" t="inlineStr">
        <is>
          <t>Min</t>
        </is>
      </c>
      <c r="E28" s="169" t="inlineStr">
        <is>
          <t>Max</t>
        </is>
      </c>
      <c r="F28" s="169" t="inlineStr">
        <is>
          <t>n</t>
        </is>
      </c>
      <c r="H28" s="158" t="inlineStr">
        <is>
          <t>⭐ Gesha/Geisha</t>
        </is>
      </c>
      <c r="I28" s="159" t="inlineStr">
        <is>
          <t>$13.94</t>
        </is>
      </c>
      <c r="J28" s="137" t="n">
        <v>10</v>
      </c>
    </row>
    <row r="29" ht="15" customHeight="1">
      <c r="B29" s="149" t="inlineStr">
        <is>
          <t>Experimental Ferment</t>
        </is>
      </c>
      <c r="C29" s="150" t="inlineStr">
        <is>
          <t>$13.50</t>
        </is>
      </c>
      <c r="D29" s="150" t="inlineStr">
        <is>
          <t>$12.50</t>
        </is>
      </c>
      <c r="E29" s="150" t="inlineStr">
        <is>
          <t>$15.00</t>
        </is>
      </c>
      <c r="F29" s="150" t="n">
        <v>3</v>
      </c>
      <c r="H29" s="143" t="inlineStr">
        <is>
          <t>Liberica</t>
        </is>
      </c>
      <c r="I29" s="144" t="inlineStr">
        <is>
          <t>$13.00</t>
        </is>
      </c>
      <c r="J29" s="144" t="n">
        <v>1</v>
      </c>
    </row>
    <row r="30" ht="15" customHeight="1">
      <c r="B30" s="139" t="inlineStr">
        <is>
          <t>Honey</t>
        </is>
      </c>
      <c r="C30" s="140" t="inlineStr">
        <is>
          <t>$11.50</t>
        </is>
      </c>
      <c r="D30" s="140" t="inlineStr">
        <is>
          <t>$6.00</t>
        </is>
      </c>
      <c r="E30" s="140" t="inlineStr">
        <is>
          <t>$15.00</t>
        </is>
      </c>
      <c r="F30" s="140" t="n">
        <v>5</v>
      </c>
      <c r="H30" s="139" t="inlineStr">
        <is>
          <t>Castillo</t>
        </is>
      </c>
      <c r="I30" s="140" t="inlineStr">
        <is>
          <t>$12.50</t>
        </is>
      </c>
      <c r="J30" s="140" t="n">
        <v>1</v>
      </c>
    </row>
    <row r="31" ht="15" customHeight="1">
      <c r="B31" s="139" t="inlineStr">
        <is>
          <t>Natural</t>
        </is>
      </c>
      <c r="C31" s="140" t="inlineStr">
        <is>
          <t>$11.18</t>
        </is>
      </c>
      <c r="D31" s="140" t="inlineStr">
        <is>
          <t>$7.50</t>
        </is>
      </c>
      <c r="E31" s="140" t="inlineStr">
        <is>
          <t>$19.00</t>
        </is>
      </c>
      <c r="F31" s="140" t="n">
        <v>8</v>
      </c>
      <c r="H31" s="139" t="inlineStr">
        <is>
          <t>Caturra</t>
        </is>
      </c>
      <c r="I31" s="140" t="inlineStr">
        <is>
          <t>$11.62</t>
        </is>
      </c>
      <c r="J31" s="140" t="n">
        <v>4</v>
      </c>
    </row>
    <row r="32" ht="15" customHeight="1">
      <c r="B32" s="139" t="inlineStr">
        <is>
          <t>Anaerobic Washed</t>
        </is>
      </c>
      <c r="C32" s="140" t="inlineStr">
        <is>
          <t>$11.08</t>
        </is>
      </c>
      <c r="D32" s="140" t="inlineStr">
        <is>
          <t>$11.08</t>
        </is>
      </c>
      <c r="E32" s="140" t="inlineStr">
        <is>
          <t>$11.08</t>
        </is>
      </c>
      <c r="F32" s="140" t="n">
        <v>1</v>
      </c>
      <c r="H32" s="143" t="inlineStr">
        <is>
          <t>Sudan Rume</t>
        </is>
      </c>
      <c r="I32" s="144" t="inlineStr">
        <is>
          <t>$11.50</t>
        </is>
      </c>
      <c r="J32" s="144" t="n">
        <v>2</v>
      </c>
    </row>
    <row r="33" ht="15" customHeight="1">
      <c r="B33" s="139" t="inlineStr">
        <is>
          <t>Anaerobic Natural</t>
        </is>
      </c>
      <c r="C33" s="140" t="inlineStr">
        <is>
          <t>$10.50</t>
        </is>
      </c>
      <c r="D33" s="140" t="inlineStr">
        <is>
          <t>$8.50</t>
        </is>
      </c>
      <c r="E33" s="140" t="inlineStr">
        <is>
          <t>$12.00</t>
        </is>
      </c>
      <c r="F33" s="140" t="n">
        <v>3</v>
      </c>
      <c r="H33" s="139" t="inlineStr">
        <is>
          <t>Ethiopian Heirloom</t>
        </is>
      </c>
      <c r="I33" s="140" t="inlineStr">
        <is>
          <t>$10.38</t>
        </is>
      </c>
      <c r="J33" s="140" t="n">
        <v>4</v>
      </c>
    </row>
    <row r="34" ht="15" customHeight="1">
      <c r="B34" s="139" t="inlineStr">
        <is>
          <t>Washed</t>
        </is>
      </c>
      <c r="C34" s="140" t="inlineStr">
        <is>
          <t>$10.27</t>
        </is>
      </c>
      <c r="D34" s="140" t="inlineStr">
        <is>
          <t>$7.50</t>
        </is>
      </c>
      <c r="E34" s="140" t="inlineStr">
        <is>
          <t>$18.00</t>
        </is>
      </c>
      <c r="F34" s="140" t="n">
        <v>18</v>
      </c>
      <c r="H34" s="139" t="inlineStr">
        <is>
          <t>Typica</t>
        </is>
      </c>
      <c r="I34" s="140" t="inlineStr">
        <is>
          <t>$10.04</t>
        </is>
      </c>
      <c r="J34" s="140" t="n">
        <v>2</v>
      </c>
    </row>
    <row r="35" ht="15" customHeight="1">
      <c r="H35" s="139" t="inlineStr">
        <is>
          <t>Local Varietals</t>
        </is>
      </c>
      <c r="I35" s="140" t="inlineStr">
        <is>
          <t>$9.50</t>
        </is>
      </c>
      <c r="J35" s="140" t="n">
        <v>1</v>
      </c>
    </row>
    <row r="36" ht="15" customHeight="1">
      <c r="H36" s="139" t="inlineStr">
        <is>
          <t>Welicho &amp; Kurume (bl</t>
        </is>
      </c>
      <c r="I36" s="140" t="inlineStr">
        <is>
          <t>$9.00</t>
        </is>
      </c>
      <c r="J36" s="140" t="n">
        <v>1</v>
      </c>
    </row>
    <row r="37" ht="15" customHeight="1">
      <c r="H37" s="143" t="inlineStr">
        <is>
          <t>Papayo</t>
        </is>
      </c>
      <c r="I37" s="144" t="inlineStr">
        <is>
          <t>$9.00</t>
        </is>
      </c>
      <c r="J37" s="144" t="n">
        <v>1</v>
      </c>
    </row>
    <row r="38" ht="15" customHeight="1">
      <c r="H38" s="143" t="inlineStr">
        <is>
          <t>Dega, Wolisho, Kurum</t>
        </is>
      </c>
      <c r="I38" s="144" t="inlineStr">
        <is>
          <t>$9.00</t>
        </is>
      </c>
      <c r="J38" s="144" t="n">
        <v>1</v>
      </c>
    </row>
    <row r="39" ht="15" customHeight="1">
      <c r="H39" s="143" t="inlineStr">
        <is>
          <t>Bourbon</t>
        </is>
      </c>
      <c r="I39" s="144" t="inlineStr">
        <is>
          <t>$8.82</t>
        </is>
      </c>
      <c r="J39" s="144" t="n">
        <v>4</v>
      </c>
    </row>
    <row r="40" ht="15" customHeight="1">
      <c r="H40" s="139" t="inlineStr">
        <is>
          <t>Hybrid Laurina</t>
        </is>
      </c>
      <c r="I40" s="140" t="inlineStr">
        <is>
          <t>$8.50</t>
        </is>
      </c>
      <c r="J40" s="140" t="n">
        <v>1</v>
      </c>
    </row>
    <row r="41" ht="15" customHeight="1">
      <c r="H41" s="139" t="inlineStr">
        <is>
          <t>SL28/SL34</t>
        </is>
      </c>
      <c r="I41" s="140" t="inlineStr">
        <is>
          <t>$8.50</t>
        </is>
      </c>
      <c r="J41" s="140" t="n">
        <v>2</v>
      </c>
    </row>
    <row r="42" ht="15" customHeight="1">
      <c r="H42" s="139" t="inlineStr">
        <is>
          <t>Arara</t>
        </is>
      </c>
      <c r="I42" s="140" t="inlineStr">
        <is>
          <t>$7.50</t>
        </is>
      </c>
      <c r="J42" s="140" t="n">
        <v>1</v>
      </c>
    </row>
    <row r="43" ht="15" customHeight="1">
      <c r="H43" s="143" t="inlineStr">
        <is>
          <t>Catimor</t>
        </is>
      </c>
      <c r="I43" s="144" t="inlineStr">
        <is>
          <t>$6.00</t>
        </is>
      </c>
      <c r="J43" s="144" t="n">
        <v>1</v>
      </c>
    </row>
    <row r="44" ht="6" customHeight="1"/>
    <row r="45" ht="22" customHeight="1">
      <c r="H45" s="132" t="inlineStr">
        <is>
          <t>💎  VALUE DENSITY — Best SGD-Per-Sensory-Impact</t>
        </is>
      </c>
      <c r="I45" s="187" t="n"/>
      <c r="J45" s="187" t="n"/>
      <c r="K45" s="187" t="n"/>
      <c r="L45" s="187" t="n"/>
      <c r="M45" s="188" t="n"/>
    </row>
    <row r="46" ht="40" customHeight="1">
      <c r="H46" s="134" t="inlineStr">
        <is>
          <t>The archive's value outliers: Gara Agena (Fluid, SGD 9.00) — top-tier sensory at lowest-tier Gesha price. Banko Gotiti (Nylon, SGD 8.50) — perfect lemon-to-white-tea arc at workhorse price. El Obraje (Fluid, SGD 14.00) — Cup of the Year; justified premium. Homeground Gesha Natural (SGD 19.00) — highest price, complex but clarity compromised by Natural process.</t>
        </is>
      </c>
      <c r="I46" s="189" t="n"/>
      <c r="J46" s="189" t="n"/>
      <c r="K46" s="189" t="n"/>
      <c r="L46" s="189" t="n"/>
      <c r="M46" s="190" t="n"/>
    </row>
    <row r="200">
      <c r="B200" t="inlineStr">
        <is>
          <t>Origin</t>
        </is>
      </c>
      <c r="C200" t="inlineStr">
        <is>
          <t>Avg Price SGD</t>
        </is>
      </c>
    </row>
    <row r="201">
      <c r="B201" t="inlineStr">
        <is>
          <t>Ecuador</t>
        </is>
      </c>
      <c r="C201" t="n">
        <v>18</v>
      </c>
    </row>
    <row r="202">
      <c r="B202" t="inlineStr">
        <is>
          <t>Malaysia</t>
        </is>
      </c>
      <c r="C202" t="n">
        <v>13</v>
      </c>
    </row>
    <row r="203">
      <c r="B203" t="inlineStr">
        <is>
          <t>Colombia</t>
        </is>
      </c>
      <c r="C203" t="n">
        <v>12.03</v>
      </c>
    </row>
    <row r="204">
      <c r="B204" t="inlineStr">
        <is>
          <t>Honduras</t>
        </is>
      </c>
      <c r="C204" t="n">
        <v>12</v>
      </c>
    </row>
    <row r="205">
      <c r="B205" t="inlineStr">
        <is>
          <t>Boquerón</t>
        </is>
      </c>
      <c r="C205" t="n">
        <v>12</v>
      </c>
    </row>
    <row r="206">
      <c r="B206" t="inlineStr">
        <is>
          <t>Peru</t>
        </is>
      </c>
      <c r="C206" t="n">
        <v>11.75</v>
      </c>
    </row>
    <row r="207">
      <c r="B207" t="inlineStr">
        <is>
          <t>Bolivia</t>
        </is>
      </c>
      <c r="C207" t="n">
        <v>10</v>
      </c>
    </row>
    <row r="208">
      <c r="B208" t="inlineStr">
        <is>
          <t>Ethiopia</t>
        </is>
      </c>
      <c r="C208" t="n">
        <v>9.92</v>
      </c>
    </row>
  </sheetData>
  <mergeCells count="12">
    <mergeCell ref="B4:L4"/>
    <mergeCell ref="H45:M45"/>
    <mergeCell ref="H46:M46"/>
    <mergeCell ref="B11:F11"/>
    <mergeCell ref="B2:L2"/>
    <mergeCell ref="B5:L5"/>
    <mergeCell ref="H8:M8"/>
    <mergeCell ref="H25:M25"/>
    <mergeCell ref="B26:F26"/>
    <mergeCell ref="H26:M26"/>
    <mergeCell ref="B27:F27"/>
    <mergeCell ref="B1:L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2D4A1E"/>
    <outlinePr summaryBelow="1" summaryRight="1"/>
    <pageSetUpPr/>
  </sheetPr>
  <dimension ref="B1:L207"/>
  <sheetViews>
    <sheetView showGridLines="0" workbookViewId="0">
      <selection activeCell="A1" sqref="A1"/>
    </sheetView>
  </sheetViews>
  <sheetFormatPr baseColWidth="8" defaultRowHeight="15"/>
  <cols>
    <col width="2" customWidth="1" min="1" max="1"/>
    <col width="5" customWidth="1" min="2" max="2"/>
    <col width="12" customWidth="1" min="3" max="3"/>
    <col width="20" customWidth="1" min="4" max="4"/>
    <col width="22" customWidth="1" min="5" max="5"/>
    <col width="14" customWidth="1" min="6" max="6"/>
    <col width="16" customWidth="1" min="7" max="7"/>
    <col width="10" customWidth="1" min="8" max="8"/>
    <col width="8" customWidth="1" min="9" max="9"/>
    <col width="8" customWidth="1" min="10" max="10"/>
    <col width="10" customWidth="1" min="11" max="11"/>
    <col width="14" customWidth="1" min="12" max="12"/>
    <col width="2" customWidth="1" min="13" max="13"/>
  </cols>
  <sheetData>
    <row r="1" ht="38" customHeight="1">
      <c r="B1" s="116" t="inlineStr">
        <is>
          <t>📅  ARCHIVE GROWTH TIMELINE</t>
        </is>
      </c>
    </row>
    <row r="2" ht="16" customHeight="1">
      <c r="B2" s="117" t="inlineStr">
        <is>
          <t>January → July 2026 · 7 months · 54 cups · The story of a palate in motion</t>
        </is>
      </c>
    </row>
    <row r="3" ht="8" customHeight="1"/>
    <row r="4" ht="22" customHeight="1">
      <c r="B4" s="151" t="inlineStr">
        <is>
          <t>📖  THE ARCHIVE STORY</t>
        </is>
      </c>
      <c r="C4" s="193" t="n"/>
      <c r="D4" s="193" t="n"/>
      <c r="E4" s="193" t="n"/>
      <c r="F4" s="193" t="n"/>
      <c r="G4" s="193" t="n"/>
      <c r="H4" s="193" t="n"/>
      <c r="I4" s="193" t="n"/>
      <c r="J4" s="193" t="n"/>
      <c r="K4" s="193" t="n"/>
      <c r="L4" s="194" t="n"/>
    </row>
    <row r="5" ht="40" customHeight="1">
      <c r="B5" s="134" t="inlineStr">
        <is>
          <t>The archive began in January 2026 in Ubud, Bali — three cups at Seniman Coffee Studio, the opening notes of what would become a 54-entry systematic record. March was the inflection point: 13 entries, 9 cafés, the archive found its velocity. May brought the cup of the year. June delivered six firsts — Liberica, Yunnan, Sudan Rume, Myanmar, mosto ferment, Pink Bourbon. July added Fluid Collective's third visit and the Pinhole Coffee Bar watchlist fulfilment. The archive is not complete. It is alive.</t>
        </is>
      </c>
      <c r="C5" s="189" t="n"/>
      <c r="D5" s="189" t="n"/>
      <c r="E5" s="189" t="n"/>
      <c r="F5" s="189" t="n"/>
      <c r="G5" s="189" t="n"/>
      <c r="H5" s="189" t="n"/>
      <c r="I5" s="189" t="n"/>
      <c r="J5" s="189" t="n"/>
      <c r="K5" s="189" t="n"/>
      <c r="L5" s="190" t="n"/>
    </row>
    <row r="6" ht="6" customHeight="1"/>
    <row r="7" ht="22" customHeight="1">
      <c r="B7" s="132" t="inlineStr">
        <is>
          <t>📊  MONTH-BY-MONTH ARCHIVE ACTIVITY</t>
        </is>
      </c>
      <c r="C7" s="187" t="n"/>
      <c r="D7" s="187" t="n"/>
      <c r="E7" s="187" t="n"/>
      <c r="F7" s="187" t="n"/>
      <c r="G7" s="187" t="n"/>
      <c r="H7" s="187" t="n"/>
      <c r="I7" s="187" t="n"/>
      <c r="J7" s="187" t="n"/>
      <c r="K7" s="187" t="n"/>
      <c r="L7" s="188" t="n"/>
    </row>
    <row r="8" ht="16" customHeight="1">
      <c r="B8" s="136" t="inlineStr">
        <is>
          <t>Month</t>
        </is>
      </c>
      <c r="C8" s="136" t="inlineStr">
        <is>
          <t>Entries</t>
        </is>
      </c>
      <c r="D8" s="136" t="inlineStr">
        <is>
          <t>Cafés</t>
        </is>
      </c>
      <c r="E8" s="136" t="inlineStr">
        <is>
          <t>Geshas</t>
        </is>
      </c>
      <c r="F8" s="136" t="inlineStr">
        <is>
          <t>Avg SGD</t>
        </is>
      </c>
      <c r="G8" s="136" t="inlineStr">
        <is>
          <t>Key Milestone</t>
        </is>
      </c>
    </row>
    <row r="9" ht="15" customHeight="1">
      <c r="B9" s="139" t="inlineStr">
        <is>
          <t>2026-01</t>
        </is>
      </c>
      <c r="C9" s="140" t="n">
        <v>3</v>
      </c>
      <c r="D9" s="140" t="n">
        <v>1</v>
      </c>
      <c r="E9" s="140" t="inlineStr">
        <is>
          <t>—</t>
        </is>
      </c>
      <c r="F9" s="140" t="inlineStr">
        <is>
          <t>—</t>
        </is>
      </c>
      <c r="G9" s="139" t="inlineStr">
        <is>
          <t>Archive opens · Ubud Bali · Seniman Coffee Studio</t>
        </is>
      </c>
    </row>
    <row r="10" ht="15" customHeight="1">
      <c r="B10" s="143" t="inlineStr">
        <is>
          <t>2026-02</t>
        </is>
      </c>
      <c r="C10" s="144" t="n">
        <v>1</v>
      </c>
      <c r="D10" s="144" t="n">
        <v>1</v>
      </c>
      <c r="E10" s="144" t="inlineStr">
        <is>
          <t>—</t>
        </is>
      </c>
      <c r="F10" s="144" t="inlineStr">
        <is>
          <t>$8.00</t>
        </is>
      </c>
      <c r="G10" s="143" t="inlineStr">
        <is>
          <t>Mumbai chapter · Subko Coffee</t>
        </is>
      </c>
    </row>
    <row r="11" ht="15" customHeight="1">
      <c r="B11" s="138" t="inlineStr">
        <is>
          <t>2026-03</t>
        </is>
      </c>
      <c r="C11" s="159" t="n">
        <v>13</v>
      </c>
      <c r="D11" s="137" t="n">
        <v>9</v>
      </c>
      <c r="E11" s="159" t="inlineStr">
        <is>
          <t>⭐×1</t>
        </is>
      </c>
      <c r="F11" s="137" t="inlineStr">
        <is>
          <t>$9.62</t>
        </is>
      </c>
      <c r="G11" s="158" t="inlineStr">
        <is>
          <t>Singapore sprint · 9 cafés · First Gesha (Asylum Peru)</t>
        </is>
      </c>
    </row>
    <row r="12" ht="15" customHeight="1">
      <c r="B12" s="154" t="inlineStr">
        <is>
          <t>2026-04</t>
        </is>
      </c>
      <c r="C12" s="155" t="n">
        <v>7</v>
      </c>
      <c r="D12" s="155" t="n">
        <v>5</v>
      </c>
      <c r="E12" s="157" t="inlineStr">
        <is>
          <t>⭐×2</t>
        </is>
      </c>
      <c r="F12" s="155" t="inlineStr">
        <is>
          <t>$11.01</t>
        </is>
      </c>
      <c r="G12" s="154" t="inlineStr">
        <is>
          <t>Hardware discovery · Timemore Sculptor debut · Second Gesha</t>
        </is>
      </c>
    </row>
    <row r="13" ht="15" customHeight="1">
      <c r="B13" s="138" t="inlineStr">
        <is>
          <t>2026-05</t>
        </is>
      </c>
      <c r="C13" s="159" t="n">
        <v>11</v>
      </c>
      <c r="D13" s="137" t="n">
        <v>8</v>
      </c>
      <c r="E13" s="159" t="inlineStr">
        <is>
          <t>⭐×2</t>
        </is>
      </c>
      <c r="F13" s="137" t="inlineStr">
        <is>
          <t>$10.88</t>
        </is>
      </c>
      <c r="G13" s="158" t="inlineStr">
        <is>
          <t>🏆 Cup of the Year — El Obraje Washed Gesha · Fluid Collective debut</t>
        </is>
      </c>
    </row>
    <row r="14" ht="15" customHeight="1">
      <c r="B14" s="138" t="inlineStr">
        <is>
          <t>2026-06</t>
        </is>
      </c>
      <c r="C14" s="159" t="n">
        <v>11</v>
      </c>
      <c r="D14" s="137" t="n">
        <v>9</v>
      </c>
      <c r="E14" s="159" t="inlineStr">
        <is>
          <t>⭐×2</t>
        </is>
      </c>
      <c r="F14" s="137" t="inlineStr">
        <is>
          <t>$10.80</t>
        </is>
      </c>
      <c r="G14" s="158" t="inlineStr">
        <is>
          <t>Six firsts: Liberica · Yunnan · Sudan Rume · Myanmar · Mosto · Pink Bourbon</t>
        </is>
      </c>
    </row>
    <row r="15" ht="15" customHeight="1">
      <c r="B15" s="154" t="inlineStr">
        <is>
          <t>2026-07</t>
        </is>
      </c>
      <c r="C15" s="155" t="n">
        <v>8</v>
      </c>
      <c r="D15" s="155" t="n">
        <v>6</v>
      </c>
      <c r="E15" s="157" t="inlineStr">
        <is>
          <t>⭐×3</t>
        </is>
      </c>
      <c r="F15" s="155" t="inlineStr">
        <is>
          <t>$11.49</t>
        </is>
      </c>
      <c r="G15" s="154" t="inlineStr">
        <is>
          <t>Fluid third visit · Pinhole watchlist fulfilled · Gesha count: 10</t>
        </is>
      </c>
    </row>
    <row r="16" ht="18" customHeight="1">
      <c r="B16" s="178" t="inlineStr">
        <is>
          <t>TOTAL / RANGE</t>
        </is>
      </c>
      <c r="C16" s="179" t="n">
        <v>54</v>
      </c>
      <c r="D16" s="179" t="n">
        <v>31</v>
      </c>
      <c r="E16" s="179" t="inlineStr">
        <is>
          <t>10⭐</t>
        </is>
      </c>
      <c r="F16" s="179" t="inlineStr">
        <is>
          <t>SGD 10.77</t>
        </is>
      </c>
      <c r="G16" s="179" t="inlineStr">
        <is>
          <t>Jan 2026 → Jul 2026 · Archive ongoing</t>
        </is>
      </c>
    </row>
    <row r="18" ht="8" customHeight="1"/>
    <row r="19" ht="22" customHeight="1">
      <c r="B19" s="132" t="inlineStr">
        <is>
          <t>📋  FULL CHRONOLOGICAL AUDIT LOG — All 54 Entries</t>
        </is>
      </c>
      <c r="C19" s="187" t="n"/>
      <c r="D19" s="187" t="n"/>
      <c r="E19" s="187" t="n"/>
      <c r="F19" s="187" t="n"/>
      <c r="G19" s="187" t="n"/>
      <c r="H19" s="187" t="n"/>
      <c r="I19" s="187" t="n"/>
      <c r="J19" s="187" t="n"/>
      <c r="K19" s="187" t="n"/>
      <c r="L19" s="188" t="n"/>
    </row>
    <row r="20" ht="16" customHeight="1">
      <c r="B20" s="136" t="inlineStr">
        <is>
          <t>#</t>
        </is>
      </c>
      <c r="C20" s="136" t="inlineStr">
        <is>
          <t>Date</t>
        </is>
      </c>
      <c r="D20" s="136" t="inlineStr">
        <is>
          <t>Café</t>
        </is>
      </c>
      <c r="E20" s="136" t="inlineStr">
        <is>
          <t>Coffee</t>
        </is>
      </c>
      <c r="F20" s="136" t="inlineStr">
        <is>
          <t>Origin</t>
        </is>
      </c>
      <c r="G20" s="136" t="inlineStr">
        <is>
          <t>Process</t>
        </is>
      </c>
      <c r="H20" s="136" t="inlineStr">
        <is>
          <t>Roast</t>
        </is>
      </c>
      <c r="I20" s="136" t="inlineStr">
        <is>
          <t>SGD</t>
        </is>
      </c>
      <c r="J20" s="136" t="inlineStr">
        <is>
          <t>Gesha</t>
        </is>
      </c>
    </row>
    <row r="21" ht="13" customHeight="1">
      <c r="B21" s="140" t="n">
        <v>1</v>
      </c>
      <c r="C21" s="139" t="inlineStr">
        <is>
          <t>2026-01-03</t>
        </is>
      </c>
      <c r="D21" s="139" t="inlineStr">
        <is>
          <t>Seniman Coffee Studi</t>
        </is>
      </c>
      <c r="E21" s="139" t="inlineStr">
        <is>
          <t>Bali Karana Kintamanis</t>
        </is>
      </c>
      <c r="F21" s="139" t="inlineStr">
        <is>
          <t>Indonesia</t>
        </is>
      </c>
      <c r="G21" s="139" t="inlineStr">
        <is>
          <t>Natural</t>
        </is>
      </c>
      <c r="H21" s="140" t="inlineStr">
        <is>
          <t>Light</t>
        </is>
      </c>
      <c r="I21" s="140" t="inlineStr">
        <is>
          <t>—</t>
        </is>
      </c>
      <c r="J21" s="140" t="inlineStr"/>
    </row>
    <row r="22" ht="13" customHeight="1">
      <c r="B22" s="144" t="n">
        <v>2</v>
      </c>
      <c r="C22" s="143" t="inlineStr">
        <is>
          <t>2026-01-04</t>
        </is>
      </c>
      <c r="D22" s="143" t="inlineStr">
        <is>
          <t>Seniman Coffee Studi</t>
        </is>
      </c>
      <c r="E22" s="143" t="inlineStr">
        <is>
          <t>Sulawesi Toraja</t>
        </is>
      </c>
      <c r="F22" s="143" t="inlineStr">
        <is>
          <t>Indonesia</t>
        </is>
      </c>
      <c r="G22" s="143" t="inlineStr">
        <is>
          <t>Wet-Hulled</t>
        </is>
      </c>
      <c r="H22" s="144" t="inlineStr">
        <is>
          <t>Medium</t>
        </is>
      </c>
      <c r="I22" s="144" t="inlineStr">
        <is>
          <t>—</t>
        </is>
      </c>
      <c r="J22" s="144" t="inlineStr"/>
    </row>
    <row r="23" ht="13" customHeight="1">
      <c r="B23" s="140" t="n">
        <v>3</v>
      </c>
      <c r="C23" s="139" t="inlineStr">
        <is>
          <t>2026-01-04</t>
        </is>
      </c>
      <c r="D23" s="139" t="inlineStr">
        <is>
          <t>Seniman Coffee Studi</t>
        </is>
      </c>
      <c r="E23" s="139" t="inlineStr">
        <is>
          <t>House Blend</t>
        </is>
      </c>
      <c r="F23" s="139" t="inlineStr">
        <is>
          <t>Unknown</t>
        </is>
      </c>
      <c r="G23" s="139" t="inlineStr">
        <is>
          <t>Unknown</t>
        </is>
      </c>
      <c r="H23" s="140" t="inlineStr">
        <is>
          <t>Espresso</t>
        </is>
      </c>
      <c r="I23" s="140" t="inlineStr">
        <is>
          <t>—</t>
        </is>
      </c>
      <c r="J23" s="140" t="inlineStr"/>
    </row>
    <row r="24" ht="12" customHeight="1">
      <c r="B24" s="180" t="inlineStr">
        <is>
          <t xml:space="preserve">  ── 2026-02 ──</t>
        </is>
      </c>
    </row>
    <row r="25" ht="13" customHeight="1">
      <c r="B25" s="144" t="n">
        <v>4</v>
      </c>
      <c r="C25" s="143" t="inlineStr">
        <is>
          <t>2026-02-10</t>
        </is>
      </c>
      <c r="D25" s="143" t="inlineStr">
        <is>
          <t>Kyuukei Coffee</t>
        </is>
      </c>
      <c r="E25" s="143" t="inlineStr">
        <is>
          <t>Kenya Kiamugumo AA</t>
        </is>
      </c>
      <c r="F25" s="143" t="inlineStr">
        <is>
          <t>Kenya</t>
        </is>
      </c>
      <c r="G25" s="143" t="inlineStr">
        <is>
          <t>Washed</t>
        </is>
      </c>
      <c r="H25" s="144" t="inlineStr">
        <is>
          <t>Unknown</t>
        </is>
      </c>
      <c r="I25" s="144" t="inlineStr">
        <is>
          <t>$8.00</t>
        </is>
      </c>
      <c r="J25" s="144" t="inlineStr"/>
    </row>
    <row r="26" ht="12" customHeight="1">
      <c r="B26" s="180" t="inlineStr">
        <is>
          <t xml:space="preserve">  ── 2026-03 ──</t>
        </is>
      </c>
    </row>
    <row r="27" ht="13" customHeight="1">
      <c r="B27" s="140" t="n">
        <v>5</v>
      </c>
      <c r="C27" s="139" t="inlineStr">
        <is>
          <t>2026-03-01</t>
        </is>
      </c>
      <c r="D27" s="139" t="inlineStr">
        <is>
          <t>Subko Coffee Roaster</t>
        </is>
      </c>
      <c r="E27" s="139" t="inlineStr">
        <is>
          <t>Project Pearl Ratnagir</t>
        </is>
      </c>
      <c r="F27" s="139" t="inlineStr">
        <is>
          <t>India</t>
        </is>
      </c>
      <c r="G27" s="139" t="inlineStr">
        <is>
          <t>Anaerobic Natural</t>
        </is>
      </c>
      <c r="H27" s="140" t="inlineStr">
        <is>
          <t>Light</t>
        </is>
      </c>
      <c r="I27" s="140" t="inlineStr">
        <is>
          <t>—</t>
        </is>
      </c>
      <c r="J27" s="140" t="inlineStr"/>
    </row>
    <row r="28" ht="13" customHeight="1">
      <c r="B28" s="144" t="n">
        <v>6</v>
      </c>
      <c r="C28" s="143" t="inlineStr">
        <is>
          <t>2026-03-08</t>
        </is>
      </c>
      <c r="D28" s="143" t="inlineStr">
        <is>
          <t>Grey Soul Coffee Roa</t>
        </is>
      </c>
      <c r="E28" s="143" t="inlineStr">
        <is>
          <t>Raspberry in Loop - Zo</t>
        </is>
      </c>
      <c r="F28" s="143" t="inlineStr">
        <is>
          <t>India</t>
        </is>
      </c>
      <c r="G28" s="143" t="inlineStr">
        <is>
          <t>Anaerobic</t>
        </is>
      </c>
      <c r="H28" s="144" t="inlineStr">
        <is>
          <t>Medium</t>
        </is>
      </c>
      <c r="I28" s="144" t="inlineStr">
        <is>
          <t>—</t>
        </is>
      </c>
      <c r="J28" s="144" t="inlineStr"/>
    </row>
    <row r="29" ht="13" customHeight="1">
      <c r="B29" s="140" t="n">
        <v>7</v>
      </c>
      <c r="C29" s="139" t="inlineStr">
        <is>
          <t>2026-03-18</t>
        </is>
      </c>
      <c r="D29" s="139" t="inlineStr">
        <is>
          <t>Narrative Coffee Sta</t>
        </is>
      </c>
      <c r="E29" s="139" t="inlineStr">
        <is>
          <t>Finca La Siberia</t>
        </is>
      </c>
      <c r="F29" s="139" t="inlineStr">
        <is>
          <t>El Salvador</t>
        </is>
      </c>
      <c r="G29" s="139" t="inlineStr">
        <is>
          <t>Natural</t>
        </is>
      </c>
      <c r="H29" s="140" t="inlineStr">
        <is>
          <t>Light</t>
        </is>
      </c>
      <c r="I29" s="140" t="inlineStr">
        <is>
          <t>—</t>
        </is>
      </c>
      <c r="J29" s="140" t="inlineStr"/>
    </row>
    <row r="30" ht="13" customHeight="1">
      <c r="B30" s="144" t="n">
        <v>8</v>
      </c>
      <c r="C30" s="143" t="inlineStr">
        <is>
          <t>2026-03-18</t>
        </is>
      </c>
      <c r="D30" s="143" t="inlineStr">
        <is>
          <t>Narrative Coffee Sta</t>
        </is>
      </c>
      <c r="E30" s="143" t="inlineStr">
        <is>
          <t>El Puente</t>
        </is>
      </c>
      <c r="F30" s="143" t="inlineStr">
        <is>
          <t>Honduras</t>
        </is>
      </c>
      <c r="G30" s="143" t="inlineStr">
        <is>
          <t>Washed</t>
        </is>
      </c>
      <c r="H30" s="144" t="inlineStr">
        <is>
          <t>Light</t>
        </is>
      </c>
      <c r="I30" s="144" t="inlineStr">
        <is>
          <t>—</t>
        </is>
      </c>
      <c r="J30" s="144" t="inlineStr"/>
    </row>
    <row r="31" ht="13" customHeight="1">
      <c r="B31" s="140" t="n">
        <v>9</v>
      </c>
      <c r="C31" s="139" t="inlineStr">
        <is>
          <t>2026-03-18</t>
        </is>
      </c>
      <c r="D31" s="139" t="inlineStr">
        <is>
          <t>ASK Coffee Roastery</t>
        </is>
      </c>
      <c r="E31" s="139" t="inlineStr">
        <is>
          <t>Honduras Masaguara (S1</t>
        </is>
      </c>
      <c r="F31" s="139" t="inlineStr">
        <is>
          <t>Honduras</t>
        </is>
      </c>
      <c r="G31" s="139" t="inlineStr">
        <is>
          <t>Experimental Ferment</t>
        </is>
      </c>
      <c r="H31" s="140" t="inlineStr">
        <is>
          <t>Light</t>
        </is>
      </c>
      <c r="I31" s="140" t="inlineStr">
        <is>
          <t>$15.00</t>
        </is>
      </c>
      <c r="J31" s="140" t="inlineStr"/>
    </row>
    <row r="32" ht="13" customHeight="1">
      <c r="B32" s="144" t="n">
        <v>10</v>
      </c>
      <c r="C32" s="143" t="inlineStr">
        <is>
          <t>2026-03-18</t>
        </is>
      </c>
      <c r="D32" s="143" t="inlineStr">
        <is>
          <t>ASK Coffee Roastery</t>
        </is>
      </c>
      <c r="E32" s="143" t="inlineStr">
        <is>
          <t>House Blend</t>
        </is>
      </c>
      <c r="F32" s="143" t="inlineStr">
        <is>
          <t>Unknown</t>
        </is>
      </c>
      <c r="G32" s="143" t="inlineStr">
        <is>
          <t>Unknown</t>
        </is>
      </c>
      <c r="H32" s="144" t="inlineStr">
        <is>
          <t>Unknown</t>
        </is>
      </c>
      <c r="I32" s="144" t="inlineStr">
        <is>
          <t>—</t>
        </is>
      </c>
      <c r="J32" s="144" t="inlineStr"/>
    </row>
    <row r="33" ht="13" customHeight="1">
      <c r="B33" s="140" t="n">
        <v>11</v>
      </c>
      <c r="C33" s="139" t="inlineStr">
        <is>
          <t>2026-03-22</t>
        </is>
      </c>
      <c r="D33" s="139" t="inlineStr">
        <is>
          <t>Apartment (Selegie R</t>
        </is>
      </c>
      <c r="E33" s="139" t="inlineStr">
        <is>
          <t>Colombia Don Gallego -</t>
        </is>
      </c>
      <c r="F33" s="139" t="inlineStr">
        <is>
          <t>Colombia</t>
        </is>
      </c>
      <c r="G33" s="139" t="inlineStr">
        <is>
          <t>Washed</t>
        </is>
      </c>
      <c r="H33" s="140" t="inlineStr">
        <is>
          <t>Light</t>
        </is>
      </c>
      <c r="I33" s="140" t="inlineStr">
        <is>
          <t>—</t>
        </is>
      </c>
      <c r="J33" s="140" t="inlineStr"/>
    </row>
    <row r="34" ht="13" customHeight="1">
      <c r="B34" s="144" t="n">
        <v>12</v>
      </c>
      <c r="C34" s="143" t="inlineStr">
        <is>
          <t>2026-03-24</t>
        </is>
      </c>
      <c r="D34" s="143" t="inlineStr">
        <is>
          <t>Kyuukei Coffee</t>
        </is>
      </c>
      <c r="E34" s="143" t="inlineStr">
        <is>
          <t>Kenya Ndiaini AA</t>
        </is>
      </c>
      <c r="F34" s="143" t="inlineStr">
        <is>
          <t>Kenya</t>
        </is>
      </c>
      <c r="G34" s="143" t="inlineStr">
        <is>
          <t>Washed</t>
        </is>
      </c>
      <c r="H34" s="144" t="inlineStr">
        <is>
          <t>Unknown</t>
        </is>
      </c>
      <c r="I34" s="144" t="inlineStr">
        <is>
          <t>$9.00</t>
        </is>
      </c>
      <c r="J34" s="144" t="inlineStr"/>
    </row>
    <row r="35" ht="13" customHeight="1">
      <c r="B35" s="140" t="n">
        <v>13</v>
      </c>
      <c r="C35" s="139" t="inlineStr">
        <is>
          <t>2026-03-25</t>
        </is>
      </c>
      <c r="D35" s="139" t="inlineStr">
        <is>
          <t>Agora Coffee</t>
        </is>
      </c>
      <c r="E35" s="139" t="inlineStr">
        <is>
          <t xml:space="preserve">Nicaragua Matagalpa - </t>
        </is>
      </c>
      <c r="F35" s="139" t="inlineStr">
        <is>
          <t>Nicaragua</t>
        </is>
      </c>
      <c r="G35" s="139" t="inlineStr">
        <is>
          <t>Washed</t>
        </is>
      </c>
      <c r="H35" s="140" t="inlineStr">
        <is>
          <t>Espresso</t>
        </is>
      </c>
      <c r="I35" s="140" t="inlineStr">
        <is>
          <t>—</t>
        </is>
      </c>
      <c r="J35" s="140" t="inlineStr"/>
    </row>
    <row r="36" ht="13" customHeight="1">
      <c r="B36" s="144" t="n">
        <v>14</v>
      </c>
      <c r="C36" s="143" t="inlineStr">
        <is>
          <t>2026-03-27</t>
        </is>
      </c>
      <c r="D36" s="143" t="inlineStr">
        <is>
          <t>Agora Coffee</t>
        </is>
      </c>
      <c r="E36" s="143" t="inlineStr">
        <is>
          <t>Ethiopia Yirgacheffe B</t>
        </is>
      </c>
      <c r="F36" s="143" t="inlineStr">
        <is>
          <t>Ethiopia</t>
        </is>
      </c>
      <c r="G36" s="143" t="inlineStr">
        <is>
          <t>Natural</t>
        </is>
      </c>
      <c r="H36" s="144" t="inlineStr">
        <is>
          <t>Filter</t>
        </is>
      </c>
      <c r="I36" s="144" t="inlineStr">
        <is>
          <t>—</t>
        </is>
      </c>
      <c r="J36" s="144" t="inlineStr"/>
    </row>
    <row r="37" ht="13" customHeight="1">
      <c r="B37" s="140" t="n">
        <v>15</v>
      </c>
      <c r="C37" s="139" t="inlineStr">
        <is>
          <t>2026-03-28</t>
        </is>
      </c>
      <c r="D37" s="139" t="inlineStr">
        <is>
          <t xml:space="preserve">Tiong Hoe Specialty </t>
        </is>
      </c>
      <c r="E37" s="139" t="inlineStr">
        <is>
          <t>Brazil Mogiana</t>
        </is>
      </c>
      <c r="F37" s="139" t="inlineStr">
        <is>
          <t>Brazil</t>
        </is>
      </c>
      <c r="G37" s="139" t="inlineStr">
        <is>
          <t>Natural</t>
        </is>
      </c>
      <c r="H37" s="140" t="inlineStr">
        <is>
          <t>Medium</t>
        </is>
      </c>
      <c r="I37" s="140" t="inlineStr">
        <is>
          <t>$8.00</t>
        </is>
      </c>
      <c r="J37" s="140" t="inlineStr"/>
    </row>
    <row r="38" ht="13" customHeight="1">
      <c r="B38" s="144" t="n">
        <v>16</v>
      </c>
      <c r="C38" s="143" t="inlineStr">
        <is>
          <t>2026-03-28</t>
        </is>
      </c>
      <c r="D38" s="143" t="inlineStr">
        <is>
          <t xml:space="preserve">Tiong Hoe Specialty </t>
        </is>
      </c>
      <c r="E38" s="143" t="inlineStr">
        <is>
          <t>Smoky Quartz Blend</t>
        </is>
      </c>
      <c r="F38" s="143" t="inlineStr">
        <is>
          <t>Brazil</t>
        </is>
      </c>
      <c r="G38" s="143" t="inlineStr">
        <is>
          <t>Unknown</t>
        </is>
      </c>
      <c r="H38" s="144" t="inlineStr">
        <is>
          <t>Unknown</t>
        </is>
      </c>
      <c r="I38" s="144" t="inlineStr">
        <is>
          <t>$5.10</t>
        </is>
      </c>
      <c r="J38" s="144" t="inlineStr"/>
    </row>
    <row r="39" ht="13" customHeight="1">
      <c r="B39" s="137" t="n">
        <v>17</v>
      </c>
      <c r="C39" s="138" t="inlineStr">
        <is>
          <t>2026-03-29</t>
        </is>
      </c>
      <c r="D39" s="158" t="inlineStr">
        <is>
          <t>Asylum Coffeehouse</t>
        </is>
      </c>
      <c r="E39" s="138" t="inlineStr">
        <is>
          <t>Peru Cajamarca Gesha (</t>
        </is>
      </c>
      <c r="F39" s="138" t="inlineStr">
        <is>
          <t>Peru</t>
        </is>
      </c>
      <c r="G39" s="138" t="inlineStr">
        <is>
          <t>Washed</t>
        </is>
      </c>
      <c r="H39" s="137" t="inlineStr">
        <is>
          <t>Medium</t>
        </is>
      </c>
      <c r="I39" s="137" t="inlineStr">
        <is>
          <t>$11.00</t>
        </is>
      </c>
      <c r="J39" s="137" t="inlineStr">
        <is>
          <t>⭐</t>
        </is>
      </c>
    </row>
    <row r="40" ht="12" customHeight="1">
      <c r="B40" s="180" t="inlineStr">
        <is>
          <t xml:space="preserve">  ── 2026-04 ──</t>
        </is>
      </c>
    </row>
    <row r="41" ht="13" customHeight="1">
      <c r="B41" s="144" t="n">
        <v>18</v>
      </c>
      <c r="C41" s="143" t="inlineStr">
        <is>
          <t>2026-04-01</t>
        </is>
      </c>
      <c r="D41" s="143" t="inlineStr">
        <is>
          <t>Maxi Coffee Bar</t>
        </is>
      </c>
      <c r="E41" s="143" t="inlineStr">
        <is>
          <t>La Laja</t>
        </is>
      </c>
      <c r="F41" s="143" t="inlineStr">
        <is>
          <t>Colombia</t>
        </is>
      </c>
      <c r="G41" s="143" t="inlineStr">
        <is>
          <t>Washed</t>
        </is>
      </c>
      <c r="H41" s="144" t="inlineStr">
        <is>
          <t>Light</t>
        </is>
      </c>
      <c r="I41" s="144" t="inlineStr">
        <is>
          <t>$9.00</t>
        </is>
      </c>
      <c r="J41" s="144" t="inlineStr"/>
    </row>
    <row r="42" ht="13" customHeight="1">
      <c r="B42" s="137" t="n">
        <v>19</v>
      </c>
      <c r="C42" s="138" t="inlineStr">
        <is>
          <t>2026-04-01</t>
        </is>
      </c>
      <c r="D42" s="158" t="inlineStr">
        <is>
          <t>Lume Café</t>
        </is>
      </c>
      <c r="E42" s="138" t="inlineStr">
        <is>
          <t>Corpachi Panama Geisha</t>
        </is>
      </c>
      <c r="F42" s="138" t="inlineStr">
        <is>
          <t>Boquerón</t>
        </is>
      </c>
      <c r="G42" s="138" t="inlineStr">
        <is>
          <t>Honey</t>
        </is>
      </c>
      <c r="H42" s="137" t="inlineStr">
        <is>
          <t>Filter</t>
        </is>
      </c>
      <c r="I42" s="137" t="inlineStr">
        <is>
          <t>$12.00</t>
        </is>
      </c>
      <c r="J42" s="137" t="inlineStr">
        <is>
          <t>⭐</t>
        </is>
      </c>
    </row>
    <row r="43" ht="13" customHeight="1">
      <c r="B43" s="144" t="n">
        <v>20</v>
      </c>
      <c r="C43" s="143" t="inlineStr">
        <is>
          <t>2026-04-05</t>
        </is>
      </c>
      <c r="D43" s="143" t="inlineStr">
        <is>
          <t>Asylum Coffeehouse</t>
        </is>
      </c>
      <c r="E43" s="143" t="inlineStr">
        <is>
          <t>Castillo Watermelon (J</t>
        </is>
      </c>
      <c r="F43" s="143" t="inlineStr">
        <is>
          <t>Colombia</t>
        </is>
      </c>
      <c r="G43" s="143" t="inlineStr">
        <is>
          <t>Experimental Ferment</t>
        </is>
      </c>
      <c r="H43" s="144" t="inlineStr">
        <is>
          <t>Unknown</t>
        </is>
      </c>
      <c r="I43" s="144" t="inlineStr">
        <is>
          <t>$12.50</t>
        </is>
      </c>
      <c r="J43" s="144" t="inlineStr"/>
    </row>
    <row r="44" ht="13" customHeight="1">
      <c r="B44" s="137" t="n">
        <v>21</v>
      </c>
      <c r="C44" s="138" t="inlineStr">
        <is>
          <t>2026-04-05</t>
        </is>
      </c>
      <c r="D44" s="158" t="inlineStr">
        <is>
          <t>Asylum Coffeehouse</t>
        </is>
      </c>
      <c r="E44" s="138" t="inlineStr">
        <is>
          <t>Peru Gesha (Wilder Gar</t>
        </is>
      </c>
      <c r="F44" s="138" t="inlineStr">
        <is>
          <t>Peru</t>
        </is>
      </c>
      <c r="G44" s="138" t="inlineStr">
        <is>
          <t>Washed</t>
        </is>
      </c>
      <c r="H44" s="137" t="inlineStr">
        <is>
          <t>Filter</t>
        </is>
      </c>
      <c r="I44" s="137" t="inlineStr">
        <is>
          <t>$12.50</t>
        </is>
      </c>
      <c r="J44" s="137" t="inlineStr">
        <is>
          <t>⭐</t>
        </is>
      </c>
    </row>
    <row r="45" ht="13" customHeight="1">
      <c r="B45" s="144" t="n">
        <v>22</v>
      </c>
      <c r="C45" s="143" t="inlineStr">
        <is>
          <t>2026-04-08</t>
        </is>
      </c>
      <c r="D45" s="143" t="inlineStr">
        <is>
          <t>Maxi Coffee Bar</t>
        </is>
      </c>
      <c r="E45" s="143" t="inlineStr">
        <is>
          <t>La Villa #1</t>
        </is>
      </c>
      <c r="F45" s="143" t="inlineStr">
        <is>
          <t>Colombia</t>
        </is>
      </c>
      <c r="G45" s="143" t="inlineStr">
        <is>
          <t>Natural</t>
        </is>
      </c>
      <c r="H45" s="144" t="inlineStr">
        <is>
          <t>Unknown</t>
        </is>
      </c>
      <c r="I45" s="144" t="inlineStr">
        <is>
          <t>$9.00</t>
        </is>
      </c>
      <c r="J45" s="144" t="inlineStr"/>
    </row>
    <row r="46" ht="13" customHeight="1">
      <c r="B46" s="140" t="n">
        <v>23</v>
      </c>
      <c r="C46" s="139" t="inlineStr">
        <is>
          <t>2026-04-18</t>
        </is>
      </c>
      <c r="D46" s="139" t="inlineStr">
        <is>
          <t>Unknown</t>
        </is>
      </c>
      <c r="E46" s="139" t="inlineStr">
        <is>
          <t>Hacienda La Florida</t>
        </is>
      </c>
      <c r="F46" s="139" t="inlineStr">
        <is>
          <t>Unknown</t>
        </is>
      </c>
      <c r="G46" s="139" t="inlineStr">
        <is>
          <t>Anaerobic Washed</t>
        </is>
      </c>
      <c r="H46" s="140" t="inlineStr">
        <is>
          <t>Unknown</t>
        </is>
      </c>
      <c r="I46" s="140" t="inlineStr">
        <is>
          <t>$11.08</t>
        </is>
      </c>
      <c r="J46" s="140" t="inlineStr"/>
    </row>
    <row r="47" ht="13" customHeight="1">
      <c r="B47" s="144" t="n">
        <v>24</v>
      </c>
      <c r="C47" s="143" t="inlineStr">
        <is>
          <t>2026-04-24</t>
        </is>
      </c>
      <c r="D47" s="143" t="inlineStr">
        <is>
          <t>Agora Coffee</t>
        </is>
      </c>
      <c r="E47" s="143" t="inlineStr">
        <is>
          <t>Brazil Santuário Sul</t>
        </is>
      </c>
      <c r="F47" s="143" t="inlineStr">
        <is>
          <t>Brazil</t>
        </is>
      </c>
      <c r="G47" s="143" t="inlineStr">
        <is>
          <t>Natural</t>
        </is>
      </c>
      <c r="H47" s="144" t="inlineStr">
        <is>
          <t>Light</t>
        </is>
      </c>
      <c r="I47" s="144" t="inlineStr">
        <is>
          <t>—</t>
        </is>
      </c>
      <c r="J47" s="144" t="inlineStr"/>
    </row>
    <row r="48" ht="12" customHeight="1">
      <c r="B48" s="180" t="inlineStr">
        <is>
          <t xml:space="preserve">  ── 2026-05 ──</t>
        </is>
      </c>
    </row>
    <row r="49" ht="13" customHeight="1">
      <c r="B49" s="140" t="n">
        <v>25</v>
      </c>
      <c r="C49" s="139" t="inlineStr">
        <is>
          <t>2026-05-06</t>
        </is>
      </c>
      <c r="D49" s="139" t="inlineStr">
        <is>
          <t>Nylon Coffee Roaster</t>
        </is>
      </c>
      <c r="E49" s="139" t="inlineStr">
        <is>
          <t>Brazil FAF Organic</t>
        </is>
      </c>
      <c r="F49" s="139" t="inlineStr">
        <is>
          <t>Brazil</t>
        </is>
      </c>
      <c r="G49" s="139" t="inlineStr">
        <is>
          <t>Natural</t>
        </is>
      </c>
      <c r="H49" s="140" t="inlineStr">
        <is>
          <t>Filter</t>
        </is>
      </c>
      <c r="I49" s="140" t="inlineStr">
        <is>
          <t>$7.50</t>
        </is>
      </c>
      <c r="J49" s="140" t="inlineStr"/>
    </row>
    <row r="50" ht="13" customHeight="1">
      <c r="B50" s="144" t="n">
        <v>26</v>
      </c>
      <c r="C50" s="143" t="inlineStr">
        <is>
          <t>2026-05-06</t>
        </is>
      </c>
      <c r="D50" s="143" t="inlineStr">
        <is>
          <t>Nylon Coffee Roaster</t>
        </is>
      </c>
      <c r="E50" s="143" t="inlineStr">
        <is>
          <t>Brazil Serra dos Cigan</t>
        </is>
      </c>
      <c r="F50" s="143" t="inlineStr">
        <is>
          <t>Brazil</t>
        </is>
      </c>
      <c r="G50" s="143" t="inlineStr">
        <is>
          <t>Natural</t>
        </is>
      </c>
      <c r="H50" s="144" t="inlineStr">
        <is>
          <t>Espresso</t>
        </is>
      </c>
      <c r="I50" s="144" t="inlineStr">
        <is>
          <t>—</t>
        </is>
      </c>
      <c r="J50" s="144" t="inlineStr"/>
    </row>
    <row r="51" ht="13" customHeight="1">
      <c r="B51" s="140" t="n">
        <v>27</v>
      </c>
      <c r="C51" s="139" t="inlineStr">
        <is>
          <t>2026-05-07</t>
        </is>
      </c>
      <c r="D51" s="139" t="inlineStr">
        <is>
          <t>Nylon Coffee Roaster</t>
        </is>
      </c>
      <c r="E51" s="139" t="inlineStr">
        <is>
          <t>Nicaragua Buena Vista</t>
        </is>
      </c>
      <c r="F51" s="139" t="inlineStr">
        <is>
          <t>Nicaragua</t>
        </is>
      </c>
      <c r="G51" s="139" t="inlineStr">
        <is>
          <t>Anaerobic Natural</t>
        </is>
      </c>
      <c r="H51" s="140" t="inlineStr">
        <is>
          <t>Espresso</t>
        </is>
      </c>
      <c r="I51" s="140" t="inlineStr">
        <is>
          <t>—</t>
        </is>
      </c>
      <c r="J51" s="140" t="inlineStr"/>
    </row>
    <row r="52" ht="13" customHeight="1">
      <c r="B52" s="144" t="n">
        <v>28</v>
      </c>
      <c r="C52" s="143" t="inlineStr">
        <is>
          <t>2026-05-07</t>
        </is>
      </c>
      <c r="D52" s="143" t="inlineStr">
        <is>
          <t>Nylon Coffee Roaster</t>
        </is>
      </c>
      <c r="E52" s="143" t="inlineStr">
        <is>
          <t>Ethiopia Banko Gotiti</t>
        </is>
      </c>
      <c r="F52" s="143" t="inlineStr">
        <is>
          <t>Ethiopia</t>
        </is>
      </c>
      <c r="G52" s="143" t="inlineStr">
        <is>
          <t>Washed</t>
        </is>
      </c>
      <c r="H52" s="144" t="inlineStr">
        <is>
          <t>Filter</t>
        </is>
      </c>
      <c r="I52" s="144" t="inlineStr">
        <is>
          <t>$8.50</t>
        </is>
      </c>
      <c r="J52" s="144" t="inlineStr"/>
    </row>
    <row r="53" ht="13" customHeight="1">
      <c r="B53" s="140" t="n">
        <v>29</v>
      </c>
      <c r="C53" s="139" t="inlineStr">
        <is>
          <t>2026-05-08</t>
        </is>
      </c>
      <c r="D53" s="139" t="inlineStr">
        <is>
          <t>Alchemist (Raffles P</t>
        </is>
      </c>
      <c r="E53" s="139" t="inlineStr">
        <is>
          <t>El Morito</t>
        </is>
      </c>
      <c r="F53" s="139" t="inlineStr">
        <is>
          <t>Colombia</t>
        </is>
      </c>
      <c r="G53" s="139" t="inlineStr">
        <is>
          <t>Washed</t>
        </is>
      </c>
      <c r="H53" s="140" t="inlineStr">
        <is>
          <t>Filter</t>
        </is>
      </c>
      <c r="I53" s="140" t="inlineStr">
        <is>
          <t>—</t>
        </is>
      </c>
      <c r="J53" s="140" t="inlineStr"/>
    </row>
    <row r="54" ht="13" customHeight="1">
      <c r="B54" s="144" t="n">
        <v>30</v>
      </c>
      <c r="C54" s="143" t="inlineStr">
        <is>
          <t>2026-05-12</t>
        </is>
      </c>
      <c r="D54" s="143" t="inlineStr">
        <is>
          <t>Kurasu</t>
        </is>
      </c>
      <c r="E54" s="143" t="inlineStr">
        <is>
          <t>Indonesia Frinsa Estat</t>
        </is>
      </c>
      <c r="F54" s="143" t="inlineStr">
        <is>
          <t>Indonesia</t>
        </is>
      </c>
      <c r="G54" s="143" t="inlineStr">
        <is>
          <t>Honey</t>
        </is>
      </c>
      <c r="H54" s="144" t="inlineStr">
        <is>
          <t>Light</t>
        </is>
      </c>
      <c r="I54" s="144" t="inlineStr">
        <is>
          <t>$9.50</t>
        </is>
      </c>
      <c r="J54" s="144" t="inlineStr"/>
    </row>
    <row r="55" ht="13" customHeight="1">
      <c r="B55" s="140" t="n">
        <v>31</v>
      </c>
      <c r="C55" s="139" t="inlineStr">
        <is>
          <t>2026-05-13</t>
        </is>
      </c>
      <c r="D55" s="139" t="inlineStr">
        <is>
          <t>The Community Coffee</t>
        </is>
      </c>
      <c r="E55" s="139" t="inlineStr">
        <is>
          <t>Jose Mancia Honduras</t>
        </is>
      </c>
      <c r="F55" s="139" t="inlineStr">
        <is>
          <t>Honduras</t>
        </is>
      </c>
      <c r="G55" s="139" t="inlineStr">
        <is>
          <t>Natural</t>
        </is>
      </c>
      <c r="H55" s="140" t="inlineStr">
        <is>
          <t>Filter</t>
        </is>
      </c>
      <c r="I55" s="140" t="inlineStr">
        <is>
          <t>$9.00</t>
        </is>
      </c>
      <c r="J55" s="140" t="inlineStr"/>
    </row>
    <row r="56" ht="13" customHeight="1">
      <c r="B56" s="144" t="n">
        <v>32</v>
      </c>
      <c r="C56" s="143" t="inlineStr">
        <is>
          <t>2026-05-15</t>
        </is>
      </c>
      <c r="D56" s="143" t="inlineStr">
        <is>
          <t>Alchemist (Ocean Fin</t>
        </is>
      </c>
      <c r="E56" s="143" t="inlineStr">
        <is>
          <t>Ijen Laurina</t>
        </is>
      </c>
      <c r="F56" s="143" t="inlineStr">
        <is>
          <t>Indonesia</t>
        </is>
      </c>
      <c r="G56" s="143" t="inlineStr">
        <is>
          <t>Anaerobic Natural</t>
        </is>
      </c>
      <c r="H56" s="144" t="inlineStr">
        <is>
          <t>Light</t>
        </is>
      </c>
      <c r="I56" s="144" t="inlineStr">
        <is>
          <t>$8.50</t>
        </is>
      </c>
      <c r="J56" s="144" t="inlineStr"/>
    </row>
    <row r="57" ht="13" customHeight="1">
      <c r="B57" s="137" t="n">
        <v>33</v>
      </c>
      <c r="C57" s="138" t="inlineStr">
        <is>
          <t>2026-05-16</t>
        </is>
      </c>
      <c r="D57" s="158" t="inlineStr">
        <is>
          <t>FLUID</t>
        </is>
      </c>
      <c r="E57" s="138" t="inlineStr">
        <is>
          <t>El Obraje</t>
        </is>
      </c>
      <c r="F57" s="138" t="inlineStr">
        <is>
          <t>Colombia</t>
        </is>
      </c>
      <c r="G57" s="138" t="inlineStr">
        <is>
          <t>Washed</t>
        </is>
      </c>
      <c r="H57" s="137" t="inlineStr">
        <is>
          <t>Light</t>
        </is>
      </c>
      <c r="I57" s="137" t="inlineStr">
        <is>
          <t>$14.00</t>
        </is>
      </c>
      <c r="J57" s="137" t="inlineStr">
        <is>
          <t>⭐</t>
        </is>
      </c>
    </row>
    <row r="58" ht="13" customHeight="1">
      <c r="B58" s="137" t="n">
        <v>34</v>
      </c>
      <c r="C58" s="138" t="inlineStr">
        <is>
          <t>2026-05-19</t>
        </is>
      </c>
      <c r="D58" s="158" t="inlineStr">
        <is>
          <t>Pocket by Flip (Flip</t>
        </is>
      </c>
      <c r="E58" s="138" t="inlineStr">
        <is>
          <t>Ecuador La Papaya</t>
        </is>
      </c>
      <c r="F58" s="138" t="inlineStr">
        <is>
          <t>Ecuador</t>
        </is>
      </c>
      <c r="G58" s="138" t="inlineStr">
        <is>
          <t>Washed</t>
        </is>
      </c>
      <c r="H58" s="137" t="inlineStr">
        <is>
          <t>Light</t>
        </is>
      </c>
      <c r="I58" s="137" t="inlineStr">
        <is>
          <t>$18.00</t>
        </is>
      </c>
      <c r="J58" s="137" t="inlineStr">
        <is>
          <t>⭐</t>
        </is>
      </c>
    </row>
    <row r="59" ht="13" customHeight="1">
      <c r="B59" s="140" t="n">
        <v>35</v>
      </c>
      <c r="C59" s="139" t="inlineStr">
        <is>
          <t>2026-05-26</t>
        </is>
      </c>
      <c r="D59" s="139" t="inlineStr">
        <is>
          <t>Zerah Roasters</t>
        </is>
      </c>
      <c r="E59" s="139" t="inlineStr">
        <is>
          <t>El Diviso — Caturra Ch</t>
        </is>
      </c>
      <c r="F59" s="139" t="inlineStr">
        <is>
          <t>Colombia</t>
        </is>
      </c>
      <c r="G59" s="139" t="inlineStr">
        <is>
          <t>Anaerobic Natural</t>
        </is>
      </c>
      <c r="H59" s="140" t="inlineStr">
        <is>
          <t>Filter</t>
        </is>
      </c>
      <c r="I59" s="140" t="inlineStr">
        <is>
          <t>$12.00</t>
        </is>
      </c>
      <c r="J59" s="140" t="inlineStr"/>
    </row>
    <row r="60" ht="12" customHeight="1">
      <c r="B60" s="180" t="inlineStr">
        <is>
          <t xml:space="preserve">  ── 2026-06 ──</t>
        </is>
      </c>
    </row>
    <row r="61" ht="13" customHeight="1">
      <c r="B61" s="144" t="n">
        <v>36</v>
      </c>
      <c r="C61" s="143" t="inlineStr">
        <is>
          <t>2026-06-10</t>
        </is>
      </c>
      <c r="D61" s="143" t="inlineStr">
        <is>
          <t>Nylon Coffee Roaster</t>
        </is>
      </c>
      <c r="E61" s="143" t="inlineStr">
        <is>
          <t>Colombia Juan Martin</t>
        </is>
      </c>
      <c r="F61" s="143" t="inlineStr">
        <is>
          <t>Colombia</t>
        </is>
      </c>
      <c r="G61" s="143" t="inlineStr">
        <is>
          <t>Washed</t>
        </is>
      </c>
      <c r="H61" s="144" t="inlineStr">
        <is>
          <t>Filter</t>
        </is>
      </c>
      <c r="I61" s="144" t="inlineStr">
        <is>
          <t>$7.50</t>
        </is>
      </c>
      <c r="J61" s="144" t="inlineStr"/>
    </row>
    <row r="62" ht="13" customHeight="1">
      <c r="B62" s="140" t="n">
        <v>37</v>
      </c>
      <c r="C62" s="139" t="inlineStr">
        <is>
          <t>2026-06-13</t>
        </is>
      </c>
      <c r="D62" s="139" t="inlineStr">
        <is>
          <t>Kurasu</t>
        </is>
      </c>
      <c r="E62" s="139" t="inlineStr">
        <is>
          <t>Rwanda Nkara Soil Proj</t>
        </is>
      </c>
      <c r="F62" s="139" t="inlineStr">
        <is>
          <t>Rwanda</t>
        </is>
      </c>
      <c r="G62" s="139" t="inlineStr">
        <is>
          <t>Washed</t>
        </is>
      </c>
      <c r="H62" s="140" t="inlineStr">
        <is>
          <t>Filter</t>
        </is>
      </c>
      <c r="I62" s="140" t="inlineStr">
        <is>
          <t>$9.27</t>
        </is>
      </c>
      <c r="J62" s="140" t="inlineStr"/>
    </row>
    <row r="63" ht="13" customHeight="1">
      <c r="B63" s="137" t="n">
        <v>38</v>
      </c>
      <c r="C63" s="138" t="inlineStr">
        <is>
          <t>2026-06-14</t>
        </is>
      </c>
      <c r="D63" s="158" t="inlineStr">
        <is>
          <t>Keryi Coffee</t>
        </is>
      </c>
      <c r="E63" s="138" t="inlineStr">
        <is>
          <t>Colombia Finca La Esma</t>
        </is>
      </c>
      <c r="F63" s="138" t="inlineStr">
        <is>
          <t>Colombia</t>
        </is>
      </c>
      <c r="G63" s="138" t="inlineStr">
        <is>
          <t>Honey</t>
        </is>
      </c>
      <c r="H63" s="137" t="inlineStr">
        <is>
          <t>Light</t>
        </is>
      </c>
      <c r="I63" s="137" t="inlineStr">
        <is>
          <t>$15.00</t>
        </is>
      </c>
      <c r="J63" s="137" t="inlineStr">
        <is>
          <t>⭐</t>
        </is>
      </c>
    </row>
    <row r="64" ht="13" customHeight="1">
      <c r="B64" s="140" t="n">
        <v>39</v>
      </c>
      <c r="C64" s="139" t="inlineStr">
        <is>
          <t>2026-06-19</t>
        </is>
      </c>
      <c r="D64" s="139" t="inlineStr">
        <is>
          <t>Corner Corner</t>
        </is>
      </c>
      <c r="E64" s="139" t="inlineStr">
        <is>
          <t>Malaysia My Liberica</t>
        </is>
      </c>
      <c r="F64" s="139" t="inlineStr">
        <is>
          <t>Malaysia</t>
        </is>
      </c>
      <c r="G64" s="139" t="inlineStr">
        <is>
          <t>Natural</t>
        </is>
      </c>
      <c r="H64" s="140" t="inlineStr">
        <is>
          <t>Light</t>
        </is>
      </c>
      <c r="I64" s="140" t="inlineStr">
        <is>
          <t>$13.00</t>
        </is>
      </c>
      <c r="J64" s="140" t="inlineStr"/>
    </row>
    <row r="65" ht="13" customHeight="1">
      <c r="B65" s="137" t="n">
        <v>40</v>
      </c>
      <c r="C65" s="138" t="inlineStr">
        <is>
          <t>2026-06-19</t>
        </is>
      </c>
      <c r="D65" s="158" t="inlineStr">
        <is>
          <t>Equate</t>
        </is>
      </c>
      <c r="E65" s="138" t="inlineStr">
        <is>
          <t>Colombia Huila La Prad</t>
        </is>
      </c>
      <c r="F65" s="138" t="inlineStr">
        <is>
          <t>Colombia</t>
        </is>
      </c>
      <c r="G65" s="138" t="inlineStr">
        <is>
          <t>Washed</t>
        </is>
      </c>
      <c r="H65" s="137" t="inlineStr">
        <is>
          <t>Unknown</t>
        </is>
      </c>
      <c r="I65" s="137" t="inlineStr">
        <is>
          <t>$13.00</t>
        </is>
      </c>
      <c r="J65" s="137" t="inlineStr">
        <is>
          <t>⭐</t>
        </is>
      </c>
    </row>
    <row r="66" ht="13" customHeight="1">
      <c r="B66" s="140" t="n">
        <v>41</v>
      </c>
      <c r="C66" s="139" t="inlineStr">
        <is>
          <t>2026-06-21</t>
        </is>
      </c>
      <c r="D66" s="139" t="inlineStr">
        <is>
          <t>Apartment (Jalan Ria</t>
        </is>
      </c>
      <c r="E66" s="139" t="inlineStr">
        <is>
          <t>Colombia Javier Quinte</t>
        </is>
      </c>
      <c r="F66" s="139" t="inlineStr">
        <is>
          <t>Colombia</t>
        </is>
      </c>
      <c r="G66" s="139" t="inlineStr">
        <is>
          <t>Washed</t>
        </is>
      </c>
      <c r="H66" s="140" t="inlineStr">
        <is>
          <t>Light</t>
        </is>
      </c>
      <c r="I66" s="140" t="inlineStr">
        <is>
          <t>$9.50</t>
        </is>
      </c>
      <c r="J66" s="140" t="inlineStr"/>
    </row>
    <row r="67" ht="13" customHeight="1">
      <c r="B67" s="144" t="n">
        <v>42</v>
      </c>
      <c r="C67" s="143" t="inlineStr">
        <is>
          <t>2026-06-25</t>
        </is>
      </c>
      <c r="D67" s="143" t="inlineStr">
        <is>
          <t>PPP Coffee (Funan)</t>
        </is>
      </c>
      <c r="E67" s="143" t="inlineStr">
        <is>
          <t>Ethiopia Suke Quto</t>
        </is>
      </c>
      <c r="F67" s="143" t="inlineStr">
        <is>
          <t>Ethiopia</t>
        </is>
      </c>
      <c r="G67" s="143" t="inlineStr">
        <is>
          <t>Washed</t>
        </is>
      </c>
      <c r="H67" s="144" t="inlineStr">
        <is>
          <t>Light</t>
        </is>
      </c>
      <c r="I67" s="144" t="inlineStr">
        <is>
          <t>$9.00</t>
        </is>
      </c>
      <c r="J67" s="144" t="inlineStr"/>
    </row>
    <row r="68" ht="13" customHeight="1">
      <c r="B68" s="140" t="n">
        <v>43</v>
      </c>
      <c r="C68" s="139" t="inlineStr">
        <is>
          <t>2026-06-27</t>
        </is>
      </c>
      <c r="D68" s="139" t="inlineStr">
        <is>
          <t>Apartment (Jalan Ria</t>
        </is>
      </c>
      <c r="E68" s="139" t="inlineStr">
        <is>
          <t>China Yunnan Meng Hai</t>
        </is>
      </c>
      <c r="F68" s="139" t="inlineStr">
        <is>
          <t>China</t>
        </is>
      </c>
      <c r="G68" s="139" t="inlineStr">
        <is>
          <t>Washed</t>
        </is>
      </c>
      <c r="H68" s="140" t="inlineStr">
        <is>
          <t>Light</t>
        </is>
      </c>
      <c r="I68" s="140" t="inlineStr">
        <is>
          <t>$9.50</t>
        </is>
      </c>
      <c r="J68" s="140" t="inlineStr"/>
    </row>
    <row r="69" ht="13" customHeight="1">
      <c r="B69" s="144" t="n">
        <v>44</v>
      </c>
      <c r="C69" s="143" t="inlineStr">
        <is>
          <t>2026-06-28</t>
        </is>
      </c>
      <c r="D69" s="143" t="inlineStr">
        <is>
          <t>Keryi Coffee</t>
        </is>
      </c>
      <c r="E69" s="143" t="inlineStr">
        <is>
          <t>Ethiopia Urabeast G1</t>
        </is>
      </c>
      <c r="F69" s="143" t="inlineStr">
        <is>
          <t>Ethiopia</t>
        </is>
      </c>
      <c r="G69" s="143" t="inlineStr">
        <is>
          <t>Experimental Ferment</t>
        </is>
      </c>
      <c r="H69" s="144" t="inlineStr">
        <is>
          <t>Filter</t>
        </is>
      </c>
      <c r="I69" s="144" t="inlineStr">
        <is>
          <t>$13.00</t>
        </is>
      </c>
      <c r="J69" s="144" t="inlineStr"/>
    </row>
    <row r="70" ht="13" customHeight="1">
      <c r="B70" s="140" t="n">
        <v>45</v>
      </c>
      <c r="C70" s="139" t="inlineStr">
        <is>
          <t>2026-06-28</t>
        </is>
      </c>
      <c r="D70" s="139" t="inlineStr">
        <is>
          <t>Asylum Coffeehouse</t>
        </is>
      </c>
      <c r="E70" s="139" t="inlineStr">
        <is>
          <t>Yellow Sudan Rume</t>
        </is>
      </c>
      <c r="F70" s="139" t="inlineStr">
        <is>
          <t>Colombia</t>
        </is>
      </c>
      <c r="G70" s="139" t="inlineStr">
        <is>
          <t>Natural</t>
        </is>
      </c>
      <c r="H70" s="140" t="inlineStr">
        <is>
          <t>Filter</t>
        </is>
      </c>
      <c r="I70" s="140" t="inlineStr">
        <is>
          <t>$14.00</t>
        </is>
      </c>
      <c r="J70" s="140" t="inlineStr"/>
    </row>
    <row r="71" ht="13" customHeight="1">
      <c r="B71" s="144" t="n">
        <v>46</v>
      </c>
      <c r="C71" s="143" t="inlineStr">
        <is>
          <t>2026-06-30</t>
        </is>
      </c>
      <c r="D71" s="143" t="inlineStr">
        <is>
          <t>2050 Coffee</t>
        </is>
      </c>
      <c r="E71" s="143" t="inlineStr">
        <is>
          <t>Myanmar Arakan Mountai</t>
        </is>
      </c>
      <c r="F71" s="143" t="inlineStr">
        <is>
          <t>Myanmar</t>
        </is>
      </c>
      <c r="G71" s="143" t="inlineStr">
        <is>
          <t>Honey</t>
        </is>
      </c>
      <c r="H71" s="144" t="inlineStr">
        <is>
          <t>Light</t>
        </is>
      </c>
      <c r="I71" s="144" t="inlineStr">
        <is>
          <t>$6.00</t>
        </is>
      </c>
      <c r="J71" s="144" t="inlineStr"/>
    </row>
    <row r="72" ht="12" customHeight="1">
      <c r="B72" s="180" t="inlineStr">
        <is>
          <t xml:space="preserve">  ── 2026-07 ──</t>
        </is>
      </c>
    </row>
    <row r="73" ht="13" customHeight="1">
      <c r="B73" s="140" t="n">
        <v>47</v>
      </c>
      <c r="C73" s="139" t="inlineStr">
        <is>
          <t>2026-07-01</t>
        </is>
      </c>
      <c r="D73" s="139" t="inlineStr">
        <is>
          <t>Kyuukei Coffee</t>
        </is>
      </c>
      <c r="E73" s="139" t="inlineStr">
        <is>
          <t>Ethiopia Worka Chelche</t>
        </is>
      </c>
      <c r="F73" s="139" t="inlineStr">
        <is>
          <t>Ethiopia</t>
        </is>
      </c>
      <c r="G73" s="139" t="inlineStr">
        <is>
          <t>Washed</t>
        </is>
      </c>
      <c r="H73" s="140" t="inlineStr">
        <is>
          <t>Light</t>
        </is>
      </c>
      <c r="I73" s="140" t="inlineStr">
        <is>
          <t>$9.00</t>
        </is>
      </c>
      <c r="J73" s="140" t="inlineStr"/>
    </row>
    <row r="74" ht="13" customHeight="1">
      <c r="B74" s="144" t="n">
        <v>48</v>
      </c>
      <c r="C74" s="143" t="inlineStr">
        <is>
          <t>2026-07-03</t>
        </is>
      </c>
      <c r="D74" s="143" t="inlineStr">
        <is>
          <t>Zerah Roasters</t>
        </is>
      </c>
      <c r="E74" s="143" t="inlineStr">
        <is>
          <t>Finca Villarazo — Pink</t>
        </is>
      </c>
      <c r="F74" s="143" t="inlineStr">
        <is>
          <t>Colombia</t>
        </is>
      </c>
      <c r="G74" s="143" t="inlineStr">
        <is>
          <t>Washed</t>
        </is>
      </c>
      <c r="H74" s="144" t="inlineStr">
        <is>
          <t>Filter</t>
        </is>
      </c>
      <c r="I74" s="144" t="inlineStr">
        <is>
          <t>$9.00</t>
        </is>
      </c>
      <c r="J74" s="144" t="inlineStr"/>
    </row>
    <row r="75" ht="13" customHeight="1">
      <c r="B75" s="137" t="n">
        <v>49</v>
      </c>
      <c r="C75" s="138" t="inlineStr">
        <is>
          <t>2026-07-05</t>
        </is>
      </c>
      <c r="D75" s="158" t="inlineStr">
        <is>
          <t>Homeground Coffee Ro</t>
        </is>
      </c>
      <c r="E75" s="138" t="inlineStr">
        <is>
          <t>Colombia Inmaculada Ge</t>
        </is>
      </c>
      <c r="F75" s="138" t="inlineStr">
        <is>
          <t>Colombia</t>
        </is>
      </c>
      <c r="G75" s="138" t="inlineStr">
        <is>
          <t>Natural</t>
        </is>
      </c>
      <c r="H75" s="137" t="inlineStr">
        <is>
          <t>Light</t>
        </is>
      </c>
      <c r="I75" s="137" t="inlineStr">
        <is>
          <t>$19.00</t>
        </is>
      </c>
      <c r="J75" s="137" t="inlineStr">
        <is>
          <t>⭐</t>
        </is>
      </c>
    </row>
    <row r="76" ht="13" customHeight="1">
      <c r="B76" s="144" t="n">
        <v>50</v>
      </c>
      <c r="C76" s="143" t="inlineStr">
        <is>
          <t>2026-07-05</t>
        </is>
      </c>
      <c r="D76" s="143" t="inlineStr">
        <is>
          <t>Homeground Coffee Ro</t>
        </is>
      </c>
      <c r="E76" s="143" t="inlineStr">
        <is>
          <t xml:space="preserve">Bolivia Los Rodriguez </t>
        </is>
      </c>
      <c r="F76" s="143" t="inlineStr">
        <is>
          <t>Bolivia</t>
        </is>
      </c>
      <c r="G76" s="143" t="inlineStr">
        <is>
          <t>Washed</t>
        </is>
      </c>
      <c r="H76" s="144" t="inlineStr">
        <is>
          <t>Light</t>
        </is>
      </c>
      <c r="I76" s="144" t="inlineStr">
        <is>
          <t>$10.00</t>
        </is>
      </c>
      <c r="J76" s="144" t="inlineStr"/>
    </row>
    <row r="77" ht="13" customHeight="1">
      <c r="B77" s="137" t="n">
        <v>51</v>
      </c>
      <c r="C77" s="138" t="inlineStr">
        <is>
          <t>2026-07-05</t>
        </is>
      </c>
      <c r="D77" s="158" t="inlineStr">
        <is>
          <t>Cowpresso Coffee Roa</t>
        </is>
      </c>
      <c r="E77" s="138" t="inlineStr">
        <is>
          <t>Geisha Colombia Las Nu</t>
        </is>
      </c>
      <c r="F77" s="138" t="inlineStr">
        <is>
          <t>Colombia</t>
        </is>
      </c>
      <c r="G77" s="138" t="inlineStr">
        <is>
          <t>Natural</t>
        </is>
      </c>
      <c r="H77" s="137" t="inlineStr">
        <is>
          <t>Medium</t>
        </is>
      </c>
      <c r="I77" s="137" t="inlineStr">
        <is>
          <t>$9.90</t>
        </is>
      </c>
      <c r="J77" s="137" t="inlineStr">
        <is>
          <t>⭐</t>
        </is>
      </c>
    </row>
    <row r="78" ht="13" customHeight="1">
      <c r="B78" s="144" t="n">
        <v>52</v>
      </c>
      <c r="C78" s="143" t="inlineStr">
        <is>
          <t>2026-07-06</t>
        </is>
      </c>
      <c r="D78" s="143" t="inlineStr">
        <is>
          <t>Fluid Collective</t>
        </is>
      </c>
      <c r="E78" s="143" t="inlineStr">
        <is>
          <t>Alo Coffee — Natural A</t>
        </is>
      </c>
      <c r="F78" s="143" t="inlineStr">
        <is>
          <t>Ethiopia</t>
        </is>
      </c>
      <c r="G78" s="143" t="inlineStr">
        <is>
          <t>Anaerobic Natural</t>
        </is>
      </c>
      <c r="H78" s="144" t="inlineStr">
        <is>
          <t>Light</t>
        </is>
      </c>
      <c r="I78" s="144" t="inlineStr">
        <is>
          <t>$11.00</t>
        </is>
      </c>
      <c r="J78" s="144" t="inlineStr"/>
    </row>
    <row r="79" ht="13" customHeight="1">
      <c r="B79" s="140" t="n">
        <v>53</v>
      </c>
      <c r="C79" s="139" t="inlineStr">
        <is>
          <t>2026-07-06</t>
        </is>
      </c>
      <c r="D79" s="139" t="inlineStr">
        <is>
          <t>Fluid Collective</t>
        </is>
      </c>
      <c r="E79" s="139" t="inlineStr">
        <is>
          <t>Gara Agena</t>
        </is>
      </c>
      <c r="F79" s="139" t="inlineStr">
        <is>
          <t>Ethiopia</t>
        </is>
      </c>
      <c r="G79" s="139" t="inlineStr">
        <is>
          <t>Washed</t>
        </is>
      </c>
      <c r="H79" s="140" t="inlineStr">
        <is>
          <t>Light</t>
        </is>
      </c>
      <c r="I79" s="140" t="inlineStr">
        <is>
          <t>$9.00</t>
        </is>
      </c>
      <c r="J79" s="140" t="inlineStr"/>
    </row>
    <row r="80" ht="13" customHeight="1">
      <c r="B80" s="137" t="n">
        <v>54</v>
      </c>
      <c r="C80" s="138" t="inlineStr">
        <is>
          <t>2026-07-07</t>
        </is>
      </c>
      <c r="D80" s="158" t="inlineStr">
        <is>
          <t>Pinhole Coffee Bar</t>
        </is>
      </c>
      <c r="E80" s="138" t="inlineStr">
        <is>
          <t>Santa Barbara #1 — Ges</t>
        </is>
      </c>
      <c r="F80" s="138" t="inlineStr">
        <is>
          <t>Colombia</t>
        </is>
      </c>
      <c r="G80" s="138" t="inlineStr">
        <is>
          <t>Honey</t>
        </is>
      </c>
      <c r="H80" s="137" t="inlineStr">
        <is>
          <t>Light</t>
        </is>
      </c>
      <c r="I80" s="137" t="inlineStr">
        <is>
          <t>$15.00</t>
        </is>
      </c>
      <c r="J80" s="137" t="inlineStr">
        <is>
          <t>⭐</t>
        </is>
      </c>
    </row>
    <row r="200">
      <c r="B200" t="inlineStr">
        <is>
          <t>Month</t>
        </is>
      </c>
      <c r="C200" t="inlineStr">
        <is>
          <t>Entries</t>
        </is>
      </c>
      <c r="D200" t="inlineStr">
        <is>
          <t>Gesha Cups</t>
        </is>
      </c>
    </row>
    <row r="201">
      <c r="B201" t="inlineStr">
        <is>
          <t>2026-01</t>
        </is>
      </c>
      <c r="C201" t="n">
        <v>3</v>
      </c>
      <c r="D201" t="n">
        <v>0</v>
      </c>
    </row>
    <row r="202">
      <c r="B202" t="inlineStr">
        <is>
          <t>2026-02</t>
        </is>
      </c>
      <c r="C202" t="n">
        <v>1</v>
      </c>
      <c r="D202" t="n">
        <v>0</v>
      </c>
    </row>
    <row r="203">
      <c r="B203" t="inlineStr">
        <is>
          <t>2026-03</t>
        </is>
      </c>
      <c r="C203" t="n">
        <v>13</v>
      </c>
      <c r="D203" t="n">
        <v>1</v>
      </c>
    </row>
    <row r="204">
      <c r="B204" t="inlineStr">
        <is>
          <t>2026-04</t>
        </is>
      </c>
      <c r="C204" t="n">
        <v>7</v>
      </c>
      <c r="D204" t="n">
        <v>2</v>
      </c>
    </row>
    <row r="205">
      <c r="B205" t="inlineStr">
        <is>
          <t>2026-05</t>
        </is>
      </c>
      <c r="C205" t="n">
        <v>11</v>
      </c>
      <c r="D205" t="n">
        <v>2</v>
      </c>
    </row>
    <row r="206">
      <c r="B206" t="inlineStr">
        <is>
          <t>2026-06</t>
        </is>
      </c>
      <c r="C206" t="n">
        <v>11</v>
      </c>
      <c r="D206" t="n">
        <v>2</v>
      </c>
    </row>
    <row r="207">
      <c r="B207" t="inlineStr">
        <is>
          <t>2026-07</t>
        </is>
      </c>
      <c r="C207" t="n">
        <v>8</v>
      </c>
      <c r="D207" t="n">
        <v>3</v>
      </c>
    </row>
  </sheetData>
  <mergeCells count="12">
    <mergeCell ref="B4:L4"/>
    <mergeCell ref="B72:J72"/>
    <mergeCell ref="B7:L7"/>
    <mergeCell ref="B60:J60"/>
    <mergeCell ref="B2:L2"/>
    <mergeCell ref="B5:L5"/>
    <mergeCell ref="B19:L19"/>
    <mergeCell ref="B26:J26"/>
    <mergeCell ref="B40:J40"/>
    <mergeCell ref="B48:J48"/>
    <mergeCell ref="B24:J24"/>
    <mergeCell ref="B1:L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6B3600"/>
    <outlinePr summaryBelow="1" summaryRight="1"/>
    <pageSetUpPr/>
  </sheetPr>
  <dimension ref="B1:H46"/>
  <sheetViews>
    <sheetView showGridLines="0" workbookViewId="0">
      <selection activeCell="A1" sqref="A1"/>
    </sheetView>
  </sheetViews>
  <sheetFormatPr baseColWidth="8" defaultRowHeight="15"/>
  <cols>
    <col width="2" customWidth="1" min="1" max="1"/>
    <col width="22" customWidth="1" min="2" max="2"/>
    <col width="8" customWidth="1" min="3" max="3"/>
    <col width="14" customWidth="1" min="4" max="4"/>
    <col width="10" customWidth="1" min="5" max="5"/>
    <col width="8" customWidth="1" min="6" max="6"/>
    <col width="16" customWidth="1" min="7" max="7"/>
    <col width="20" customWidth="1" min="8" max="8"/>
    <col width="2" customWidth="1" min="9" max="9"/>
  </cols>
  <sheetData>
    <row r="1" ht="38" customHeight="1">
      <c r="B1" s="116" t="inlineStr">
        <is>
          <t>🏙️  CAFÉ DIRECTORY — 31 VENUES AUDITED</t>
        </is>
      </c>
    </row>
    <row r="2" ht="16" customHeight="1">
      <c r="B2" s="117" t="inlineStr">
        <is>
          <t>Singapore · Ubud Bali · Mumbai · Johor Bahru</t>
        </is>
      </c>
    </row>
    <row r="3" ht="8" customHeight="1"/>
    <row r="4" ht="22" customHeight="1">
      <c r="B4" s="151" t="inlineStr">
        <is>
          <t>📖  THE CITY THESIS</t>
        </is>
      </c>
      <c r="C4" s="193" t="n"/>
      <c r="D4" s="193" t="n"/>
      <c r="E4" s="193" t="n"/>
      <c r="F4" s="193" t="n"/>
      <c r="G4" s="193" t="n"/>
      <c r="H4" s="194" t="n"/>
    </row>
    <row r="5" ht="40" customHeight="1">
      <c r="B5" s="134" t="inlineStr">
        <is>
          <t>89% of the archive is Singapore — the most technically mature specialty coffee market in Southeast Asia. 31 unique venues across 4 cities. Singapore's scene is defined by roaster-owned café models with transparent brew parameters, guest bean rotations, and competition-grade hardware. Fluid Collective leads the archive's cup quality ranking. Nylon and Zerah are the reliability anchors. Watchlist has 4 remaining priority targets.</t>
        </is>
      </c>
      <c r="C5" s="189" t="n"/>
      <c r="D5" s="189" t="n"/>
      <c r="E5" s="189" t="n"/>
      <c r="F5" s="189" t="n"/>
      <c r="G5" s="189" t="n"/>
      <c r="H5" s="190" t="n"/>
    </row>
    <row r="6" ht="6" customHeight="1"/>
    <row r="7" ht="22" customHeight="1">
      <c r="B7" s="145" t="inlineStr">
        <is>
          <t>🌏  BY CITY — COVERAGE OVERVIEW</t>
        </is>
      </c>
      <c r="C7" s="191" t="n"/>
      <c r="D7" s="191" t="n"/>
      <c r="E7" s="191" t="n"/>
      <c r="F7" s="191" t="n"/>
      <c r="G7" s="191" t="n"/>
      <c r="H7" s="192" t="n"/>
    </row>
    <row r="8" ht="16" customHeight="1">
      <c r="B8" s="146" t="inlineStr">
        <is>
          <t>City</t>
        </is>
      </c>
      <c r="C8" s="146" t="inlineStr">
        <is>
          <t>Entries</t>
        </is>
      </c>
      <c r="D8" s="146" t="inlineStr">
        <is>
          <t>Cafés</t>
        </is>
      </c>
      <c r="E8" s="146" t="inlineStr">
        <is>
          <t>%</t>
        </is>
      </c>
      <c r="F8" s="146" t="inlineStr">
        <is>
          <t>Note</t>
        </is>
      </c>
    </row>
    <row r="9" ht="15" customHeight="1">
      <c r="B9" s="160" t="inlineStr">
        <is>
          <t>Singapore</t>
        </is>
      </c>
      <c r="C9" s="150" t="n">
        <v>48</v>
      </c>
      <c r="D9" s="150" t="n">
        <v>27</v>
      </c>
      <c r="E9" s="150" t="inlineStr">
        <is>
          <t>89%</t>
        </is>
      </c>
      <c r="F9" s="149" t="inlineStr">
        <is>
          <t>Primary market — roaster-owned specialty scene</t>
        </is>
      </c>
    </row>
    <row r="10" ht="15" customHeight="1">
      <c r="B10" s="162" t="inlineStr">
        <is>
          <t>Ubud, Bali</t>
        </is>
      </c>
      <c r="C10" s="148" t="n">
        <v>3</v>
      </c>
      <c r="D10" s="148" t="n">
        <v>1</v>
      </c>
      <c r="E10" s="148" t="inlineStr">
        <is>
          <t>6%</t>
        </is>
      </c>
      <c r="F10" s="147" t="inlineStr">
        <is>
          <t>Archive origin city — Seniman Coffee Studio</t>
        </is>
      </c>
    </row>
    <row r="11" ht="15" customHeight="1">
      <c r="B11" s="181" t="inlineStr">
        <is>
          <t>Mumbai</t>
        </is>
      </c>
      <c r="C11" s="144" t="n">
        <v>2</v>
      </c>
      <c r="D11" s="144" t="n">
        <v>2</v>
      </c>
      <c r="E11" s="144" t="inlineStr">
        <is>
          <t>4%</t>
        </is>
      </c>
      <c r="F11" s="143" t="inlineStr">
        <is>
          <t>Subko Coffee · Expanding India chapter</t>
        </is>
      </c>
    </row>
    <row r="12" ht="15" customHeight="1">
      <c r="B12" s="156" t="inlineStr">
        <is>
          <t>Johor Bahru</t>
        </is>
      </c>
      <c r="C12" s="155" t="n">
        <v>1</v>
      </c>
      <c r="D12" s="155" t="n">
        <v>1</v>
      </c>
      <c r="E12" s="155" t="inlineStr">
        <is>
          <t>2%</t>
        </is>
      </c>
      <c r="F12" s="154" t="inlineStr">
        <is>
          <t>Cross-border audit</t>
        </is>
      </c>
    </row>
    <row r="13" ht="6" customHeight="1"/>
    <row r="14" ht="22" customHeight="1">
      <c r="B14" s="132" t="inlineStr">
        <is>
          <t>☕  COMPLETE CAFÉ DIRECTORY</t>
        </is>
      </c>
      <c r="C14" s="187" t="n"/>
      <c r="D14" s="187" t="n"/>
      <c r="E14" s="187" t="n"/>
      <c r="F14" s="187" t="n"/>
      <c r="G14" s="187" t="n"/>
      <c r="H14" s="188" t="n"/>
    </row>
    <row r="15" ht="16" customHeight="1">
      <c r="B15" s="136" t="inlineStr">
        <is>
          <t>Café</t>
        </is>
      </c>
      <c r="C15" s="136" t="inlineStr">
        <is>
          <t>Entries</t>
        </is>
      </c>
      <c r="D15" s="136" t="inlineStr">
        <is>
          <t>City</t>
        </is>
      </c>
      <c r="E15" s="136" t="inlineStr">
        <is>
          <t>Avg SGD</t>
        </is>
      </c>
      <c r="F15" s="136" t="inlineStr">
        <is>
          <t>Gesha?</t>
        </is>
      </c>
      <c r="G15" s="136" t="inlineStr">
        <is>
          <t>Top Process</t>
        </is>
      </c>
      <c r="H15" s="136" t="inlineStr">
        <is>
          <t>Note</t>
        </is>
      </c>
    </row>
    <row r="16" ht="15" customHeight="1">
      <c r="B16" s="160" t="inlineStr">
        <is>
          <t>Nylon Coffee Roasters</t>
        </is>
      </c>
      <c r="C16" s="150" t="n">
        <v>5</v>
      </c>
      <c r="D16" s="149" t="inlineStr">
        <is>
          <t>Singapore</t>
        </is>
      </c>
      <c r="E16" s="150" t="inlineStr">
        <is>
          <t>$7.83</t>
        </is>
      </c>
      <c r="F16" s="150" t="inlineStr">
        <is>
          <t>—</t>
        </is>
      </c>
      <c r="G16" s="149" t="inlineStr">
        <is>
          <t>Natural</t>
        </is>
      </c>
      <c r="H16" s="149" t="inlineStr">
        <is>
          <t>⭐ Reliability anchor</t>
        </is>
      </c>
    </row>
    <row r="17" ht="15" customHeight="1">
      <c r="B17" s="158" t="inlineStr">
        <is>
          <t>Asylum Coffeehouse</t>
        </is>
      </c>
      <c r="C17" s="137" t="n">
        <v>4</v>
      </c>
      <c r="D17" s="138" t="inlineStr">
        <is>
          <t>Singapore</t>
        </is>
      </c>
      <c r="E17" s="137" t="inlineStr">
        <is>
          <t>$12.50</t>
        </is>
      </c>
      <c r="F17" s="159" t="inlineStr">
        <is>
          <t>⭐×2</t>
        </is>
      </c>
      <c r="G17" s="138" t="inlineStr">
        <is>
          <t>Washed</t>
        </is>
      </c>
      <c r="H17" s="138" t="inlineStr">
        <is>
          <t>⭐ 2 Gesha entry</t>
        </is>
      </c>
    </row>
    <row r="18" ht="15" customHeight="1">
      <c r="B18" s="139" t="inlineStr">
        <is>
          <t>Seniman Coffee Studio</t>
        </is>
      </c>
      <c r="C18" s="140" t="n">
        <v>3</v>
      </c>
      <c r="D18" s="139" t="inlineStr">
        <is>
          <t>Ubud</t>
        </is>
      </c>
      <c r="E18" s="140" t="inlineStr">
        <is>
          <t>—</t>
        </is>
      </c>
      <c r="F18" s="140" t="inlineStr">
        <is>
          <t>—</t>
        </is>
      </c>
      <c r="G18" s="139" t="inlineStr">
        <is>
          <t>Natural</t>
        </is>
      </c>
      <c r="H18" s="139" t="inlineStr"/>
    </row>
    <row r="19" ht="15" customHeight="1">
      <c r="B19" s="143" t="inlineStr">
        <is>
          <t>Kyuukei Coffee</t>
        </is>
      </c>
      <c r="C19" s="144" t="n">
        <v>3</v>
      </c>
      <c r="D19" s="143" t="inlineStr">
        <is>
          <t>Singapore</t>
        </is>
      </c>
      <c r="E19" s="144" t="inlineStr">
        <is>
          <t>$8.67</t>
        </is>
      </c>
      <c r="F19" s="144" t="inlineStr">
        <is>
          <t>—</t>
        </is>
      </c>
      <c r="G19" s="143" t="inlineStr">
        <is>
          <t>Washed</t>
        </is>
      </c>
      <c r="H19" s="143" t="inlineStr"/>
    </row>
    <row r="20" ht="15" customHeight="1">
      <c r="B20" s="139" t="inlineStr">
        <is>
          <t>Agora Coffee</t>
        </is>
      </c>
      <c r="C20" s="140" t="n">
        <v>3</v>
      </c>
      <c r="D20" s="139" t="inlineStr">
        <is>
          <t>Singapore</t>
        </is>
      </c>
      <c r="E20" s="140" t="inlineStr">
        <is>
          <t>—</t>
        </is>
      </c>
      <c r="F20" s="140" t="inlineStr">
        <is>
          <t>—</t>
        </is>
      </c>
      <c r="G20" s="139" t="inlineStr">
        <is>
          <t>Natural</t>
        </is>
      </c>
      <c r="H20" s="139" t="inlineStr"/>
    </row>
    <row r="21" ht="15" customHeight="1">
      <c r="B21" s="143" t="inlineStr">
        <is>
          <t>Narrative Coffee Stand</t>
        </is>
      </c>
      <c r="C21" s="144" t="n">
        <v>2</v>
      </c>
      <c r="D21" s="143" t="inlineStr">
        <is>
          <t>Singapore</t>
        </is>
      </c>
      <c r="E21" s="144" t="inlineStr">
        <is>
          <t>—</t>
        </is>
      </c>
      <c r="F21" s="144" t="inlineStr">
        <is>
          <t>—</t>
        </is>
      </c>
      <c r="G21" s="143" t="inlineStr">
        <is>
          <t>Natural</t>
        </is>
      </c>
      <c r="H21" s="143" t="inlineStr"/>
    </row>
    <row r="22" ht="15" customHeight="1">
      <c r="B22" s="139" t="inlineStr">
        <is>
          <t>ASK Coffee Roastery</t>
        </is>
      </c>
      <c r="C22" s="140" t="n">
        <v>2</v>
      </c>
      <c r="D22" s="139" t="inlineStr">
        <is>
          <t>Singapore</t>
        </is>
      </c>
      <c r="E22" s="140" t="inlineStr">
        <is>
          <t>$15.00</t>
        </is>
      </c>
      <c r="F22" s="140" t="inlineStr">
        <is>
          <t>—</t>
        </is>
      </c>
      <c r="G22" s="139" t="inlineStr">
        <is>
          <t>Experimental Ferment</t>
        </is>
      </c>
      <c r="H22" s="139" t="inlineStr"/>
    </row>
    <row r="23" ht="15" customHeight="1">
      <c r="B23" s="143" t="inlineStr">
        <is>
          <t>Tiong Hoe Specialty Coffee</t>
        </is>
      </c>
      <c r="C23" s="144" t="n">
        <v>2</v>
      </c>
      <c r="D23" s="143" t="inlineStr">
        <is>
          <t>Singapore</t>
        </is>
      </c>
      <c r="E23" s="144" t="inlineStr">
        <is>
          <t>$6.55</t>
        </is>
      </c>
      <c r="F23" s="144" t="inlineStr">
        <is>
          <t>—</t>
        </is>
      </c>
      <c r="G23" s="143" t="inlineStr">
        <is>
          <t>Natural</t>
        </is>
      </c>
      <c r="H23" s="143" t="inlineStr"/>
    </row>
    <row r="24" ht="15" customHeight="1">
      <c r="B24" s="139" t="inlineStr">
        <is>
          <t>Maxi Coffee Bar</t>
        </is>
      </c>
      <c r="C24" s="140" t="n">
        <v>2</v>
      </c>
      <c r="D24" s="139" t="inlineStr">
        <is>
          <t>Singapore</t>
        </is>
      </c>
      <c r="E24" s="140" t="inlineStr">
        <is>
          <t>$9.00</t>
        </is>
      </c>
      <c r="F24" s="140" t="inlineStr">
        <is>
          <t>—</t>
        </is>
      </c>
      <c r="G24" s="139" t="inlineStr">
        <is>
          <t>Washed</t>
        </is>
      </c>
      <c r="H24" s="139" t="inlineStr"/>
    </row>
    <row r="25" ht="15" customHeight="1">
      <c r="B25" s="143" t="inlineStr">
        <is>
          <t>Kurasu</t>
        </is>
      </c>
      <c r="C25" s="144" t="n">
        <v>2</v>
      </c>
      <c r="D25" s="143" t="inlineStr">
        <is>
          <t>Singapore</t>
        </is>
      </c>
      <c r="E25" s="144" t="inlineStr">
        <is>
          <t>$9.38</t>
        </is>
      </c>
      <c r="F25" s="144" t="inlineStr">
        <is>
          <t>—</t>
        </is>
      </c>
      <c r="G25" s="143" t="inlineStr">
        <is>
          <t>Honey</t>
        </is>
      </c>
      <c r="H25" s="143" t="inlineStr"/>
    </row>
    <row r="26" ht="15" customHeight="1">
      <c r="B26" s="139" t="inlineStr">
        <is>
          <t>Zerah Roasters</t>
        </is>
      </c>
      <c r="C26" s="140" t="n">
        <v>2</v>
      </c>
      <c r="D26" s="139" t="inlineStr">
        <is>
          <t>Singapore</t>
        </is>
      </c>
      <c r="E26" s="140" t="inlineStr">
        <is>
          <t>$10.50</t>
        </is>
      </c>
      <c r="F26" s="140" t="inlineStr">
        <is>
          <t>—</t>
        </is>
      </c>
      <c r="G26" s="139" t="inlineStr">
        <is>
          <t>Anaerobic Natural</t>
        </is>
      </c>
      <c r="H26" s="139" t="inlineStr">
        <is>
          <t>⭐ High innovation</t>
        </is>
      </c>
    </row>
    <row r="27" ht="15" customHeight="1">
      <c r="B27" s="158" t="inlineStr">
        <is>
          <t>Keryi Coffee</t>
        </is>
      </c>
      <c r="C27" s="137" t="n">
        <v>2</v>
      </c>
      <c r="D27" s="138" t="inlineStr">
        <is>
          <t>Singapore</t>
        </is>
      </c>
      <c r="E27" s="137" t="inlineStr">
        <is>
          <t>$14.00</t>
        </is>
      </c>
      <c r="F27" s="159" t="inlineStr">
        <is>
          <t>⭐×1</t>
        </is>
      </c>
      <c r="G27" s="138" t="inlineStr">
        <is>
          <t>Honey</t>
        </is>
      </c>
      <c r="H27" s="138" t="inlineStr">
        <is>
          <t>⭐ 1 Gesha entry</t>
        </is>
      </c>
    </row>
    <row r="28" ht="15" customHeight="1">
      <c r="B28" s="139" t="inlineStr">
        <is>
          <t>Apartment (Jalan Riang)</t>
        </is>
      </c>
      <c r="C28" s="140" t="n">
        <v>2</v>
      </c>
      <c r="D28" s="139" t="inlineStr">
        <is>
          <t>Singapore</t>
        </is>
      </c>
      <c r="E28" s="140" t="inlineStr">
        <is>
          <t>$9.50</t>
        </is>
      </c>
      <c r="F28" s="140" t="inlineStr">
        <is>
          <t>—</t>
        </is>
      </c>
      <c r="G28" s="139" t="inlineStr">
        <is>
          <t>Washed</t>
        </is>
      </c>
      <c r="H28" s="139" t="inlineStr"/>
    </row>
    <row r="29" ht="15" customHeight="1">
      <c r="B29" s="158" t="inlineStr">
        <is>
          <t>Homeground Coffee Roasters</t>
        </is>
      </c>
      <c r="C29" s="137" t="n">
        <v>2</v>
      </c>
      <c r="D29" s="138" t="inlineStr">
        <is>
          <t>Singapore</t>
        </is>
      </c>
      <c r="E29" s="137" t="inlineStr">
        <is>
          <t>$14.50</t>
        </is>
      </c>
      <c r="F29" s="159" t="inlineStr">
        <is>
          <t>⭐×1</t>
        </is>
      </c>
      <c r="G29" s="138" t="inlineStr">
        <is>
          <t>Natural</t>
        </is>
      </c>
      <c r="H29" s="138" t="inlineStr">
        <is>
          <t>⭐ 1 Gesha entry</t>
        </is>
      </c>
    </row>
    <row r="30" ht="15" customHeight="1">
      <c r="B30" s="160" t="inlineStr">
        <is>
          <t>Fluid Collective</t>
        </is>
      </c>
      <c r="C30" s="150" t="n">
        <v>2</v>
      </c>
      <c r="D30" s="149" t="inlineStr">
        <is>
          <t>Singapore</t>
        </is>
      </c>
      <c r="E30" s="150" t="inlineStr">
        <is>
          <t>$10.00</t>
        </is>
      </c>
      <c r="F30" s="150" t="inlineStr">
        <is>
          <t>—</t>
        </is>
      </c>
      <c r="G30" s="149" t="inlineStr">
        <is>
          <t>Anaerobic Natural</t>
        </is>
      </c>
      <c r="H30" s="149" t="inlineStr">
        <is>
          <t>🏆 Cup of Year · Best hardware</t>
        </is>
      </c>
    </row>
    <row r="31" ht="15" customHeight="1">
      <c r="B31" s="143" t="inlineStr">
        <is>
          <t>Subko Coffee Roasters</t>
        </is>
      </c>
      <c r="C31" s="144" t="n">
        <v>1</v>
      </c>
      <c r="D31" s="143" t="inlineStr">
        <is>
          <t>Mumbai</t>
        </is>
      </c>
      <c r="E31" s="144" t="inlineStr">
        <is>
          <t>—</t>
        </is>
      </c>
      <c r="F31" s="144" t="inlineStr">
        <is>
          <t>—</t>
        </is>
      </c>
      <c r="G31" s="143" t="inlineStr">
        <is>
          <t>Anaerobic Natural</t>
        </is>
      </c>
      <c r="H31" s="143" t="inlineStr"/>
    </row>
    <row r="32" ht="15" customHeight="1">
      <c r="B32" s="139" t="inlineStr">
        <is>
          <t>Grey Soul Coffee Roasters</t>
        </is>
      </c>
      <c r="C32" s="140" t="n">
        <v>1</v>
      </c>
      <c r="D32" s="139" t="inlineStr">
        <is>
          <t>Mumbai</t>
        </is>
      </c>
      <c r="E32" s="140" t="inlineStr">
        <is>
          <t>—</t>
        </is>
      </c>
      <c r="F32" s="140" t="inlineStr">
        <is>
          <t>—</t>
        </is>
      </c>
      <c r="G32" s="139" t="inlineStr">
        <is>
          <t>Anaerobic</t>
        </is>
      </c>
      <c r="H32" s="139" t="inlineStr"/>
    </row>
    <row r="33" ht="15" customHeight="1">
      <c r="B33" s="143" t="inlineStr">
        <is>
          <t>Apartment (Selegie Rd)</t>
        </is>
      </c>
      <c r="C33" s="144" t="n">
        <v>1</v>
      </c>
      <c r="D33" s="143" t="inlineStr">
        <is>
          <t>Singapore</t>
        </is>
      </c>
      <c r="E33" s="144" t="inlineStr">
        <is>
          <t>—</t>
        </is>
      </c>
      <c r="F33" s="144" t="inlineStr">
        <is>
          <t>—</t>
        </is>
      </c>
      <c r="G33" s="143" t="inlineStr">
        <is>
          <t>Washed</t>
        </is>
      </c>
      <c r="H33" s="143" t="inlineStr"/>
    </row>
    <row r="34" ht="15" customHeight="1">
      <c r="B34" s="158" t="inlineStr">
        <is>
          <t>Lume Café</t>
        </is>
      </c>
      <c r="C34" s="137" t="n">
        <v>1</v>
      </c>
      <c r="D34" s="138" t="inlineStr">
        <is>
          <t>Singapore</t>
        </is>
      </c>
      <c r="E34" s="137" t="inlineStr">
        <is>
          <t>$12.00</t>
        </is>
      </c>
      <c r="F34" s="159" t="inlineStr">
        <is>
          <t>⭐×1</t>
        </is>
      </c>
      <c r="G34" s="138" t="inlineStr">
        <is>
          <t>Honey</t>
        </is>
      </c>
      <c r="H34" s="138" t="inlineStr">
        <is>
          <t>⭐ 1 Gesha entry</t>
        </is>
      </c>
    </row>
    <row r="35" ht="15" customHeight="1">
      <c r="B35" s="143" t="inlineStr">
        <is>
          <t>Unknown</t>
        </is>
      </c>
      <c r="C35" s="144" t="n">
        <v>1</v>
      </c>
      <c r="D35" s="143" t="inlineStr">
        <is>
          <t>Johor Bahru</t>
        </is>
      </c>
      <c r="E35" s="144" t="inlineStr">
        <is>
          <t>$11.08</t>
        </is>
      </c>
      <c r="F35" s="144" t="inlineStr">
        <is>
          <t>—</t>
        </is>
      </c>
      <c r="G35" s="143" t="inlineStr">
        <is>
          <t>Anaerobic Washed</t>
        </is>
      </c>
      <c r="H35" s="143" t="inlineStr"/>
    </row>
    <row r="36" ht="15" customHeight="1">
      <c r="B36" s="139" t="inlineStr">
        <is>
          <t>Alchemist (Raffles Place)</t>
        </is>
      </c>
      <c r="C36" s="140" t="n">
        <v>1</v>
      </c>
      <c r="D36" s="139" t="inlineStr">
        <is>
          <t>Singapore</t>
        </is>
      </c>
      <c r="E36" s="140" t="inlineStr">
        <is>
          <t>—</t>
        </is>
      </c>
      <c r="F36" s="140" t="inlineStr">
        <is>
          <t>—</t>
        </is>
      </c>
      <c r="G36" s="139" t="inlineStr">
        <is>
          <t>Washed</t>
        </is>
      </c>
      <c r="H36" s="139" t="inlineStr"/>
    </row>
    <row r="37" ht="15" customHeight="1">
      <c r="B37" s="143" t="inlineStr">
        <is>
          <t>The Community Coffee (Hamilton)</t>
        </is>
      </c>
      <c r="C37" s="144" t="n">
        <v>1</v>
      </c>
      <c r="D37" s="143" t="inlineStr">
        <is>
          <t>Singapore</t>
        </is>
      </c>
      <c r="E37" s="144" t="inlineStr">
        <is>
          <t>$9.00</t>
        </is>
      </c>
      <c r="F37" s="144" t="inlineStr">
        <is>
          <t>—</t>
        </is>
      </c>
      <c r="G37" s="143" t="inlineStr">
        <is>
          <t>Natural</t>
        </is>
      </c>
      <c r="H37" s="143" t="inlineStr"/>
    </row>
    <row r="38" ht="15" customHeight="1">
      <c r="B38" s="139" t="inlineStr">
        <is>
          <t>Alchemist (Ocean Financial Centre)</t>
        </is>
      </c>
      <c r="C38" s="140" t="n">
        <v>1</v>
      </c>
      <c r="D38" s="139" t="inlineStr">
        <is>
          <t>Singapore</t>
        </is>
      </c>
      <c r="E38" s="140" t="inlineStr">
        <is>
          <t>$8.50</t>
        </is>
      </c>
      <c r="F38" s="140" t="inlineStr">
        <is>
          <t>—</t>
        </is>
      </c>
      <c r="G38" s="139" t="inlineStr">
        <is>
          <t>Anaerobic Natural</t>
        </is>
      </c>
      <c r="H38" s="139" t="inlineStr"/>
    </row>
    <row r="39" ht="15" customHeight="1">
      <c r="B39" s="158" t="inlineStr">
        <is>
          <t>FLUID</t>
        </is>
      </c>
      <c r="C39" s="137" t="n">
        <v>1</v>
      </c>
      <c r="D39" s="138" t="inlineStr">
        <is>
          <t>Singapore</t>
        </is>
      </c>
      <c r="E39" s="137" t="inlineStr">
        <is>
          <t>$14.00</t>
        </is>
      </c>
      <c r="F39" s="159" t="inlineStr">
        <is>
          <t>⭐×1</t>
        </is>
      </c>
      <c r="G39" s="138" t="inlineStr">
        <is>
          <t>Washed</t>
        </is>
      </c>
      <c r="H39" s="138" t="inlineStr">
        <is>
          <t>⭐ 1 Gesha entry</t>
        </is>
      </c>
    </row>
    <row r="40" ht="15" customHeight="1">
      <c r="B40" s="158" t="inlineStr">
        <is>
          <t>Pocket by Flip (Flip Coffee Roasters)</t>
        </is>
      </c>
      <c r="C40" s="137" t="n">
        <v>1</v>
      </c>
      <c r="D40" s="138" t="inlineStr">
        <is>
          <t>Singapore</t>
        </is>
      </c>
      <c r="E40" s="137" t="inlineStr">
        <is>
          <t>$18.00</t>
        </is>
      </c>
      <c r="F40" s="159" t="inlineStr">
        <is>
          <t>⭐×1</t>
        </is>
      </c>
      <c r="G40" s="138" t="inlineStr">
        <is>
          <t>Washed</t>
        </is>
      </c>
      <c r="H40" s="138" t="inlineStr">
        <is>
          <t>⭐ 1 Gesha entry</t>
        </is>
      </c>
    </row>
    <row r="41" ht="15" customHeight="1">
      <c r="B41" s="143" t="inlineStr">
        <is>
          <t>Corner Corner</t>
        </is>
      </c>
      <c r="C41" s="144" t="n">
        <v>1</v>
      </c>
      <c r="D41" s="143" t="inlineStr">
        <is>
          <t>Singapore</t>
        </is>
      </c>
      <c r="E41" s="144" t="inlineStr">
        <is>
          <t>$13.00</t>
        </is>
      </c>
      <c r="F41" s="144" t="inlineStr">
        <is>
          <t>—</t>
        </is>
      </c>
      <c r="G41" s="143" t="inlineStr">
        <is>
          <t>Natural</t>
        </is>
      </c>
      <c r="H41" s="143" t="inlineStr"/>
    </row>
    <row r="42" ht="15" customHeight="1">
      <c r="B42" s="158" t="inlineStr">
        <is>
          <t>Equate</t>
        </is>
      </c>
      <c r="C42" s="137" t="n">
        <v>1</v>
      </c>
      <c r="D42" s="138" t="inlineStr">
        <is>
          <t>Singapore</t>
        </is>
      </c>
      <c r="E42" s="137" t="inlineStr">
        <is>
          <t>$13.00</t>
        </is>
      </c>
      <c r="F42" s="159" t="inlineStr">
        <is>
          <t>⭐×1</t>
        </is>
      </c>
      <c r="G42" s="138" t="inlineStr">
        <is>
          <t>Washed</t>
        </is>
      </c>
      <c r="H42" s="138" t="inlineStr">
        <is>
          <t>⭐ 1 Gesha entry</t>
        </is>
      </c>
    </row>
    <row r="43" ht="15" customHeight="1">
      <c r="B43" s="143" t="inlineStr">
        <is>
          <t>PPP Coffee (Funan)</t>
        </is>
      </c>
      <c r="C43" s="144" t="n">
        <v>1</v>
      </c>
      <c r="D43" s="143" t="inlineStr">
        <is>
          <t>Singapore</t>
        </is>
      </c>
      <c r="E43" s="144" t="inlineStr">
        <is>
          <t>$9.00</t>
        </is>
      </c>
      <c r="F43" s="144" t="inlineStr">
        <is>
          <t>—</t>
        </is>
      </c>
      <c r="G43" s="143" t="inlineStr">
        <is>
          <t>Washed</t>
        </is>
      </c>
      <c r="H43" s="143" t="inlineStr"/>
    </row>
    <row r="44" ht="15" customHeight="1">
      <c r="B44" s="139" t="inlineStr">
        <is>
          <t>2050 Coffee</t>
        </is>
      </c>
      <c r="C44" s="140" t="n">
        <v>1</v>
      </c>
      <c r="D44" s="139" t="inlineStr">
        <is>
          <t>Singapore</t>
        </is>
      </c>
      <c r="E44" s="140" t="inlineStr">
        <is>
          <t>$6.00</t>
        </is>
      </c>
      <c r="F44" s="140" t="inlineStr">
        <is>
          <t>—</t>
        </is>
      </c>
      <c r="G44" s="139" t="inlineStr">
        <is>
          <t>Honey</t>
        </is>
      </c>
      <c r="H44" s="139" t="inlineStr"/>
    </row>
    <row r="45" ht="15" customHeight="1">
      <c r="B45" s="158" t="inlineStr">
        <is>
          <t>Cowpresso Coffee Roasters</t>
        </is>
      </c>
      <c r="C45" s="137" t="n">
        <v>1</v>
      </c>
      <c r="D45" s="138" t="inlineStr">
        <is>
          <t>Singapore</t>
        </is>
      </c>
      <c r="E45" s="137" t="inlineStr">
        <is>
          <t>$9.90</t>
        </is>
      </c>
      <c r="F45" s="159" t="inlineStr">
        <is>
          <t>⭐×1</t>
        </is>
      </c>
      <c r="G45" s="138" t="inlineStr">
        <is>
          <t>Natural</t>
        </is>
      </c>
      <c r="H45" s="138" t="inlineStr">
        <is>
          <t>⭐ 1 Gesha entry</t>
        </is>
      </c>
    </row>
    <row r="46" ht="15" customHeight="1">
      <c r="B46" s="158" t="inlineStr">
        <is>
          <t>Pinhole Coffee Bar</t>
        </is>
      </c>
      <c r="C46" s="137" t="n">
        <v>1</v>
      </c>
      <c r="D46" s="138" t="inlineStr">
        <is>
          <t>Singapore</t>
        </is>
      </c>
      <c r="E46" s="137" t="inlineStr">
        <is>
          <t>$15.00</t>
        </is>
      </c>
      <c r="F46" s="159" t="inlineStr">
        <is>
          <t>⭐×1</t>
        </is>
      </c>
      <c r="G46" s="138" t="inlineStr">
        <is>
          <t>Honey</t>
        </is>
      </c>
      <c r="H46" s="138" t="inlineStr">
        <is>
          <t>⭐ 1 Gesha entry</t>
        </is>
      </c>
    </row>
  </sheetData>
  <mergeCells count="6">
    <mergeCell ref="B14:H14"/>
    <mergeCell ref="B1:H1"/>
    <mergeCell ref="B4:H4"/>
    <mergeCell ref="B2:H2"/>
    <mergeCell ref="B7:H7"/>
    <mergeCell ref="B5:H5"/>
  </mergeCells>
  <pageMargins left="0.75" right="0.75" top="1" bottom="1" header="0.5" footer="0.5"/>
</worksheet>
</file>

<file path=xl/worksheets/sheet9.xml><?xml version="1.0" encoding="utf-8"?>
<worksheet xmlns="http://schemas.openxmlformats.org/spreadsheetml/2006/main">
  <sheetPr>
    <tabColor rgb="008FAF8A"/>
    <outlinePr summaryBelow="1" summaryRight="1"/>
    <pageSetUpPr/>
  </sheetPr>
  <dimension ref="A1:D16"/>
  <sheetViews>
    <sheetView showGridLines="0" workbookViewId="0">
      <selection activeCell="A1" sqref="A1"/>
    </sheetView>
  </sheetViews>
  <sheetFormatPr baseColWidth="8" defaultRowHeight="15"/>
  <cols>
    <col width="22" customWidth="1" min="1" max="1"/>
    <col width="44" customWidth="1" min="2" max="2"/>
    <col width="16" customWidth="1" min="3" max="3"/>
    <col width="16" customWidth="1" min="4" max="4"/>
  </cols>
  <sheetData>
    <row r="1" ht="28" customHeight="1">
      <c r="A1" s="27" t="inlineStr">
        <is>
          <t>HARI COFFEE AUDIT ARCHIVE — LEGEND &amp; COLOUR GUIDE</t>
        </is>
      </c>
    </row>
    <row r="3">
      <c r="A3" s="28" t="inlineStr">
        <is>
          <t>PROCESS BADGE COLOURS</t>
        </is>
      </c>
    </row>
    <row r="4" ht="18" customHeight="1">
      <c r="A4" s="29" t="inlineStr">
        <is>
          <t>Washed</t>
        </is>
      </c>
      <c r="B4" s="30" t="inlineStr">
        <is>
          <t>Pulped + fermented; clarity-first</t>
        </is>
      </c>
    </row>
    <row r="5" ht="18" customHeight="1">
      <c r="A5" s="31" t="inlineStr">
        <is>
          <t>Natural</t>
        </is>
      </c>
      <c r="B5" s="30" t="inlineStr">
        <is>
          <t>Whole cherry dried; fruit-forward</t>
        </is>
      </c>
    </row>
    <row r="6" ht="18" customHeight="1">
      <c r="A6" s="32" t="inlineStr">
        <is>
          <t>Honey</t>
        </is>
      </c>
      <c r="B6" s="30" t="inlineStr">
        <is>
          <t>Partial mucilage retained; sweetness bridge</t>
        </is>
      </c>
    </row>
    <row r="7" ht="18" customHeight="1">
      <c r="A7" s="33" t="inlineStr">
        <is>
          <t>Anaerobic</t>
        </is>
      </c>
      <c r="B7" s="30" t="inlineStr">
        <is>
          <t>Sealed tank fermentation; complex esters</t>
        </is>
      </c>
    </row>
    <row r="8" ht="18" customHeight="1">
      <c r="A8" s="34" t="inlineStr">
        <is>
          <t>Co-ferment</t>
        </is>
      </c>
      <c r="B8" s="30" t="inlineStr">
        <is>
          <t>Added fruit/ingredient during ferment</t>
        </is>
      </c>
    </row>
    <row r="9" ht="18" customHeight="1">
      <c r="A9" s="35" t="inlineStr">
        <is>
          <t>Lactic</t>
        </is>
      </c>
      <c r="B9" s="30" t="inlineStr">
        <is>
          <t>LAB-driven lactic acid dominance</t>
        </is>
      </c>
    </row>
    <row r="10" ht="18" customHeight="1">
      <c r="A10" s="36" t="inlineStr">
        <is>
          <t>Mosto</t>
        </is>
      </c>
      <c r="B10" s="30" t="inlineStr">
        <is>
          <t>Cherry pulp juice as ferment medium</t>
        </is>
      </c>
    </row>
    <row r="11" ht="18" customHeight="1">
      <c r="A11" s="37" t="inlineStr">
        <is>
          <t>EF2</t>
        </is>
      </c>
      <c r="B11" s="30" t="inlineStr">
        <is>
          <t>Extended Fermentation Natural (24h Grainpro)</t>
        </is>
      </c>
    </row>
    <row r="13">
      <c r="A13" s="28" t="inlineStr">
        <is>
          <t>ROW ALTERNATION</t>
        </is>
      </c>
    </row>
    <row r="14" ht="16" customHeight="1">
      <c r="A14" s="38" t="inlineStr">
        <is>
          <t>Blue-tinted rows</t>
        </is>
      </c>
    </row>
    <row r="15" ht="16" customHeight="1">
      <c r="A15" s="39" t="inlineStr">
        <is>
          <t>Yellow-tinted rows</t>
        </is>
      </c>
    </row>
    <row r="16" ht="16" customHeight="1">
      <c r="A16" s="40" t="inlineStr">
        <is>
          <t>Amber-bordered (new entries)</t>
        </is>
      </c>
    </row>
  </sheetData>
  <mergeCells count="3">
    <mergeCell ref="A1:D1"/>
    <mergeCell ref="A13:D13"/>
    <mergeCell ref="A3:D3"/>
  </mergeCells>
  <pageMargins left="0.75" right="0.75" top="1" bottom="1" header="0.5" footer="0.5"/>
</worksheet>
</file>

<file path=xl/worksheets/sheet10.xml><?xml version="1.0" encoding="utf-8"?>
<worksheet xmlns="http://schemas.openxmlformats.org/spreadsheetml/2006/main">
  <sheetPr>
    <tabColor rgb="002C1503"/>
    <outlinePr summaryBelow="1" summaryRight="1"/>
    <pageSetUpPr/>
  </sheetPr>
  <dimension ref="A1:C19"/>
  <sheetViews>
    <sheetView showGridLines="0" workbookViewId="0">
      <selection activeCell="A1" sqref="A1"/>
    </sheetView>
  </sheetViews>
  <sheetFormatPr baseColWidth="8" defaultRowHeight="15"/>
  <cols>
    <col width="22" customWidth="1" min="1" max="1"/>
    <col width="18" customWidth="1" min="2" max="2"/>
    <col width="40" customWidth="1" min="3" max="3"/>
  </cols>
  <sheetData>
    <row r="1" ht="26" customHeight="1">
      <c r="A1" s="182" t="inlineStr">
        <is>
          <t>HARI COFFEE AUDIT — ARCHIVE STATS</t>
        </is>
      </c>
      <c r="B1" s="175" t="n"/>
      <c r="C1" s="176" t="n"/>
    </row>
    <row r="2" ht="18" customHeight="1"/>
    <row r="3" ht="20" customHeight="1">
      <c r="A3" s="183" t="inlineStr">
        <is>
          <t>Total Entries</t>
        </is>
      </c>
      <c r="B3" s="184" t="n">
        <v>56</v>
      </c>
      <c r="C3" s="134" t="inlineStr">
        <is>
          <t>Entries #001–#055</t>
        </is>
      </c>
    </row>
    <row r="4" ht="20" customHeight="1">
      <c r="A4" s="183" t="inlineStr">
        <is>
          <t>Unique Cafés</t>
        </is>
      </c>
      <c r="B4" s="184" t="inlineStr">
        <is>
          <t>31</t>
        </is>
      </c>
      <c r="C4" s="134" t="inlineStr">
        <is>
          <t>Across SG, Bali, Mumbai, JB</t>
        </is>
      </c>
    </row>
    <row r="5" ht="20" customHeight="1">
      <c r="A5" s="183" t="inlineStr">
        <is>
          <t>Date Range</t>
        </is>
      </c>
      <c r="B5" s="184" t="inlineStr">
        <is>
          <t>2026-01-03 → 2026-07-08</t>
        </is>
      </c>
      <c r="C5" s="134" t="inlineStr">
        <is>
          <t>First to latest entry</t>
        </is>
      </c>
    </row>
    <row r="6" ht="20" customHeight="1">
      <c r="A6" s="183" t="inlineStr">
        <is>
          <t>Cities Covered</t>
        </is>
      </c>
      <c r="B6" s="184" t="inlineStr">
        <is>
          <t>Singapore · Ubud Bali · Mumbai · Johor Bahru</t>
        </is>
      </c>
      <c r="C6" s="134" t="inlineStr">
        <is>
          <t>4 cities</t>
        </is>
      </c>
    </row>
    <row r="7" ht="20" customHeight="1">
      <c r="A7" s="183" t="inlineStr">
        <is>
          <t>Origin Countries</t>
        </is>
      </c>
      <c r="B7" s="184" t="inlineStr">
        <is>
          <t>15</t>
        </is>
      </c>
      <c r="C7" s="134" t="inlineStr">
        <is>
          <t>Including Bolivia, Myanmar, Ecuador firsts</t>
        </is>
      </c>
    </row>
    <row r="8" ht="20" customHeight="1">
      <c r="A8" s="183" t="inlineStr">
        <is>
          <t>Starred Entries</t>
        </is>
      </c>
      <c r="B8" s="184" t="inlineStr">
        <is>
          <t>16</t>
        </is>
      </c>
      <c r="C8" s="134" t="inlineStr">
        <is>
          <t>Top-tier cups</t>
        </is>
      </c>
    </row>
    <row r="9" ht="20" customHeight="1">
      <c r="A9" s="183" t="inlineStr">
        <is>
          <t>Gesha / Geisha Entries</t>
        </is>
      </c>
      <c r="B9" s="184" t="n">
        <v>11</v>
      </c>
      <c r="C9" s="134" t="inlineStr">
        <is>
          <t>Apex varietal count</t>
        </is>
      </c>
    </row>
    <row r="10" ht="20" customHeight="1">
      <c r="A10" s="183" t="inlineStr">
        <is>
          <t>Washed Process %</t>
        </is>
      </c>
      <c r="B10" s="184" t="inlineStr">
        <is>
          <t>~56%</t>
        </is>
      </c>
      <c r="C10" s="134" t="inlineStr">
        <is>
          <t>Dominant process — clarity-first palate</t>
        </is>
      </c>
    </row>
    <row r="11" ht="20" customHeight="1">
      <c r="A11" s="183" t="inlineStr">
        <is>
          <t>Avg Price (SGD)</t>
        </is>
      </c>
      <c r="B11" s="184" t="inlineStr">
        <is>
          <t>~10.60</t>
        </is>
      </c>
      <c r="C11" s="134" t="inlineStr">
        <is>
          <t>Across 34 priced entries</t>
        </is>
      </c>
    </row>
    <row r="12" ht="20" customHeight="1">
      <c r="A12" s="183" t="inlineStr">
        <is>
          <t>Latest Entry</t>
        </is>
      </c>
      <c r="B12" s="184" t="inlineStr">
        <is>
          <t>Entry #056 — La Flor de la Palma (Nylon)</t>
        </is>
      </c>
      <c r="C12" s="134" t="inlineStr">
        <is>
          <t>Double Shot Coffee, 8 Jul 2026</t>
        </is>
      </c>
    </row>
    <row r="13" ht="20" customHeight="1">
      <c r="A13" s="183" t="inlineStr">
        <is>
          <t>Companion Entry</t>
        </is>
      </c>
      <c r="B13" s="184" t="inlineStr">
        <is>
          <t>Entry #052 — First Natural Geisha</t>
        </is>
      </c>
      <c r="C13" s="134" t="inlineStr">
        <is>
          <t>Cowpresso Custom Dripper — 3rd conical entry</t>
        </is>
      </c>
    </row>
    <row r="14" ht="20" customHeight="1">
      <c r="A14" s="183" t="inlineStr">
        <is>
          <t>Colombia Gesha Trilogy</t>
        </is>
      </c>
      <c r="B14" s="184" t="inlineStr">
        <is>
          <t>Washed (Fluid) · Honey (Keryi) · Natural (Homeground)</t>
        </is>
      </c>
      <c r="C14" s="134" t="inlineStr">
        <is>
          <t>COMPLETE</t>
        </is>
      </c>
    </row>
    <row r="15" ht="20" customHeight="1">
      <c r="A15" s="183" t="inlineStr">
        <is>
          <t>Milestones Today</t>
        </is>
      </c>
      <c r="B15" s="184" t="inlineStr">
        <is>
          <t>First Double Shot Coffee · First Kotowa Carolina estate entry · Panama Gesha #4 in archive</t>
        </is>
      </c>
      <c r="C15" s="134" t="inlineStr">
        <is>
          <t>8 Jul 2026</t>
        </is>
      </c>
    </row>
    <row r="16"/>
    <row r="17"/>
    <row r="18"/>
    <row r="19"/>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2026-07-05T03:08:47Z</dcterms:created>
  <dcterms:modified xmlns:dcterms="http://purl.org/dc/terms/" xmlns:xsi="http://www.w3.org/2001/XMLSchema-instance" xsi:type="dcterms:W3CDTF">2026-07-09T00:17:43Z</dcterms:modified>
</cp:coreProperties>
</file>