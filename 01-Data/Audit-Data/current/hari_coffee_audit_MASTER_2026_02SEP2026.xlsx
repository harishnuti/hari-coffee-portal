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<sst xmlns="http://schemas.openxmlformats.org/spreadsheetml/2006/main" count="2917" uniqueCount="1654">
  <si>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</si>
  <si>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</si>
  <si>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</si>
  <si>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</si>
  <si>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</si>
  <si>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</si>
  <si>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</si>
  <si>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</si>
  <si>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</si>
  <si>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</si>
  <si>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</si>
  <si>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</si>
  <si>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</si>
  <si>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</si>
  <si>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</si>
  <si>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</si>
  <si>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</si>
  <si>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</si>
  <si>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</si>
  <si>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</si>
  <si>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</si>
  <si>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</si>
  <si>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</si>
  <si>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</si>
  <si>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</si>
  <si>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</si>
  <si>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</si>
  <si>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</si>
  <si>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</si>
  <si>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</si>
  <si>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</si>
  <si>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</si>
  <si>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</si>
  <si>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</si>
  <si>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</si>
  <si>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</si>
  <si>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</si>
  <si>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</si>
  <si>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</si>
  <si>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</si>
  <si>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</si>
  <si>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</si>
  <si>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</si>
  <si>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</si>
  <si>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</si>
  <si>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</si>
  <si>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</si>
  <si>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</si>
  <si>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</si>
  <si>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</si>
  <si>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</si>
  <si>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</si>
  <si>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</si>
  <si>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</si>
  <si>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</si>
  <si>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</si>
  <si>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</si>
  <si>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</si>
  <si>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</si>
  <si>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</si>
  <si>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</si>
  <si>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</si>
  <si>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</si>
  <si>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</si>
  <si>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</si>
  <si>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</si>
  <si>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</si>
  <si>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</si>
  <si>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</si>
  <si>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</si>
  <si>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</si>
  <si>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</si>
  <si>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</si>
  <si>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</si>
  <si>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</si>
  <si>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</si>
  <si>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</si>
  <si>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</si>
  <si>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</si>
  <si>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</si>
  <si>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</si>
  <si>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</si>
  <si>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</si>
  <si>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</si>
  <si>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</si>
  <si>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</si>
  <si>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</si>
  <si>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</si>
  <si>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</si>
  <si>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</si>
  <si>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</si>
  <si>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</si>
  <si>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</si>
  <si>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</si>
  <si>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</si>
  <si>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</si>
  <si>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</si>
  <si>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</si>
  <si>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</si>
  <si>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</si>
  <si>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</si>
  <si>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</si>
  <si>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</si>
  <si>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</si>
  <si>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</si>
  <si>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</si>
  <si>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</si>
  <si>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</si>
  <si>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</si>
  <si>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</si>
  <si>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</si>
  <si>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</si>
  <si>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</si>
  <si>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</si>
  <si>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</si>
  <si>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</si>
  <si>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</si>
  <si>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</si>
  <si>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</si>
  <si>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</si>
  <si>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</si>
  <si>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</si>
  <si>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</si>
  <si>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</si>
  <si>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</si>
  <si>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</si>
  <si>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</si>
  <si>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</si>
  <si>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</si>
  <si>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</si>
  <si>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</si>
  <si>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</si>
  <si>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</si>
  <si>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</si>
  <si>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</si>
  <si>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</si>
  <si>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</si>
  <si>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</si>
  <si>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</si>
  <si>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</si>
  <si>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</si>
  <si>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</si>
  <si>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</si>
  <si>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</si>
  <si>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</si>
  <si>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</si>
  <si>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</si>
  <si>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</si>
  <si>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</si>
  <si>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</si>
  <si>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</si>
  <si>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</si>
  <si>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</si>
  <si>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</si>
  <si>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</si>
  <si>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</si>
  <si>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</si>
  <si>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</si>
  <si>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</si>
  <si>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</si>
  <si>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</si>
  <si>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</si>
  <si>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</si>
  <si>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</si>
  <si>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</si>
  <si>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</si>
  <si>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</si>
  <si>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</si>
  <si>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</si>
  <si>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</si>
  <si>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</si>
  <si>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</si>
  <si>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</si>
  <si>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</si>
  <si>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</si>
  <si>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</si>
  <si>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</si>
  <si>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</si>
  <si>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</si>
  <si>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</si>
  <si>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</si>
  <si>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</si>
  <si>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</si>
  <si>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</si>
  <si>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</si>
  <si>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</si>
  <si>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</si>
  <si>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</si>
  <si>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</si>
  <si>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</si>
  <si>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</si>
  <si>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</si>
  <si>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</si>
  <si>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</si>
  <si>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</si>
  <si>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</si>
  <si>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</si>
  <si>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</si>
  <si>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</si>
  <si>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</si>
  <si>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</si>
  <si>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</si>
  <si>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</si>
  <si>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</si>
  <si>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</si>
  <si>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</si>
  <si>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</si>
  <si>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</si>
  <si>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</si>
  <si>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</si>
  <si>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</si>
  <si>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</si>
  <si>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</si>
  <si>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</si>
  <si>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</si>
  <si>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</si>
  <si>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</si>
  <si>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</si>
  <si>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</si>
  <si>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</si>
  <si>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</si>
  <si>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</si>
  <si>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</si>
  <si>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</si>
  <si>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</si>
  <si>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</si>
  <si>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</si>
  <si>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</si>
  <si>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</si>
  <si>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</si>
  <si>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</si>
  <si>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</si>
  <si>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</si>
  <si>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</si>
  <si>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</si>
  <si>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</si>
  <si>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</si>
  <si>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</si>
  <si>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</si>
  <si>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</si>
  <si>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</si>
  <si>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</si>
  <si>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</si>
  <si>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</si>
  <si>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</si>
  <si>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</si>
  <si>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</si>
  <si>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</si>
  <si>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</si>
  <si>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</si>
  <si>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</si>
  <si>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</si>
  <si>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</si>
  <si>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</si>
  <si>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</si>
  <si>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</si>
  <si>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</si>
  <si>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</si>
  <si>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</si>
  <si>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</si>
  <si>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</si>
  <si>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</si>
  <si>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</si>
  <si>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</si>
  <si>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</si>
  <si>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</si>
  <si>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</si>
  <si>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</si>
  <si>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</si>
  <si>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</si>
  <si>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</si>
  <si>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</si>
  <si>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</si>
  <si>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</si>
  <si>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</si>
  <si>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</si>
  <si>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</si>
  <si>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</si>
  <si>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</si>
  <si>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</si>
  <si>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</si>
  <si>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</si>
  <si>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</si>
  <si>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</si>
  <si>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</si>
  <si>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</si>
  <si>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</si>
  <si>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</si>
  <si>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</si>
  <si>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</si>
  <si>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</si>
  <si>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</si>
  <si>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</si>
  <si>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</si>
  <si>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</si>
  <si>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</si>
  <si>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</si>
  <si>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</si>
  <si>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</si>
  <si>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</si>
  <si>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</si>
  <si>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</si>
  <si>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</si>
  <si>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</si>
  <si>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</si>
  <si>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</si>
  <si>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</si>
  <si>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</si>
  <si>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</si>
  <si>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</si>
  <si>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</si>
  <si>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</si>
  <si>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</si>
  <si>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</si>
  <si>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</si>
  <si>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</si>
  <si>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</si>
  <si>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</si>
  <si>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</si>
  <si>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</si>
  <si>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</si>
  <si>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</si>
  <si>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</si>
  <si>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</si>
  <si>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</si>
  <si>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</si>
  <si>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</si>
  <si>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</si>
  <si>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</si>
  <si>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</si>
  <si>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</si>
  <si>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</si>
  <si>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</si>
  <si>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</si>
  <si>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</si>
  <si>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</si>
  <si>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</si>
  <si>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</si>
  <si>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</si>
  <si>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</si>
  <si>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</si>
  <si>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</si>
  <si>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</si>
  <si>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</si>
  <si>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</si>
  <si>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</si>
  <si>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</si>
  <si>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</si>
  <si>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</si>
  <si>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</si>
  <si>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</si>
  <si>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</si>
  <si>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</si>
  <si>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</si>
  <si>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</si>
  <si>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</si>
  <si>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</si>
  <si>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</si>
  <si>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</si>
  <si>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</si>
  <si>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</si>
  <si>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</si>
  <si>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</si>
  <si>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</si>
  <si>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</si>
  <si>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</si>
  <si>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</si>
  <si>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</si>
  <si>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</si>
  <si>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</si>
  <si>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</si>
  <si>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</si>
  <si>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</si>
  <si>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</si>
  <si>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</si>
  <si>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</si>
  <si>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</si>
  <si>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</si>
  <si>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</si>
  <si>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</si>
  <si>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</si>
  <si>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</si>
  <si>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</si>
  <si>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</si>
  <si>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</si>
  <si>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</si>
  <si>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</si>
  <si>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</si>
  <si>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</si>
  <si>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</si>
  <si>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</si>
  <si>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</si>
  <si>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</si>
  <si>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</si>
  <si>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</si>
  <si>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</si>
  <si>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</si>
  <si>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</si>
  <si>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</si>
  <si>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</si>
  <si>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</si>
  <si>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</si>
  <si>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</si>
  <si>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</si>
  <si>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</si>
  <si>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</si>
  <si>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</si>
  <si>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</si>
  <si>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</si>
  <si>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</si>
  <si>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</si>
  <si>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</si>
  <si>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</si>
  <si>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</si>
  <si>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</si>
  <si>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</si>
  <si>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</si>
  <si>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</si>
  <si>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</si>
  <si>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</si>
  <si>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</si>
  <si>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</si>
  <si>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</si>
  <si>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</si>
  <si>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</si>
  <si>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</si>
  <si>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</si>
  <si>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</si>
  <si>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</si>
  <si>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</si>
  <si>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</si>
  <si>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</si>
  <si>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</si>
  <si>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</si>
  <si>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</si>
  <si>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</si>
  <si>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</si>
  <si>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</si>
  <si>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</si>
  <si>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</si>
  <si>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</si>
  <si>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</si>
  <si>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</si>
  <si>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</si>
  <si>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</si>
  <si>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</si>
  <si>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</si>
  <si>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</si>
  <si>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</si>
  <si>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</si>
  <si>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</si>
  <si>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</si>
  <si>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</si>
  <si>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</si>
  <si>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</si>
  <si>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</si>
  <si>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</si>
  <si>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</si>
  <si>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</si>
  <si>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</si>
  <si>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</si>
  <si>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</si>
  <si>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</si>
  <si>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</si>
  <si>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</si>
  <si>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</si>
  <si>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</si>
  <si>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</si>
  <si>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</si>
  <si>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</si>
  <si>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</si>
  <si>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</si>
  <si>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</si>
  <si>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</si>
  <si>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</si>
  <si>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</si>
  <si>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</si>
  <si>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</si>
  <si>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</si>
  <si>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</si>
  <si>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</si>
  <si>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</si>
  <si>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</si>
  <si>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</si>
  <si>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</si>
  <si>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</si>
  <si>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</si>
  <si>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</si>
  <si>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</si>
  <si>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</si>
  <si>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</si>
  <si>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</si>
  <si>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</si>
  <si>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</si>
  <si>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</si>
  <si>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</si>
  <si>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</si>
  <si>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</si>
  <si>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</si>
  <si>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</si>
  <si>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</si>
  <si>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</si>
  <si>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</si>
  <si>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</si>
  <si>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</si>
  <si>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</si>
  <si>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</si>
  <si>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</si>
  <si>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</si>
  <si>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</si>
  <si>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</si>
  <si>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</si>
  <si>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</si>
  <si>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</si>
  <si>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</si>
  <si>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</si>
  <si>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</si>
  <si>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</si>
  <si>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</si>
  <si>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</si>
  <si>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</si>
  <si>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</si>
  <si>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</si>
  <si>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</si>
  <si>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</si>
  <si>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</si>
  <si>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</si>
  <si>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</si>
  <si>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</si>
  <si>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</si>
  <si>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</si>
  <si>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</si>
  <si>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</si>
  <si>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</si>
  <si>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</si>
  <si>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</si>
  <si>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</si>
  <si>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</si>
  <si>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</si>
  <si>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</si>
  <si>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</si>
  <si>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</si>
  <si>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</si>
  <si>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</si>
  <si>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</si>
  <si>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</si>
  <si>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</si>
  <si>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</si>
  <si>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</si>
  <si>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</si>
  <si>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</si>
  <si>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</si>
  <si>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</si>
  <si>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</si>
  <si>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619H Bukit Timah Road, Singapore 269728</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</si>
  <si>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</si>
  <si>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</si>
  <si>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</si>
  <si>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</si>
  <si>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</si>
  <si>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</si>
  <si>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</si>
  <si>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</si>
  <si>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</si>
  <si>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</si>
  <si>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</si>
  <si>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</si>
  <si>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</si>
  <si>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</si>
  <si>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</si>
  <si>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</si>
  <si>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</si>
  <si>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</si>
  <si>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</si>
  <si>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</si>
  <si>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</si>
  <si>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</si>
  <si>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</si>
  <si>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</si>
  <si>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</si>
  <si>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</si>
  <si>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</si>
  <si>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</si>
  <si>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</si>
  <si>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</si>
  <si>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</si>
  <si>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</si>
  <si>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</si>
  <si>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</si>
  <si>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</si>
  <si>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</si>
  <si>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</si>
  <si>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</si>
  <si>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</si>
  <si>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</si>
  <si>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</si>
  <si>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</si>
  <si>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</si>
  <si>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</si>
  <si>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</si>
  <si>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</si>
  <si>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</si>
  <si>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</si>
  <si>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</si>
  <si>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</si>
  <si>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</si>
  <si>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</si>
  <si>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</si>
  <si>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</si>
  <si>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</si>
  <si>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</si>
  <si>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</si>
  <si>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</si>
  <si>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</si>
  <si>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</si>
  <si>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</si>
  <si>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</si>
  <si>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</si>
  <si>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</si>
  <si>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</si>
  <si>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</si>
  <si>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</si>
  <si>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</si>
  <si>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</si>
  <si>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</si>
  <si>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</si>
  <si>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</si>
  <si>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</si>
  <si>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</si>
  <si>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</si>
  <si>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</si>
  <si>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</si>
  <si>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</si>
  <si>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</si>
  <si>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</si>
  <si>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</si>
  <si>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</si>
  <si>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</si>
  <si>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</si>
  <si>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</si>
  <si>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</si>
  <si>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</si>
  <si>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</si>
  <si>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</si>
  <si>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</si>
  <si>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</si>
  <si>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</si>
  <si>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</si>
  <si>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</si>
  <si>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</si>
  <si>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</si>
  <si>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</si>
  <si>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</si>
  <si>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</si>
  <si>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</si>
  <si>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</si>
  <si>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</si>
  <si>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</si>
  <si>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</si>
  <si>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</si>
  <si>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</si>
  <si>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</si>
  <si>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</si>
  <si>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</si>
  <si>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</si>
  <si>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</si>
  <si>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</si>
  <si>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</si>
  <si>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</si>
  <si>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</si>
  <si>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</si>
  <si>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</si>
  <si>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</si>
  <si>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</si>
  <si>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</si>
  <si>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</si>
  <si>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</si>
  <si>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</si>
  <si>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</si>
  <si>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</si>
  <si>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</si>
  <si>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</si>
  <si>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</si>
  <si>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</si>
  <si>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</si>
  <si>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</si>
  <si>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</si>
  <si>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</si>
  <si>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</si>
  <si>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</si>
  <si>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</si>
  <si>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</si>
  <si>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</si>
  <si>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</si>
  <si>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</si>
  <si>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</si>
  <si>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</si>
  <si>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</si>
  <si>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</si>
  <si>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</si>
  <si>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</si>
  <si>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</si>
  <si>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</si>
  <si>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</si>
  <si>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</si>
  <si>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</si>
  <si>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</si>
  <si>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</si>
  <si>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</si>
  <si>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</si>
  <si>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</si>
  <si>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</si>
  <si>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</si>
  <si>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</si>
  <si>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</si>
  <si>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</si>
  <si>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</si>
  <si>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</si>
  <si>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</si>
  <si>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</si>
  <si>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</si>
  <si>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</si>
  <si>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</si>
  <si>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</si>
  <si>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</si>
  <si>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</si>
  <si>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</si>
  <si>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</si>
  <si>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</si>
  <si>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</si>
  <si>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</si>
  <si>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</si>
  <si>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</si>
  <si>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</si>
  <si>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</si>
  <si>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</si>
  <si>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</si>
  <si>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</si>
  <si>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</si>
  <si>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</si>
  <si>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</si>
  <si>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</si>
  <si>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</si>
  <si>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</si>
  <si>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</si>
  <si>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</si>
  <si>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</si>
  <si>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</si>
  <si>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</si>
  <si>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</si>
  <si>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</si>
  <si>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</si>
  <si>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</si>
  <si>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</si>
  <si>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</si>
  <si>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</si>
  <si>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</si>
  <si>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</si>
  <si>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</si>
  <si>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</si>
  <si>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</si>
  <si>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</si>
  <si>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</si>
  <si>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</si>
  <si>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</si>
  <si>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</si>
  <si>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</si>
  <si>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</si>
  <si>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</si>
  <si>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</si>
  <si>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</si>
  <si>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</si>
  <si>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</si>
  <si>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</si>
  <si>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</si>
  <si>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</si>
  <si>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</si>
  <si>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</si>
  <si>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</si>
  <si>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</si>
  <si>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</si>
  <si>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</si>
  <si>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</si>
  <si>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</si>
  <si>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</si>
  <si>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</si>
  <si>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</si>
  <si>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</si>
  <si>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</si>
  <si>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</si>
  <si>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</si>
  <si>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</si>
  <si>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</si>
  <si>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</si>
  <si>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</si>
  <si>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</si>
  <si>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</si>
  <si>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</si>
  <si>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</si>
  <si>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</si>
  <si>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</si>
  <si>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</si>
  <si>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</si>
  <si>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</si>
  <si>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</si>
  <si>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</si>
  <si>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</si>
  <si>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</si>
  <si>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</si>
  <si>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</si>
  <si>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</si>
  <si>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</si>
  <si>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</si>
  <si>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</si>
  <si>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</si>
  <si>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</si>
  <si>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</si>
  <si>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</si>
  <si>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</si>
  <si>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</si>
  <si>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</si>
  <si>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Double Shot Coffee (Shenton Way)</t>
  </si>
  <si>
    <t xml:space="preserve">Ruli</t>
  </si>
  <si>
    <t xml:space="preserve">Rwanda — Ruli</t>
  </si>
  <si>
    <t xml:space="preserve">OREA (Flat-Bottom, Plastic)</t>
  </si>
  <si>
    <t xml:space="preserve">1:13.8</t>
  </si>
  <si>
    <t xml:space="preserve">92°C (Constant — barista-confirmed 90–92°C band, logged at upper end)</t>
  </si>
  <si>
    <t xml:space="preserve">Mahlkönig EK43 S (98mm Flat Burr)</t>
  </si>
  <si>
    <t xml:space="preserve">Cranberry | Stewed Apple | Caramel</t>
  </si>
  <si>
    <t xml:space="preserve">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</si>
  <si>
    <t xml:space="preserve">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</si>
  <si>
    <t xml:space="preserve">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</si>
  <si>
    <t xml:space="preserve">Live Field Audit — Menu board photo (origin, lot name, process, price, tasting notes) + barista confirmation (grinder EK43 S, OREA flat-bottom plastic dripper, 13 g dose, 180 g yield, 90–92°C) + Google Places address verification</t>
  </si>
  <si>
    <t xml:space="preserve">70 Shenton Way, #01-05, Eon Shenton, Singapore 079118</t>
  </si>
  <si>
    <t xml:space="preserve">Kōhī Roastery + Coffee Bar</t>
  </si>
  <si>
    <t xml:space="preserve">Rwenzori Kisinga</t>
  </si>
  <si>
    <t xml:space="preserve">Uganda — Rwenzori Kisinga</t>
  </si>
  <si>
    <t xml:space="preserve">SL14, SL28</t>
  </si>
  <si>
    <t xml:space="preserve">Light-Medium (dual-purpose espresso/filter lot — barista-confirmed)</t>
  </si>
  <si>
    <t xml:space="preserve">Hario V60 Pour-over (Conical percolation)</t>
  </si>
  <si>
    <t xml:space="preserve">92°C (Constant — barista-confirmed)</t>
  </si>
  <si>
    <t xml:space="preserve">Stone Fruit | Mixed Berries | Pink Pomelo</t>
  </si>
  <si>
    <t xml:space="preserve">Rated average to above-average — not bad, not excellent, and fair value at S$8.50. HOT: bright entry, stone fruit and berries reading clearly and cleanly; medium body as expected of a Natural. MID-COOL: berry dominates, strawberry specifically; a slight bitter aftertaste emerges — mild, non-escalating, and barista-confirmed as the INTENDED pink pomelo / bitter-orange character, a consequence of this lot being roasted light-to-mid so it can serve espresso as well as filter. All three roaster notes therefore confirmed on the palate. COOL: still fruity but less intense than before — the cup fades rather than evolves; no new sugar layer emerges. Clarity is compromised by fruit density: stone fruit and strawberry overlap rather than separate, making individual notes tricky to resolve — Hari's own summary was 'in one word, fruity'. Natural processing is unmistakable here and clearly differentiated from washed. FIRST UGANDA ORIGIN IN ARCHIVE (country #15) and first Natural-process SL28 in the archive. Worth logging for the origin; would not reorder. Barista friendly and knowledgeable (name not captured — archive gap). Monday morning Gesha pop-up flagged for return visit.</t>
  </si>
  <si>
    <t xml:space="preserve">Hario V60 conical percolation at 92°C and 1:16 (15g / 240g, barista-confirmed), ground on a Mahlkönig EK43 S 98mm flat burr set — the near-unimodal particle distribution starved the fines migration that has driven the over-extraction flag in prior conical entries (Agora Beloya, Kurasu Rwanda, PPP Suke Quto), so the bitter-citrus present here is ROAST INTENT, not extraction fault: it stayed mild and stable across all three thermal phases rather than sharpening. Fourth conical entry to show a bitter tail and the first to keep it slight — evidence that the conical over-extraction penalty scales with the grinder's fines population, not with geometry alone. 1:16 sat mid-band of the 1:15–1:17 Palate DNA window, correct for a high-solubles Natural. Separately, the Natural process layer overwrote the SL28 phosphoric acid spine entirely, delivering fruit density at the cost of the note separation the same genetics show washed (cf. Kenya Nyeri Hill, Kiamugumo AA).</t>
  </si>
  <si>
    <t xml:space="preserve">Solo visit — 07 Aug 2026, ~13:40 SGT, Friday lunchtime. First visit to Kōhī Roastery + Coffee Bar; venue #40 in the archive. Filter menu was four lots, ALL Natural process (Uganda Rwenzori Kisinga S$8.50 · Ethiopia Sidamo Guji Harsu G1 S$8.50 · Costa Rica Aquiares Estate Entre Rios S$8.50 · Peru Finca Los Santos Gesha S$12.00; iced option +S$1). Espresso bar running Honduras Guara Verde and Ethiopia Sidama G2. Uganda selected as a country-novelty audit. Hario Switch also available on bar but NOT used for this lot — barista selected standard V60 percolation. Barista noted as friendly and knowledgeable; name not recorded (archive gap). Kōhī runs a Monday morning Gesha pop-up with multiple Gesha varieties — flagged as high-priority return. OUTLET NOT CONFIRMED: Kōhī operates two Singapore coffee bars.</t>
  </si>
  <si>
    <t xml:space="preserve">Live Field Audit — First Visit | Bean card photo (origin, varietal SL14/SL28, process, tasting notes) + filter menu board photo (price S$8.50) + barista confirmation (ratio 1:16 = 15g dose / 240g yield, 92°C, Mahlkönig EK43 S, Hario V60 standard percolation, dual-purpose espresso/filter roast intent behind the bitter-citrus finish)</t>
  </si>
  <si>
    <t xml:space="preserve">Unknown — outlet not confirmed. Kōhī SG coffee bars: 5 Shenton Way, #01-01 UIC Building, S068808 · 432 Joo Chiat Rd, S427647</t>
  </si>
  <si>
    <t xml:space="preserve">Berlina — Washed Panama Geisha</t>
  </si>
  <si>
    <t xml:space="preserve">Casa Ruiz</t>
  </si>
  <si>
    <t xml:space="preserve">Nectarine | Orange | Jasmine Tea</t>
  </si>
  <si>
    <t xml:space="preserve">HOT: Bright and clean — orange and nectarine hit together, immediate and simultaneous. High clarity from the first sip; the washed character is unmistakable. MID-COOL: Body thins into a tea-like structure. Diluted orange juice character with hints of nectarine underneath. Clarity holds as body drops. COOL: Sweet and still fruity. Nectarine returns clearly and cleanly — 'like sweet nectarine, and I love to drink as much as possible when it's cool.' VERDICT: Overall a great one. Thoroughly enjoyed. Cool phase is the reward window.</t>
  </si>
  <si>
    <t xml:space="preserve">Casa Ruiz (Boquete, Chiriquí) washed Geisha at 13 days rest — brewed batch roasted 27 Jul 2026, barista-confirmed. NOTE: the retail bag on shelf showed 3 Aug — a different lot. Retail roast dates are never logged; only the barista-confirmed brewed batch. 13 days sits one day inside Fluid's stated 14-day optimal rest, so degassing complete and aromatics fully developed. Washed processing delivers orange and nectarine SIMULTANEOUSLY rather than sequentially — no fermentation layer to stagger arrival. Hari identified the washed character in-cup before confirming the process. Jasmine tea note expresses structurally as a thinning tea-like body in the mid-cool phase rather than as discrete flavour. Cool-phase nectarine return (malic re-emergence as volatiles dissipate) now confirmed across Gara Agena, Alo Peaberry and Berlina — three consecutive washed cups behaving identically. VALUE FINDING: at SGD 9 this is the cheapest Gesha/Geisha in the entire archive, undercutting Apartment Selegie (S$9.50) — and the cheapest Panama Geisha by a wide margin (vs S$60 Finca Sophia Torcaza Washed, S$32 Finca Sophia Natural, S$14 Hiu Los Lajones Honey). Hardware and 70→90→70°C protocol unchanged from prior Fluid visits.</t>
  </si>
  <si>
    <t xml:space="preserve">Fluid Collective visit, Sunday 9 August 2026, 16:00 — visited WITH AANYA (her second archive appearance after Finca La Siberia at Narrative, March 2026). First of two filters this session (S$18 total, S$9 each). Ong Shen Choy — 2025 Singapore National Brewers Cup Champion — on the bar. The barista mentioned she reads Hari's Google reviews of Fluid and likes them — the archive reaching the people it documents. Crispiliano Natural Panama Geisha (S$32) was on bar and deliberately declined: spend discipline after S$60 + S$32 on Geisha within the prior 26 days. Berlina 200g retail also purchased.</t>
  </si>
  <si>
    <t xml:space="preserve">Live Field Audit — with Aanya | Bean card + retail bag photo</t>
  </si>
  <si>
    <t xml:space="preserve">Rosa Marina — Washed Nicaragua</t>
  </si>
  <si>
    <t xml:space="preserve">Finca La Lima</t>
  </si>
  <si>
    <t xml:space="preserve">Red Catuai</t>
  </si>
  <si>
    <t xml:space="preserve">Orange | Raisin | Hawthorn</t>
  </si>
  <si>
    <t xml:space="preserve">HOT: Clear and clean. Orange PEEL hit — rind and pith character, not just juice — arriving alongside a distinct grape note. Everything landing at once. MID-COOL: Clarity climbs further. Orange shifts from lead to backdrop and a light sweet aftertaste begins to appear. COOL: Nice and relaxed. Orange becomes more apparent again — the cup completes a full circle. Ends with a light sugar finish and a developing aftertaste. VERDICT: I love this coffee. Amazing.</t>
  </si>
  <si>
    <t xml:space="preserve">FIRST NICARAGUAN FILTER IN THE ARCHIVE — both prior Nicaragua entries (Finca La Virgen, Buena Vista) were espresso format; this closes a genuine origin gap. Red Catuai (Bourbon × Mundo Novo hybrid) under washed processing at Finca La Lima: compact high-yield varietal delivering clean citric structure with dried-fruit sweetness beneath. Orange peel read — limonene plus rind bitterness registering as structure, not defect — is a more precise capture than plain orange; Hari identified the pith character specifically. Grape in the hot phase is the raisin note in pre-concentration form; as the cup cools the sugars consolidate and the light sugar finish emerges. NOTABLE THERMAL BEHAVIOUR: orange RETURNS in the cool phase rather than being replaced — a circular arc, distinct from the washed Geishas where nectarine displaces the opening note. New pattern for the archive. Hawthorn (floral-herbal, subtle) not separately identified in cup. Last remaining box at Fluid — unlikely to recur. Hardware and protocol unchanged.</t>
  </si>
  <si>
    <t xml:space="preserve">Fluid Collective visit, Sunday 9 August 2026, 16:00 — visited WITH AANYA. Second of two filters this session (S$18 total, S$9 each). Ordered after the Berlina; barista flagged this as the LAST REMAINING BOX of Rosa Marina. Chosen deliberately over the Crispiliano Natural Panama Geisha (S$32) — scarcity of an unrepresented origin format ranked above a fourth Panama Geisha in under a month. Ong Shen Choy on the bar. Barista noted she reads and likes Hari's Google reviews of Fluid.</t>
  </si>
  <si>
    <t xml:space="preserve">Live Field Audit — with Aanya | Bean card photo</t>
  </si>
  <si>
    <t xml:space="preserve">Grey Area Coffee Roasters</t>
  </si>
  <si>
    <t xml:space="preserve">La Papaya TM</t>
  </si>
  <si>
    <t xml:space="preserve">Hacienda La Papaya (Juan Peña)</t>
  </si>
  <si>
    <t xml:space="preserve">Unknown — not stated on menu board or by barista; farm releases TM in Washed, Natural, Anaerobic Washed and Yeast-Inoculated Washed. Pending café confirmation.</t>
  </si>
  <si>
    <t xml:space="preserve">Solo Dripper by Mazelab (Flat-Bottom, 40° angle, Wave filter, PCTG plastic) + in-cup bypass</t>
  </si>
  <si>
    <t xml:space="preserve">Unknown — dripper removed and bypass water added in-cup, volume not captured</t>
  </si>
  <si>
    <t xml:space="preserve">1:13.3 through-bed (200g) + unquantified in-cup bypass — final ratio Unknown</t>
  </si>
  <si>
    <t xml:space="preserve">58.7g first pour (1:3.9) — saturating pour, not a degassing bloom</t>
  </si>
  <si>
    <t xml:space="preserve">Apricot | Red Apple</t>
  </si>
  <si>
    <t xml:space="preserve">HOT: Bright and acidic — apple and apricot arrived together and competed for space, neither resolving. MID-COOL: Stewed apple became the dominant impression; apricot receded to a light, juice-like presence. COOL: Apricot took over the cup outright. Overall very good — reads like apple juice at points. No bitterness at any thermal phase despite the sub-band through-bed ratio. INVERSE THERMAL SEQUENCE vs Entry #034 (Ecuador La Papaya Geisha Washed, Pocket by Flip, 19 May 2026): that cup ran apricot-first then malic apple on cooling; this one ran apple-forward then apricot on cooling. Same farm, same descriptor pair, reversed thermal order. No thymol terpene coat and no floral top note — Typica Mejorado has no terpene pathway, so this is a pure malic/lactone architecture.</t>
  </si>
  <si>
    <t xml:space="preserve">SECOND HACIENDA LA PAPAYA ENTRY AND FIRST NON-GESHA LOT FROM THE FARM — enables a varietal delta (Typica Mejorado vs Geisha) against Entry #034 with producer, terroir and altitude band held constant. THIRD SOLO DRIPPER ENTRY IN THE ARCHIVE (after #062 and #067, both Pour.traits Roasters) AND THE FIRST OUTSIDE POUR.TRAITS — all three ran the same Mahlkönig EK43S 98mm flat burrs, so brewer and grinder are held constant and RATIO ARCHITECTURE is the isolated variable: #062 and #067 both ran a straight ~1:15, this one ran 1:13.3 through-bed plus in-cup bypass. SOLO GEOMETRY (Mazelab, designed by Jackie Tran, Czech Republic Brewers Cup Champion 2024): 40 degree wall angle, curved base, single large central hole, FLAT wave-filter bed, PCTG plastic. Barista-stated selection rationale — she wanted water to travel OUTWARDS across the bed rather than converge, and reserves the V60 for iced service. Flat bed gives uniform path length across the full diameter, structurally avoiding the conical fines-drain over-extraction signature (Law 1). PCTG is thermally near-neutral — no heat-sink behaviour vs stainless (Law 7). CONCENTRATE-PLUS-BYPASS ARCHITECTURE: 200g through the bed on a 15g dose (1:13.3), then dripper and filter removed and hot water added directly to the cup. This decouples extraction yield (set by through-bed water plus the Solo's fast drain) from final TDS (set by bypass volume) — and is why a sub-band 1:13.3 produced NO polyphenolic cool-phase bitterness, QUALIFYING LAW 2. Opening pour of 58.7g (1:3.9) is a saturating first pour, not a degassing bloom.</t>
  </si>
  <si>
    <t xml:space="preserve">Solo visit — Grey Area Coffee Roasters, 12 Aug 2026, ~13:00 SGT, Wednesday lunchtime. First visit; venue #41 in the archive. Busy lunch service — water temperature and final cup weight not captured, logged as honest nulls rather than estimated. Café founded by Xiang Sheng and Luke, both ex-Alchemist Coffee; Luke roasts in-house. Selected from a five-strong filter board (Nano Challa 8.5 / La Papaya TM 9.5 / La Papaya B7 10.0 / Emerson Filipe 8.0 / Los Rodriguez 10.5) on clarity grounds — TM chosen for the same-farm varietal delta against Entry #034.</t>
  </si>
  <si>
    <t xml:space="preserve">Live Field Audit — First Visit | Menu board photo (filter list + prices) + brew-in-progress photo (Solo Dripper with wave filter) + grinder photo (Mahlkönig) | Hari-stated hardware: EK43S grinder, Solo Dripper 40 degree, plastic | Barista-stated brewer selection rationale | Pour weights recorded live (58.7 / 140 / 200 cumulative) | PROCESS NOT STATED on board or by barista — pending café confirmation</t>
  </si>
  <si>
    <t xml:space="preserve">13 Kampong Bahru Rd, Singapore 169345</t>
  </si>
  <si>
    <t xml:space="preserve">Suzuki Cafe &amp; Roastery</t>
  </si>
  <si>
    <t xml:space="preserve">117 Jairo Arcila Gesha Natural EF2</t>
  </si>
  <si>
    <t xml:space="preserve">Finca Santa Mónica — Jairo Arcila &amp; family (Cofinet)</t>
  </si>
  <si>
    <t xml:space="preserve">Extended Dry Anaerobic Natural (EF2) — two-stage: 24h dry aerobic ferment, then ~50h sealed in GrainPro below 22°C, then slow raised-bed drying to 11% moisture</t>
  </si>
  <si>
    <t xml:space="preserve">Hario V60 Glass 02 (Conical, 60°, single central aperture, olive wood collar) — glass body</t>
  </si>
  <si>
    <t xml:space="preserve">Lychee | Raspberries | Honey</t>
  </si>
  <si>
    <t xml:space="preserve">HOT: High acidity, bright and fruity; floral character present; anaerobic ferment detectable but subordinate — nothing dominates the cup. Honey sweetness rises within the first few sips. HOT-MID: Syrupy texture develops, berry emerging, turning steadily. MID-COOL: Berries clarify and lead — sits on the fruity axis rather than floral, despite the barista calling it floral. Enjoyed it despite being a Natural; brew parameters worked. COOL: Mellows to a honey-sweet finish, nice medium body, light residual sourness. Strong sweet-sour aftertaste reading as sweet orange or sweet strawberry — lingered so long it persisted into the next cup. ZERO cool-phase bitterness: first Natural-family Gesha in the archive to avoid the polyphenol penalty. Lychee not detected. Upper-tier entry and the best Gesha value in the archive at S$13.</t>
  </si>
  <si>
    <t xml:space="preserve">FIRST V60 CONICAL ENTRY WITHOUT OVER-EXTRACTION — EK43S 98mm flat burrs produced a PSD tight enough that the conical fines-migration failure mode never activated (cf. Entry #031 Kurasu, Entry #044 PPP Funan). RATIO OUTRANKS GEOMETRY: 1:15 at 92°C suppressed Extended Dry Anaerobic polyphenols below palate threshold, where Entry #058 (Double Shot, Kotowa Natural Gesha) failed at 1:13.3 on superior flat-bottom geometry with tighter Ditting burrs — isolating brew ratio, not brewer geometry, as the controlling variable for Natural-process cool-phase bitterness. Light roast preserved malic acid; the EF2 two-stage cold-held ferment kept fermentation subordinate to varietal expression. Glass brewer body = fourth material datapoint on Extraction Law 7 (after plastic, ceramic, stainless).</t>
  </si>
  <si>
    <t xml:space="preserve">Solo visit — Suzuki Cafe &amp; Roastery, 15 Aug 2026, Saturday late morning, first cup of a two-cup session. First visit; venue #42 in the archive. Boon Lay industrial estate, Kyoto-teahouse interior with indoor shishi-odoshi. Café packed at peak weekend rush; barista conversation limited by service volume. Barista confirmed 1:15 ratio, 92°C and Hario dripper; recommended this lot and described it as the more floral of the two (palate disagreed — see verdict). House flavour map plotted 117 in the Fruity quadrant, matching the palate reading over the barista testimony.</t>
  </si>
  <si>
    <t xml:space="preserve">Live Field Audit — First Visit | Barista-confirmed ratio, temperature and brewer | Bean card + wall card + retail bag photographed (varietal, altitude, process, EF2 designation, roast/intensity/acidity scores) | Dripper identified from direct photographs | Price from menu board</t>
  </si>
  <si>
    <t xml:space="preserve">8 Chin Bee Ave, Singapore 619932</t>
  </si>
  <si>
    <t xml:space="preserve">119 Gargari Gutity</t>
  </si>
  <si>
    <t xml:space="preserve">Gargari Gutiti Washing Station — Banko kebele smallholders</t>
  </si>
  <si>
    <t xml:space="preserve">Ethiopia Heirloom</t>
  </si>
  <si>
    <t xml:space="preserve">Supernatural (Extended Aerobic Natural) — thick-layer drying in a semi-permeable chamber with restricted sunlight and limited airflow; extended drying time increases fermentation of latent sugars; temperature, Brix and moisture monitored to ~12.5%</t>
  </si>
  <si>
    <t xml:space="preserve">Pineapple | Marmalade | Black Tea</t>
  </si>
  <si>
    <t xml:space="preserve">HOT: Very acidic and bright; tea-floral character leads; medium body; orange marmalade immediate and unmistakable — a clear citrus hit. HOT-MID: Unripe pineapple emerges — tropical ester family, not stone fruit. MID: Citrus and orange marmalade dominant; floral and fruit interleaved rather than one dominating; complex and layered — "a very complicated coffee with floral and fruit mixed together". COOL: Syrupy; sweet orange, pineapple and marmalade integrate; tea structure holds; decent and mellow, a slow-sipping tea-coffee that improves as it cools. All three official notes confirmed. Rated EQUAL to Entry #082 Gesha. No over-extraction — parameters judged built to perfection. Softened the stance on Natural process: syrupy and enjoyable, distinctly different from the washed cohort.</t>
  </si>
  <si>
    <t xml:space="preserve">ARCHIVE-DEFINING SESSION FINDING — AEROBIC vs ANAEROBIC ISOLATION: brewed on identical hardware, ratio, temperature and day as Entry #082, isolating fermentation architecture as the sole variable. The sealed anaerobic EF2 (#082) masked varietal and floral expression under berry esters; this open aerobic extended drying preserved florals, citrus and tea structure with fruit in support. Third same-session confirmation that 1:15 at 92°C suppresses extended-ferment polyphenols on V60 conical geometry when paired with 98mm flat burrs. ETHIOPIAN TERROIR CONSTANT CONFIRMED: orange/citrus now spans Guji, Sidamo and Gedeo zones across Washed, Natural and Supernatural processing — hypothesis promoted to established finding. WHITE PEACH ABSENT, supporting Guji-specificity rather than a pan-Ethiopian or JARC-lineage fingerprint. Station-level records indicate the Gargari Gutiti smallholder population is JARC 74110/7412/74165 — logged as Heirloom per bean card (source hierarchy).</t>
  </si>
  <si>
    <t xml:space="preserve">Solo visit — Suzuki Cafe &amp; Roastery, 15 Aug 2026, Saturday, second cup of a two-cup session. Palate reset compromised: nut-and-raisin rye bread consumed between cups, plus a long-lingering sweet-orange aftertaste carried over from Entry #082 — hot-phase reading treated as provisional at the time. Reading subsequently accepted as CLEAN: orange marmalade appeared hot, persisted through mid and was still present at cool; a residue artifact would have faded rather than intensified. TWO-CUP CONSISTENCY FINDING: two different origins and two different processing architectures, brewed back to back during peak weekend rush, both landing clean — evidence of a systematic house recipe rather than a single lucky cup.</t>
  </si>
  <si>
    <t xml:space="preserve">Live Field Audit — First Visit | Barista-confirmed ratio, temperature and brewer | Bean card photographed (varietal, altitude 1,983 m.a.s.l., Supernatural process, Light roast, intensity 2.5/5, acidity 4.5/5 — highest on the house board) | Process mechanism from station documentation | Price from menu board</t>
  </si>
  <si>
    <t xml:space="preserve">Sweet Blossom Coffee Roasters</t>
  </si>
  <si>
    <t xml:space="preserve">AB Mwirua Getuya #006</t>
  </si>
  <si>
    <t xml:space="preserve">Unknown — AB is a screen-size grade, not an estate; washing station not stated on bean card or by barista</t>
  </si>
  <si>
    <t xml:space="preserve">SL28 &amp; SL34, Batian, Ruiru 11</t>
  </si>
  <si>
    <t xml:space="preserve">Unknown — not stated on bean card or by barista</t>
  </si>
  <si>
    <t xml:space="preserve">Hario — ceramic conical wall with spiral ribs and a FLAT RECESSED FOUR-HOLE BASE PLATE (multi-aperture restricted base, not a single central aperture); model Unknown</t>
  </si>
  <si>
    <t xml:space="preserve">Unknown — four-pour structure barista-confirmed; individual pour weights not captured</t>
  </si>
  <si>
    <t xml:space="preserve">Currants | Rosehip | Brown Sugar | Strawberry Tea</t>
  </si>
  <si>
    <t xml:space="preserve">HOT: Bright and properly acidic; currants immediate and running the full length of the cup. MID: Berries opening out while clarity holds — no loss of definition as the profile moves from acid-led to fruit-led; brightness undiminished. COOL: Brown sugar arrives exactly on cue and resolves cleanly, with a quiet berry aftertaste persisting underneath and brightness still intact. No cool-phase bitterness at any point. The house card's three-phase prediction verified in all three bands. Preferred cup of the two-cup session.</t>
  </si>
  <si>
    <t xml:space="preserve">HOUSE CARD THERMAL PREDICTION VERIFIED — FIRST ARCHIVE INSTANCE. Sweet Blossom's bean card commits to a falsifiable three-phase arc (currants/rosehip hot, aromatic brown sugar as it cools, strawberry-tea aftertaste) and the cup matched it in all three phases. Elevates the printed bean card above generic menu descriptors in the source hierarchy for this venue. VARIETAL COMPOSITION: AB denotes screen size, not varietal. This lot blends SL28 &amp; SL34 with Batian and Ruiru 11 — the modern disease-resistant Kenyan cultivars — which typically round the sharp linear phosphoric-malic attack of pure SL selections. The currant-led rather than piercing-blackcurrant profile is consistent with that dilution and is the likely explanation for the unusually smooth acid delivery. HARDWARE: EK43 98mm flats at 1:16 / 93°C across four pours. The brewer is the notable variable — a ceramic conical-wall cone terminating in a flat recessed base plate with FOUR discrete holes rather than the single wide aperture of a V60. Four separated exits cap maximum flow rate independent of grind size, so the documented V60 apex-choke failure mode (Entries #031, #044 — fines migrating to a single outlet and over-extracting) is structurally unavailable on this geometry. First archive entry on a multi-aperture restricted-base cone; behaviourally closer to Kalita Wave contact-time dominance than to V60 percolation despite the conical wall.</t>
  </si>
  <si>
    <t xml:space="preserve">Day trip to Johor Bahru with Anusha, 22 Aug 2026. Second stop of six; arrived 13:37 by Grab from Komtar JBCC, departed 14:38 — 61 minutes at the bar. First cup of a deliberate two-cup controlled comparison (Washed vs Anaerobic Washed) on identical grinder, ratio, temperature, brewer and barista. Coffee-only venue — no food, no pastries, no distraction. Baristas: Grace, plus a second barista whose name was not captured (the visit's one data regret) who brewed both cups and argued the case for the Indonesian lot on its merits. Green sack wall observed and photographed: Nordic Approach (Sítio Cachoeira #4, Rodrigo Pereira, NORDIC29, Red Catuaí, Brazil), Café Tuxpal El Salvador El Condor Bourbon FW, Pirineos washed, plus Colombia and Brazil lots. Untried on the filter list: Colectivo Cedrobamba Peru natural RM20, Santa Rosa P50 El Salvador Pacamara honey RM23, Maguta Kenya nitrogen-flushed natural Lot L2 RM30 (resting).</t>
  </si>
  <si>
    <t xml:space="preserve">Live Field Audit — First Visit | Barista-confirmed grinder, dose, yield, ratio, temperature and pour count | Bean card photographed (varietal, process, three-phase house notes) | Filter menu photographed (RM22) | Brewer and grinder photographed — four-hole base plate clearly visible; model not identified and logged Unknown per no-inference rule | Payment RM43 for both cups, NETS debit S$13.93 @ 0.323869 | Archive price converted at the standing 1 SGD = 3.15 MYR reference rate</t>
  </si>
  <si>
    <t xml:space="preserve">28 Jalan Maju, Taman Pelangi, 80400 Johor Bahru, Johor, Malaysia</t>
  </si>
  <si>
    <t xml:space="preserve">Cibeureum Lot 41</t>
  </si>
  <si>
    <t xml:space="preserve">Unknown — lot 41, Cibeureum; producer and washing station not stated on menu or by barista</t>
  </si>
  <si>
    <t xml:space="preserve">Indonesia — sub-region not stated</t>
  </si>
  <si>
    <t xml:space="preserve">Mixed varietals — not specified on menu or by barista</t>
  </si>
  <si>
    <t xml:space="preserve">Unknown — not stated on menu or by barista</t>
  </si>
  <si>
    <t xml:space="preserve">Red Grapes | Hibiscus | Water Chestnut</t>
  </si>
  <si>
    <t xml:space="preserve">HOT: Bright, with the washed base clearly legible beneath the ferment — process character reads first, fermentation second. MID: A little funky as the anaerobic layer asserts itself, but contained and never muddy; a clear mandarin orange note comes through the middle. COOL: Brightness holds; ferment expresses as lift and texture rather than as jam or wine. No cool-phase bitterness. Good cup, but the Kenya was the better of the two.</t>
  </si>
  <si>
    <t xml:space="preserve">CONTROLLED FERMENTATION ISOLATION — SECOND OF TWO CUPS, SINGLE VARIABLE MOVED. Identical grinder (EK43 98mm flat), ratio (1:16), temperature (93°C), pour count (4), brewer geometry and barista as Entry #084; only the process differs — Washed vs Anaerobic Washed. RESULT: the washed base remained legible underneath the ferment, and the fermentation expressed as controlled funk and aromatic lift rather than as ester masking. This is a materially different outcome from the sealed-anaerobic-on-natural EF2 result at Suzuki (Entry #082), where the ferment buried varietal and floral expression under berry esters. WORKING CONCLUSION: anaerobic fermentation applied over a WASHED base is substantially less occlusive than the same fermentation applied over a NATURAL base — mucilage removed prior to sealing appears to cap the ester load available to the ferment. This refines Law 9 (fermentation architecture governs varietal expression) by identifying the pre-ferment substrate, not merely the vessel, as a controlling term. DIVERGENCE FROM HOUSE CARD: the card claimed red grapes, hibiscus and water chestnut; the cup delivered mandarin orange as the dominant fruit descriptor. Unlike Entry #084 the card did not predict this cup — card reliability at this venue is therefore process-dependent, strong on washed and weaker on fermented lots. RATIO: 1:16 sits mid-band of the 1:15–1:17 Palate DNA window and well clear of the ≤1:14 concentration threshold at which fermented lots have historically failed in this archive.</t>
  </si>
  <si>
    <t xml:space="preserve">Day trip to Johor Bahru with Anusha, 22 Aug 2026. Second cup of a two-cup session at Sweet Blossom, same date, venue, hardware and barista as Entry #084. Ordered second by design so that ferment esters could not contaminate the washed reference cup; approximately 15 minutes and a water reset between cups. Brewed by the second barista (name not captured), who had recommended this lot unprompted and made a substantive case for Indonesian coffee generally.</t>
  </si>
  <si>
    <t xml:space="preserve">Live Field Audit — First Visit | Barista-confirmed grinder, dose, yield, ratio, temperature and pour count | Filter menu photographed (lot name, origin, process, house notes, RM21) | Brewer and grinder photographed; model not identified and logged Unknown per no-inference rule | Payment RM43 for both cups, NETS debit S$13.93 @ 0.323869 | Archive price converted at the standing 1 SGD = 3.15 MYR reference rate</t>
  </si>
  <si>
    <t xml:space="preserve">August Drip Coffee</t>
  </si>
  <si>
    <t xml:space="preserve">La Mariposa — Panama Boquete</t>
  </si>
  <si>
    <t xml:space="preserve">Unknown — "La Mariposa" is a blended Boquete lot; producing farm not stated on bean card or by barista</t>
  </si>
  <si>
    <t xml:space="preserve">Boquete, Panama</t>
  </si>
  <si>
    <t xml:space="preserve">Gesha (70%) &amp; Typica (30%) — BLEND, not a single-varietal lot</t>
  </si>
  <si>
    <t xml:space="preserve">Unknown — no roast badge on the bean card photographed; venue roasts predominantly light but not confirmed for this lot</t>
  </si>
  <si>
    <t xml:space="preserve">Switch dripper — full immersion with valve-controlled release; non-Hario (Chinese-made unit; house Hario switches failed repeatedly), model Unknown</t>
  </si>
  <si>
    <t xml:space="preserve">Unknown — not stated by barista</t>
  </si>
  <si>
    <t xml:space="preserve">Unknown — served in glass carafe; brew-water charge 210–215 g confirmed, final beverage yield not measured</t>
  </si>
  <si>
    <t xml:space="preserve">Unknown — dose not stated; water charge 210–215 g confirmed</t>
  </si>
  <si>
    <t xml:space="preserve">N/A — no bloom phase in this protocol; single 20-second charge poured with the valve CLOSED, then undisturbed full immersion to 2:50</t>
  </si>
  <si>
    <t xml:space="preserve">Mahlkönig EK43S (98mm Flat Burr) — setting #7</t>
  </si>
  <si>
    <t xml:space="preserve">Floral Fragrance | Citrus | Apple | Plum</t>
  </si>
  <si>
    <t xml:space="preserve">HOT: Floral on the nose and immediately into orange and lime; bright, high clarity, unmistakably tea-like in body. MID: Apple emerging as temperature drops, fruit sweetness broadening without any loss of definition. COOL: Citrus and fruit holding to the final sip — no decay, no thinning, no cool-phase bitterness; intensity essentially flat across the thermal range rather than declining. NOT DETECTED: berry, jam, wine or solvent character. For a sealed anaerobic natural on a Gesha-dominant lot the ferment left almost no fingerprint. Among the strongest cups in the archive.</t>
  </si>
  <si>
    <t xml:space="preserve">ARCHIVE-DEFINING METHOD ENTRY — FIRST FULL-IMMERSION SWITCH PROTOCOL LOGGED. House method confirmed directly by co-owner and barista Pei: 95°C water, EK43S setting #7 (fine), valve CLOSED, the entire 210–215 ml charge delivered in a SINGLE POUR OF 20 SECONDS with no pulsing, circling or agitation, undisturbed full immersion until 2:50, then valve opened for a single drawdown. Pour time was originally field-recorded as "30 seconds or less" and subsequently corrected to 20 s by Pei on 23 Aug 2026 — barista confirmation overrides field recall. CANDIDATE EXTRACTION LAW 10 — IMMERSION DECOUPLES GRIND SIZE FROM FLOW RATE: in percolation, grind governs surface area and drawdown rate simultaneously, so extraction yield cannot be pursued without paying in flow; with the valve shut there is no flow to choke, and fineness can be pushed to a level that would trigger apex choke in a conical cone. EK43S #7 would be reckless in a V60 and is unremarkable here. Two supporting mechanisms: (i) a static column cannot compact, so channelling and fines migration are structurally unavailable rather than merely avoided; (ii) colloids and lipids remain in suspension for the full steep instead of being progressively stripped and filtered by continuous flow — the origin of the body Pei explicitly optimises for. SYSTEM DESIGN NOTE: removing pour rate, pour pattern, agitation and pulse timing leaves only grind, temperature, water mass and a clock — variables that can be handed to a barista on a first shift. Applied team-wide with per-lot tuning only; a protocol engineered for cross-barista consistency rather than individual virtuosity. FERMENTATION FINDING — consistent with Entry #085 and contrary to Entry #082: anaerobic ferment failed to mask varietal expression, with orange and lime leading and no berry or wine register at any temperature. VARIETAL CAVEAT: this is a 70/30 Gesha-Typica blend, so varietal attribution is partial and the Typica fraction may account for some of the body and the mid-phase apple. Gesha_Alert fires on Gesha-dominant composition; the blend is flagged explicitly here to prevent downstream analysis reading it as a single-varietal Gesha lot. ORANGE/CITRUS CROSS-TERROIR NOTE: orange appears again here, now outside Ethiopia — open question whether this is a Gesha genetic marker rather than an Ethiopian terroir constant.</t>
  </si>
  <si>
    <t xml:space="preserve">Day trip to Johor Bahru with Anusha, 22 Aug 2026. Sixth and final stop of the day; arrived 19:27 by Grab from Bangkok Spa, departed 20:48 — 81 minutes on site. Venue deliberately scheduled last because it trades until 22:00. Asked whether the bar carried any Gesha and was shown MORE THAN TEN distinct Gesha lots, predominantly anaerobic — the deepest single-venue Gesha bench encountered in the archive to date. Approximately 45 minutes in conversation with co-owner and barista Pei, who shared the full house brewing protocol unprompted, reviewed the Hari Coffee Archive spreadsheet, and exchanged contact details; common ground on whisky, and she knows Homeground. Added to the barista leaderboard alongside Jason (Prodigal), Ong Shen Choy (Fluid Collective) and Elysia Tan (Homeground). Also consumed: Bite Me Brownie (78% dark chocolate, mousse layer) RM17.90 and banana chocolate pound cake RM12.90, both rated highly — patisserie quality matches the coffee programme. Seven retail drip bags purchased on departure for RM52.20 (invoice T01-013385). Venue named default Johor Bahru destination going forward; return planned for a morning visit to allow multiple cups.</t>
  </si>
  <si>
    <t xml:space="preserve">Live Field Audit — First Visit | Full brewing protocol barista-confirmed direct from co-owner Pei (temperature, grinder setting, water charge, pour duration, steep time, valve sequence), with pour time corrected by her from 30 s to 20 s in follow-up 23 Aug 2026 | Bean card photographed (grade SHB, variety, altitude 1600–1700 m, process, 70/30 blend composition, house notes) | Itemised invoice T01-013384, JIA Coffee House Sdn Bhd (Reg 1221078W), 211 Jalan Dato Sulaiman, RM81.80 total with the cup at RM37 | Brewer confirmed by Pei as a non-Hario switch-type immersion dripper; model not identified and logged Unknown per no-inference rule | Archive price converted at the standing 1 SGD = 3.15 MYR reference rate</t>
  </si>
  <si>
    <t xml:space="preserve">211 Jalan Dato Sulaiman, Taman Abad, 80250 Johor Bahru, Johor, Malaysia</t>
  </si>
  <si>
    <t xml:space="preserve">Wilder Garcia — Peru Geisha</t>
  </si>
  <si>
    <t xml:space="preserve">Jaen, Cajamarca, Peru</t>
  </si>
  <si>
    <t xml:space="preserve">Hario V60 — ceramic conical (matte black) over glass server; cone PREHEATED and paper filter rinsed (barista-confirmed); bloom + 3 subsequent pours (4 pours total); model number Unknown</t>
  </si>
  <si>
    <t xml:space="preserve">71 → 92 (ascending two-stage: 71°C bloom, 92°C subsequent pours — barista-confirmed; profile is barista-discretionary, not house-fixed)</t>
  </si>
  <si>
    <t xml:space="preserve">Yes — pour 1 is the bloom (barista-confirmed); individual pour weights not captured</t>
  </si>
  <si>
    <t xml:space="preserve">Mahlkönig EK43 (98mm Flat Burr) — full-size EK43, explicitly not the EK43S (barista-confirmed)</t>
  </si>
  <si>
    <t xml:space="preserve">Yuzu | Yellow Floral | Tarragon</t>
  </si>
  <si>
    <t xml:space="preserve">PRIMARY SENSORY RECORD (in-cup, blind of the correct bean card): honeysuckle identified on the finish — a direct independent hit on the card's YELLOW FLORAL, named before the correct card was ever seen. Acid read as soft stewed apple, described in the moment as 'like drinking a light apple juice'; no citrus lift, no tarragon, light body, low aromatic intensity throughout. Peach and red currant impressions sat faintly in the background. HOT phase NOT captured — cup delivered already descended; MID to COOL only. RETROSPECTIVE REVISION (post-label, flagged, does not overwrite): on seeing the correct Geisha card, Hari revised the apple read toward yuzu. Methodological note: the original read was made while Hari ALREADY believed the cup was Geisha, making it the less label-influenced of the two accounts; both are retained side by side. ⚠️ CARD DISCREPANCY (Rule 5, resolved): a BOURBON card from the same producer (Stewed Red Apple / Yellow Peach / Red Currant / Demerara) was mis-supplied to the table by the barista. Barista's verbal GEISHA call was correct and subsequently card-confirmed when the correct Geisha card was located. All Bourbon-card data struck from this entry.</t>
  </si>
  <si>
    <t xml:space="preserve">TEMPERATURE ISOLATED AS THE SOLE FAILURE VARIABLE — every other controllable was sound. Cone preheated and filter rinsed (barista-confirmed), ratio 1:15 inside the Palate DNA band, EK43 98mm flat burr = benchmark hardware. The ascending two-stage profile OPENS AT 71°C, far below the threshold at which volatile monoterpenes mobilise. Limonene, linalool and gamma-terpinene carry yuzu's identity and require thermal energy both to extract from the bed and to achieve retronasal release; estragole/anethole carry tarragon and behave identically. The first pour — with full access to a fresh bed and the steepest concentration gradient — stripped the fast, low-volatility citric/malic acid fraction while leaving the aromatic fraction behind. What reached the cup was yuzu's ACID SKELETON with its aromatic signature removed, which reads as soft apple. Linalool, least volatile of the group, survived and surfaced as honeysuckle — the surviving aromatic is diagnostic of the deficit's depth. Preheat confirmation EXCLUDES Law 7 thermal mass as a contributing cause, isolating bloom temperature. VENUE PROTOCOL NOTE: barista confirmed the profile is HER OWN, not a fixed house recipe — temperature varies by who is on bar, so the same lot at this venue on a different shift constitutes a valid single-variable comparison. NEW V60 FAILURE MODE FOR THE ARCHIVE: thermal-deficit de-aromatisation — mechanically OPPOSITE to the standing Law 1 conical fines-migration over-extraction pattern.</t>
  </si>
  <si>
    <t xml:space="preserve">Solo visit, Pocket by Flip Coffee Roasters, 25 Aug 2026. Second archive visit to this venue (first was Entry #034, 19 May 2026, Ecuador La Papaya Geisha at S$18). Five filter lots on the display wall; pre-visit shortlist ran the Wilder Garcia Geisha first on Palate DNA fit (Washed + Gesha + citrus/floral/stone-fruit), with Kirinyaga Kii Lot 6211 as the paired-comparison candidate and Inmaculada (Natural Anaerobic) and Los Rodriguez (Coco Natural) both declined on ferment load and roast development. Single cup taken; no second cup ordered. RELATIONSHIP EVENT: Marshella, owner of Boon Cafe Dutamas (Duta Mas, West Jakarta, Indonesia), was seated alongside — in Singapore as a visitor, at Pocket seeking Panama coffee, which was unavailable. She identified the mis-supplied bean card and retrieved the correct Geisha card. Extended conversation on the Indonesian coffee context; contacts exchanged by WhatsApp and Hari's 95-venue Singapore café list shared. Standing invitation to visit Boon Cafe — approximately one hour from central Jakarta. FIRST INDONESIAN INDUSTRY CONTACT IN THE ARCHIVE and the first with a café owner rather than a barista. Barista name NOT captured — reserved during the brew, then approached Hari unprompted to ask how the cup was; quoted every parameter precisely and held the correct varietal against a mislabelled card. Capture her name on return.</t>
  </si>
  <si>
    <t xml:space="preserve">Live Field Audit — Second Visit | Barista-confirmed: dose, yield, ratio, two-stage temperature profile, pour count, bloom placement, grinder model (full-size EK43, explicitly NOT the EK43S), cone preheat and filter rinse, and that the temperature profile is her own rather than house-fixed | Correct Geisha bean card photographed (region, varietal, elevation, process, roaster notes) | Incorrect Bourbon card also photographed and struck | Brewer geometry directly observed (Hario ceramic conical, black, glass server) | Roast level and roast date NOT captured — logged Unknown per no-inference rule | Venue signage photographed (Pocket by Flip Coffee Roasters)</t>
  </si>
  <si>
    <t xml:space="preserve">Om Koi, Chiang Mai — Washed Bio Control</t>
  </si>
  <si>
    <t xml:space="preserve">Om Koi, Chiang Mai</t>
  </si>
  <si>
    <t xml:space="preserve">Om Koi, Chiang Mai, Thailand · 1300 masl</t>
  </si>
  <si>
    <t xml:space="preserve">Catuai, Catimor</t>
  </si>
  <si>
    <t xml:space="preserve">Washed (Bio Control)</t>
  </si>
  <si>
    <t xml:space="preserve">Unknown (barista busy at lunch service — not confirmed)</t>
  </si>
  <si>
    <t xml:space="preserve">Red Apple, Nectarine, Berries</t>
  </si>
  <si>
    <t xml:space="preserve">HOT: Red apple and berries arrive together — apple reads as the white flesh, not the skin (malic acid without tannic/phenolic edge, a clean crisp note). Berries add light anthocyanin brightness. Nectarine not yet present. MID-COOL: Malic-to-citric transition — orange emerges with a slight sourness like a normal orange, with lime hints starting; nectarine and orange blur together (chemically adjacent malic/citric expressions at this band). COOL: Clarity increases — apple and berries recede to the background while brighter aromatic esters move forward; fruity lime-mandarin-orange comes to the foreground, described as 'diluted lime juice' — clean, bright, thin, a clear malic acid hit Harry connects with easily. A fine nectarine note lands at cool phase. Best enjoyed cool. Verdict: very good for the price — an enjoyable, easy cup and the best of the mid-tier entries. Not a top-tier flagship, but a genuinely likeable washed cup that rewards patience as it cools. Archive first: first washed Thailand coffee (previous Thai entries were Natural/Anaerobic — Sirinya Geisha Amarone and Toki); first Catuai/Catimor varietal from Thailand; first Om Koi (Chiang Mai) origin.</t>
  </si>
  <si>
    <t xml:space="preserve">Pour.traits in-house roast (Om Koi, Chiang Mai, 1300 masl, Catuai/Catimor, Washed Bio Control). 'Bio Control' processing detail not confirmed with barista (lunch service) — term typically refers to controlled/managed fermentation using selected microbial cultures or biological pest/quality management at the washing station; logged as observed on bean card without over-interpretation. Brew parameters (brewer, grinder, dose, yield, ratio, temperature) all Unknown — barista too busy at lunch to confirm, and per archive integrity rules NOT assumed from prior visits. Sensory arc consistent with a cleanly processed washed coffee: apple/berry structural notes dominant hot, brighter citric/malic esters (lime, mandarin, orange) emerging and moving to foreground as the cup cools — classic washed-process clarity progression. The cool-phase 'diluted lime juice' malic expression is squarely within Harry's documented palate preference.</t>
  </si>
  <si>
    <t xml:space="preserve">Lunchtime solo visit — Pour.traits Roasters, Outram Park, Singapore. Tuesday 26 August 2026, ~12:30–13:30 SGT. Repeat visit to Pour.traits (previous entries include: 11 Jul Thailand Sirinya Geisha Amarone; 14 Jul TaoTao WBRC crown entry; 21 Jul Toki). Ordered from the updated in-house filter menu. MENU DISCREPANCY LOGGED: Ethiopia Nensenbo Mewa Washed was printed on the menu but confirmed unavailable by barista Elaine — Om Koi ordered as the top available alternative. Barista Elaine busy during lunch service — brew parameters not confirmed this visit, logged as Unknown per archive integrity rules rather than assumed.</t>
  </si>
  <si>
    <t xml:space="preserve">Live Field Audit — bean card photo (Pour.traits Om Koi card, authoritative: Catuai/Catimor, 1300 masl, Washed Bio Control) + Harry's sensory notes. Brew hardware not confirmed (barista busy) — logged Unknown.</t>
  </si>
  <si>
    <t xml:space="preserve">La Lucuma</t>
  </si>
  <si>
    <t xml:space="preserve">Approx 12.5 (barista-stated; exact figure uncertain)</t>
  </si>
  <si>
    <t xml:space="preserve">Approx 210–220 (barista-stated; exact figure uncertain)</t>
  </si>
  <si>
    <t xml:space="preserve">Slightly less than 1:17 (barista-confirmed — deviation from house standard on the day)</t>
  </si>
  <si>
    <t xml:space="preserve">93°C (Constant — house standard)</t>
  </si>
  <si>
    <t xml:space="preserve">Kaffir Lime | Yellow Peach | Jasmine | Earl Grey</t>
  </si>
  <si>
    <t xml:space="preserve">HOT: Bright and acidic on the tongue. Lime hits immediately. Slight bitter tinge in the aftertaste. Possible trace of peach. Light body, disappears quickly. MID: Brightness and acidity hold without reduction — lime clearly dominant. COOL: Bitter aftertaste develops further even with lime still encapsulated — described as an unripe lime character. POST-CUP: Bitter lime still perceptible in the mouth five minutes after leaving the café — confirmed at 150% certainty. OVERALL: Not bad, but a riper lime would have been more interesting — preference is for sweet-sour over bitter. Rated AVERAGE at S$10.</t>
  </si>
  <si>
    <t xml:space="preserve">Bitterness attributed primarily to the green, with ratio as a contributing variable. Barista confirmed the brew ran slightly leaner than the 1:17 house standard on the day (approx 12.5g dose, 210–220g yield — exact figures uncertain), so this is NOT a clean single-variable comparison against the 05 Aug El Romerillo, which used house-standard 1:17 on identical hardware and finished with zero bitter tail. Two factors still point away from extraction as the primary cause: the bitterness was present from the HOT phase rather than emerging on cooling (concentration-driven bitterness typically builds as sweetness contrast fades), and it persisted in the mouth five minutes after the cup — a duration inconsistent with a marginal ratio shift and consistent with compounds structurally bound to the bean. The 'unripe lime' descriptor is diagnostic: bitterness fused to the citrus as pith/rind character, distinct from the flat, dry CGA lactone signature logged on the 08 Jul Natural Bourbon. Most consistent with underripe cherry in the lot — elevated chlorogenic acids and low sugar development, which washed processing conceals nothing of. Extraction physics otherwise near-ideal: Geisha's low bean density gives up volatiles readily at 93°C, and the OREA's wide unrestricted drain keeps contact time short, protecting monoterpenes. GESHA HYPOTHESIS: lime present in HOT and dominant by MID from Peruvian terroir, washed, no Ethiopian lineage — supports citrus as a genetic varietal marker rather than an Ethiopian terroir signature. Yellow peach appeared only as a trace in HOT, consistent with white peach being Guji-specific rather than a universal varietal fingerprint.</t>
  </si>
  <si>
    <t xml:space="preserve">Solo visit — 29 Aug 2026. Seventh Nylon audit. Filter menu rotated again since 05 Aug: El Romerillo retained at S$7.50; three new additions — Peru La Lucuma (Geisha/Washed, S$10.00), Ethiopia Banko Gotiti (Dega, Wolisho, Kurume/Washed, S$8.50 — returning lot, previously audited 07 May 2026), Nicaragua Finca Libre (Yellow Catuai/Natural Anaerobic, S$8.50). Colombia El Pinal rotated off. Espresso line: Peru Los Cedros (Caturra/Washed) and Brazil Nossa Senhora Aparecida (Yellow Bourbon/Natural). Seasonal special: Summer Cola espresso tonic, S$8.50. Ordered as a direct test of the open Gesha citrus hypothesis. First Peruvian Geisha in the archive. BARISTA EXCHANGE: Hari raised the bitter aftertaste on the way out; barista appeared surprised, then suggested it could be a bitter lime character that some people perceive — read as accommodation rather than confirmation of a known lot issue. Producer name not obtained. Roast date not logged.</t>
  </si>
  <si>
    <t xml:space="preserve">Live Field Audit — Seventh Visit | Barista confirmation (ratio slightly under 1:17 on the day; approximate dose and yield) + menu board photo + house-standard temperature and brewer (barista-confirmed 05 Aug 2026)</t>
  </si>
  <si>
    <t xml:space="preserve">Peru Cajamarca Gesha — Elegant Series (Wilder Garcia)</t>
  </si>
  <si>
    <t xml:space="preserve">Wilder Garcia — Farm Cajamarca</t>
  </si>
  <si>
    <t xml:space="preserve">Jasmine | Caramel | Lime | Cacao Nibs</t>
  </si>
  <si>
    <t xml:space="preserve">HOT: Stone fruit clarity present; tea-floral hit registers immediately, but individual flavours not yet differentiable — integrated rather than resolved aromatic field. MID: Lime emerges and sugars begin surfacing as acid and sweetness separate. COOL: Caramel and chocolate hints forward, with lime persisting on the aftertaste. Lemon-citrus thread continuous across all three thermal phases. Overall above average and good value for the price paid. Barista recognised Harry from prior visits. Notes written from recall in the evening, not in-cup.</t>
  </si>
  <si>
    <t xml:space="preserve">Fifth Wilder Garcia encounter in the archive and the cheapest to date (SGD 10 vs 11 / 12.5 / 12 in Entries #017, #021, #087). Complete card-to-palate alignment — all four official descriptors landed (jasmine to tea-floral, caramel and cacao nibs at cool, lime at mid and aftertaste). Continuous citrus across all three thermal phases on a clean washed Peruvian Gesha with no fermentation confound gives the strongest support yet for the Gesha-citrus-as-genetic-marker hypothesis. Divergence from the nectarine/honey-dominant readings of Entries #071 and #087 (same producer) indicates citrus prominence is preparation- and batch-dependent rather than absent. Brew parameters not captured on the day; logged Unknown per post-#031 rule that sensory record is primary.</t>
  </si>
  <si>
    <t xml:space="preserve">Solo visit — Asylum Coffeehouse, Jln Besar. Fifth Asylum audit. Ordered from Elegant Series. Menu also carried Yellow Gesha Natural (La Esmeralda, S$14), Pink Bourbon Honey+Rose Tea (S$14), Castillo Honey+Cherry (S$12), Castillo Honey+Green Apple (S$14), Papayo Washed (S$8), Caturra Natural (S$8), Decaf Fruit Maceration (S$9.50). Barista known from prior visits and recognised Harry. Notes recorded from recall in the evening. DATE CORRECTED to Sunday 30 August 2026. MORNING leg of a two-cup day: Asylum (morning) -&gt; lunch at Super Deluxe -&gt; beer at RedDot -&gt; Oaks Coffee Co. (evening, ~16:30) -&gt; Railway Corridor walk. Companions on the day: Prateek and Alex.</t>
  </si>
  <si>
    <t xml:space="preserve">Live Field Audit — Fifth Asylum Visit | Bean card photo (Elegant Series Gesha Washed, Wilder Garcia / Cajamarca / Peru-Jaen, roasted by Asylum Coffee) + menu board photo. Sensory notes from evening recall. Brew parameters not obtained.</t>
  </si>
  <si>
    <t xml:space="preserve">Alo Bombe Tadesse</t>
  </si>
  <si>
    <t xml:space="preserve">4 pours</t>
  </si>
  <si>
    <t xml:space="preserve">Black Grapes; White Peach</t>
  </si>
  <si>
    <t xml:space="preserve">Full bodied and bright simultaneously — an unusual pairing driven by extreme-altitude bean density. Complex and fruity with mild fermentative funk that stayed within tolerance. HOT: white peach leads. MID-COOL to COOL: black grape builds and gradually dominates. Peach and grape overlap heavily and resist clean separation, but both clearly present in the cool phase. Best drunk cool. Strong value at SGD 9.</t>
  </si>
  <si>
    <t xml:space="preserve">At 2400–2550 MASL this is the highest-altitude lot in the archive; extended cherry maturation raises cell density and sugar/acid concentration, producing simultaneous body and brightness. P80 80mm flat burrs deliver the unimodal particle distribution required to extract evenly from a dense high-altitude bean. Water temperature raised to 90°C (vs 88°C on the Bolivia lactic honey, Entry #051) — a deliberate per-lot adjustment: a dry-process 74158 carries a thermally robust aromatic load that tolerates more extraction force. Four-pour pulsed agitation keeps the dense bed turning over and recovers the deep sugar layer that drives cool-phase improvement. Thermal arc runs INVERTED versus the typical natural: volatile lactone peach hot, anthocyanin grape late.</t>
  </si>
  <si>
    <t xml:space="preserve">Third Oaks visit. Sunday 30 August 2026, ~16:30, with Prateek and Alex. Day sequence: coffee at Asylum Coffeehouse (logged as the morning entry, same date) -&gt; lunch at Super Deluxe -&gt; beer at RedDot Brewhouse/Distillery -&gt; Oaks -&gt; Railway Corridor walk. Barista friendly and explained the lot. Menu had fully rotated since 10 Jul: all three Geishas (Janson Lot 930, Santa Barbara Honduras, Finca El Diviso) rolled off; new filter line-up Alo Bombe Tadesse / Mount Totumas Panama Caturra / Floripondio, all SGD 9. ARCHIVE FIRSTS: highest altitude ever logged (2400–2550 MASL); first Tamiru Tadesse producer. WHITE PEACH HYPOTHESIS TEST: peach confirmed present in a 74158 lot. If growing zone confirms as Bensa/Sidama rather than Guji, this weakens the Guji-specific reading and supports white peach as a 74158 varietal marker. DIRECTIONAL ONLY — ester/anthocyanin overlap prevented clean isolation; a washed 74158 would give the single-variable test.</t>
  </si>
  <si>
    <t xml:space="preserve">Live field audit — bean card photo + menu photo + barista-confirmed brew parameters</t>
  </si>
  <si>
    <t xml:space="preserve">ECHO</t>
  </si>
  <si>
    <t xml:space="preserve">Panama Lerida Estate Geisha Washed — aery x ECHO Bar Takeover (Lim Junghwan)</t>
  </si>
  <si>
    <t xml:space="preserve">Lerida Estate (Hacienda La Lerida)</t>
  </si>
  <si>
    <t xml:space="preserve">UFO Dripper (80° Hybrid Conical — Kenzie Chay &amp; Jay Kim, Korea)</t>
  </si>
  <si>
    <t xml:space="preserve">Unknown — 4 pours total; bloom not separated out by barista</t>
  </si>
  <si>
    <t xml:space="preserve">Jasmine; Floral; White Peach</t>
  </si>
  <si>
    <t xml:space="preserve">All three official descriptors confirmed. ASCENDING-FLORAL thermal curve — HOT: stone fruit dominant, very light body. MID-COOL: jasmine and floral character climbing. COOL: maximum clarity, peach and jasmine locked together. ZERO CITRUS at any phase. No cool-phase bitterness. Body very light throughout. Unlike anything previously in the archive; S$18 judged worth paying for the encounter and the conversation rather than the liquor alone.</t>
  </si>
  <si>
    <t xml:space="preserve">UFO Dripper's 80° interior cone angle (vs V60's 60°) widens and flattens the bed, cutting bed-depth variability and structurally suppressing the fines-migration over-extraction mode of Entries #031/#044; combined with EK43S 98mm flat burrs this delivers flat-bottom-equivalent extraction architecture through a conical-derived vessel. 96°C sits far clear of the ~80°C thermal-deficit threshold, guaranteeing monoterpene mobilisation, and the wide shallow bed absorbs the aggressive 4-pour agitation without CGA-lactone penalty. 15g/240g = high-EY, LOW-TDS liquor: the very light body is an architecture outcome, not a lot deficiency — and matches aery's own stated clarity-led house target. Florals were present in the cup throughout but perception-gated by heat, resolving only below ~55°C; mechanically OPPOSITE to thermal-deficit de-aromatisation, where monoterpenes never leave the grounds at all.</t>
  </si>
  <si>
    <t xml:space="preserve">'aery' x ECHO bar takeover, 11:30-16:30. Arrived ~13:30 straight from afternoon gym; stayed 30-45 min. Served by LIM JUNGHWAN — 2024 Korea National Barista Champion, WBC Finalist, and FOUNDER/CEO of aery (verified: aery company registration lists Lim Junghwan). His English partial; female colleague fluent and translated, and supplied the brew parameters (her '80 degrees so water flow slowly' = the UFO's interior cone angle, not temperature — resolved, not a discrepancy). Extended technical discussion on extraction physics, ratios, the full bean lineup and Gesha. KEY INTEL: aery is based in BUSAN (Jung-gu, Jungang-daero 47), not Seoul; barista reports Busan specialty scene expanding with local government support. Independently corroborated: Busan now framed as Korea's coffee capital, with &gt;90% of Korea's imported coffee clearing customs through Busan Port. Venue already known — Harry was a regular at Kyuukei Coffee next door at 5 Kadayanallur St #01-04. ARCHIVE FIRSTS: first Korean guest barista; first Lerida Estate lot; first UFO Dripper. HYPOTHESIS-CRITICAL: zero citrus in a clean Washed Boquete Geisha at 1,600 masl with every confound controlled (process, ratio, temp, burr, bed geometry) — the strongest counter-evidence yet against Gesha-citrus-as-genetic-marker, and points toward terroir/altitude modulation. Also: white peach confirmed in a Panamanian Geisha, so white peach cannot be treated as an Ethiopian regional marker. Day plan: leave 15:15 for Fluid Collective x Bayu Prawiro takeover, 24 Opal Crescent, 16:00-19:00. OPEN: roast level not stated; bloom not separated from the 4-pour count; S$18 is menu-listed, not receipt-confirmed.</t>
  </si>
  <si>
    <t xml:space="preserve">Live field audit — bean card photo + menu photo + barista-confirmed brew parameters (via translating colleague)</t>
  </si>
  <si>
    <t xml:space="preserve">5 Kadayanallur Street, #01-08, Singapore 069183</t>
  </si>
  <si>
    <t xml:space="preserve">Sumedang Excelsa — Thermal Shock Natural · Bayu Prawiro Bar Takeover</t>
  </si>
  <si>
    <t xml:space="preserve">Java Sumedang (West Java)</t>
  </si>
  <si>
    <t xml:space="preserve">Indonesia</t>
  </si>
  <si>
    <t xml:space="preserve">Excelsa (Coffea Excelsa)</t>
  </si>
  <si>
    <t xml:space="preserve">Thermal Shock Natural</t>
  </si>
  <si>
    <t xml:space="preserve">75°C → 94°C ASCENDING across 4 pours (barista-confirmed, Bayu Prawiro)</t>
  </si>
  <si>
    <t xml:space="preserve">Option-O LAGOM 01 (102mm Mizen Blind Burrs — largest flat burr in archive)</t>
  </si>
  <si>
    <t xml:space="preserve">Funk → Tropical Fruit → Pineapple (no printed note card; Bayu pop-up lot)</t>
  </si>
  <si>
    <t xml:space="preserve">AROMA: Opened funky and fermented on the nose, then slowly resolved — tropical fruits emerged as the cup settled. The funk announced itself first and then stepped aside. HOT: Bright with a little funk still present, but tropical fruit already pushing through. MID: Tropical fruit takes over completely; the ferment character recedes. MID-COOL (BEST WINDOW): Pineapple emerges clearly and dominates — really fruity, generous, resolved. This was the peak of the cup and the most enjoyable phase. VERDICT: I liked this, and he did it very well. Amazing experience overall — great discussions with both Ong Shen Choy and Bayu Prawiro. Very satisfied and worth the visit.</t>
  </si>
  <si>
    <t xml:space="preserve">ARCHIVE FIRST — SECOND NON-ARABICA SPECIES. Coffea Excelsa (Coffea liberica var. dewevrei lineage) is a distinct species, under 1% of world production and rarely roasted for specialty. Only the second non-Arabica in the archive after the Corner Corner Liberica (Entry #039). ASCENDING TEMPERATURE PROTOCOL — barista-confirmed by Bayu Prawiro: 4 pours, starting LOW at 75°C and climbing to 94°C. This is the exact INVERSE of Fluid's house architecture (70→90→70°C oscillating, or 93°C→65°C descending on the Finca Sophia). The chemistry maps precisely onto the cup experienced: the 75°C opening under-extracts the aggressive fermentation volatiles produced by thermal shock — which is why the funk was present on the nose and first sip but faded rather than built; the 94°C finish then pulls the heavier sugars out of a denser, non-Arabica bean structure, which is why tropical fruit and finally pineapple dominated the mid-cool phase. Funk down, fruit up, by design. LAW 6 AMENDED. Thermal Shock processing previously exceeded this palate's fermentation ceiling at Entry #059 (Finca El Diviso, Aji Bourbon, Oaks) under a DESCENDING protocol. Under an ASCENDING protocol it did not. The controlling variable is brew architecture, not the process itself. GRINDER — ARCHIVE FIRST: Option-O LAGOM 01 with 102mm Mizen blind burrs. Verified per Rule 6 (search-before-logging): official qualified filter grinder of the World Brewers Cup 2026–2029; blind burr format removes screw holes for ~18% more effective grinding surface vs the 98mm standard; independent testing records 0.5g retention and 0.04g standard deviation. Now the LARGEST FLAT BURR in the archive, ahead of the EK43/EK Omnia at 98mm and the Lagom P100 at 100mm. COMPETITION PROVENANCE: this exact coffee — Sumedang Excelsa — formed the final 10% of Bayu Prawiro's blend when he took 1st Runner-Up at the 2025 World Brewers Cup in Jakarta (70% Finca Sophia washed Geisha, 20% Janson Estate Panama anaerobic, 10% Sumedang Excelsa). Both other components appeared on today's pop-up menu, and the Finca Sophia backbone is already a joint #1 cup in this archive (1 Aug 2026, Fluid).</t>
  </si>
  <si>
    <t xml:space="preserve">Fluid Collective — BAYU PRAWIRO BAR TAKEOVER, Tuesday 1 September 2026, 4–7pm. Arrived ~17:08, left office early to attend. SECOND EVENT OF THE DAY — followed the aery x ECHO takeover with Lim Junghwan. BOTH CHAMPIONS ON ONE BAR: Bayu Prawiro (2025 World Brewers Cup 1st Runner-Up, Common Grounds Indonesia) brewing alongside Ong Shen Choy (2025 Singapore National Brewers Cup Champion). Extended technical conversations with both — Bayu shared his full 4-pour ascending protocol and grinder choice unprompted. POP-UP MENU: Janson X Geisha Lot 989 Washed (Panama) S$36 · Daterra Aramosa, Coffea Arabica × Coffea Racemosa, 24h Aerobic + 48h Anaerobic Natural (Brazil) S$20 · Aceh Avatara Thermal Anaerobic Natural S$18 · Aceh Avatara Washed S$15 · Sumedang Excelsa Thermal Shock Natural S$18 (ORDERED) · West Java Finca De Berman Pichia Anaerobic Natural S$15. Excelsa chosen over the S$36 Janson Geisha deliberately: species novelty and competition provenance ranked above a fourth premium Panama Geisha in five weeks. BAR PHOTOS CAPTURED: Bayu and Ong Shen working the pass together; Lagom 01 visually confirmed beside Fluid's EK43; retail bags legible — Catur Coffee 'De Berman Pichia' (Pangalengan, West Java, Anaerobic Natural, 2026 crop, 300g) and Java Sumedang 'Excelsa'; Aceh Avatara card notes producer Hendra Mudlim, 1,600 masl, ~30-day slow dry. Three Acaia scales and mint flat-bottom drippers on the brew line.</t>
  </si>
  <si>
    <t xml:space="preserve">Live Field Audit — Bayu Prawiro Bar Takeover | Menu + bar + retail bag photos</t>
  </si>
  <si>
    <t xml:space="preserve">Guatemala El Injerto "Los Pinos" Geisha Washed — Nas Jaafar Guest Bar Takeover</t>
  </si>
  <si>
    <t xml:space="preserve">Finca El Injerto (Aguirre family)</t>
  </si>
  <si>
    <t xml:space="preserve">Unknown — Nas stated his roasting philosophy (deliberately "slightly indented" vs a typical light roast) but did not name a level for this specific lot</t>
  </si>
  <si>
    <t xml:space="preserve">UFO V3 Dripper + UFO type-F paper — HYBRID percolation/immersion achieved by pour timing, NOT by a mechanical valve (no Hario Switch base on the day; barista-confirmed)</t>
  </si>
  <si>
    <t xml:space="preserve">1:11 (in-cup, 15g:165g target yield) — 200g water charge = 1:13.3 brew ratio</t>
  </si>
  <si>
    <t xml:space="preserve">No discrete bloom. Two-stage structure: 100g PERCOLATION over 60s, then 100g IMMERSION held 25s, ~10s drawdown. (Brussels routine ran the immersion at 60s on high-flux paper; compressed to 25s today because UFO type-F flows slower.)</t>
  </si>
  <si>
    <t xml:space="preserve">Unknown make/model — ground fresh to order by Sweet Blossom baristas off-table and carried to the brew station. Nas worked from a demonstration trestle table with no room for a commercial grinder; he specified, the house executed. Not inferred, not stated by the barista.</t>
  </si>
  <si>
    <t xml:space="preserve">Jasmine; Peach; Apricot; Pineapple; Brown Sugar</t>
  </si>
  <si>
    <t xml:space="preserve">CITRUS FOUND UNPROMPTED IN A LOT THAT CLAIMS NONE. HOT: fruity, everything arriving at once — total intensity rather than resolution, nothing separates. MID: apricot pulls clear of the mass and becomes properly legible. COOL: ORANGE emerges and BUILDS rather than fading, sweet and bright and improving as the cup drops in temperature, with lime underneath it. Overall bright, acidic, FULL BODY, clean lingering aftertaste, ZERO BITTERNESS at any phase. El Injerto's own card lists jasmine / peach / apricot / pineapple / brown sugar and NO citrus of any kind — so the orange and lime were uncontaminated by suggestion. Cleanest configuration the Gesha-citrus hypothesis has ever been tested in.</t>
  </si>
  <si>
    <t xml:space="preserve">ARCHIVE FIRSTS — first GUATEMALAN GESHA, first Finca El Injerto lot, first UFO V3 dripper, and the first VALVE-FREE HYBRID IMMERSION in the archive. HARDWARE CLASS: Law 10 covers valve-gated immersion (Entry #086, August Drip, Hario Switch). This is mechanically distinct — the immersion phase is created by POUR TIMING and PAPER PERMEABILITY rather than a mechanical gate, so the bed floods and holds without any valve in the system. CAUSAL CHAIN (barista verbatim, and the most valuable thing said all session): indented roast -&gt; coarser grind required -&gt; coarse grind flows too fast under pure percolation -&gt; ratio drops to 1:13-1:14 to compensate -&gt; immersion stage added to recover the sweetness the fast flow would otherwise lose. Every downstream variable is a compensation for a decision made in the roastery; the tight ratio is a consequence, not a style. RATIO: barista-confirmed 92°C, 200g water charge, 165g target yield at TDS 1.20-1.25 — a true 1:11 IN THE CUP, four full points below the 1:15-1:17 Palate DNA band and deep inside the concentration zone that Law 2 flags for polyphenolic cool-phase bitterness. Zero bitterness delivered. THERMAL INVERSION: citrus emerged COOL rather than hot, the opposite of normal volatile-terpene behaviour — attributable to perceptual masking at very high dissolved-solid concentration clearing as temperature falls, NOT to any property of the lot (repeated in Entry #095 on a different process, which confirms it as a ratio effect). GRIND CHAIN SPLIT: grind is the hinge of Nas's own causal chain, yet he did not operate the grinder — logged as Unknown per Law 4 rather than inferred.</t>
  </si>
  <si>
    <t xml:space="preserve">NAS JAAFAR GUEST BAR TAKEOVER — Sweet Blossom Taman Pelangi roastery, Wed 2 Sep 2026. Nas Jaafar: 2026 WORLD BREWERS CUP CHAMPION (Brussels, 27 Jun 2026), first Malaysian to win the title, returning to his home town. Reservation-only, three one-hour slots; Hari booked Slot B (11:45-12:45) deliberately — NOT because Slot A was full, but because a 10:30 start leaves no buffer for the Causeway crossing from Singapore. Spotted via Instagram after following @sweetblossomcoffee on the 22 Aug visit; booked and deposit paid 11 days ahead (S$16.00 by FAST transfer — the roastery accepts SGD, deducted from the order). Café closed to walk-ins for the event. ZERO COFFEE FROM WAKING until 11:45 — deliberate palate protocol; Hiritsu was walked past at 09:26 and deferred to the evening for this reason. Arrived 11:15; Slot A overran. SLOT A DRANK THE ENTIRE HACIENDA LA ESMERALDA BLOCK (Leon 3ANB RM70, Mario Arriba 5FB RM70, Gigante 2ANC RM150) — gone before Slot B was seated. ~22 attendees; nobody asked a question until Hari opened, then asked 3-4 more (ratios, why no blend at competition, life as champion, access to micro lots). Nas answered fully and without condescension. HIS STORY: father a taxi driver, mother at a small charity organisation, money tight growing up; closed his own roastery during COVID and went to work for another roaster; competed pre-COVID and lost before he won. Competition theme RESISTANCE. On competing: he will not encourage anyone to enter if the only reason is to win — you need another reason, go with passion, and the winning takes care of itself. Says he still cannot believe he won; wants time with his two daughters after months of competition travel. Shirt: NAS x FALCON COFFEES (green sourcing partner — explains an 11-lot bar of this calibre in Taman Pelangi). Barista CHEE ran the floor through an overrunning Slot A and a full changeover without it showing. Day sequence: Punggol 07:45 -&gt; JB 09:00 -&gt; Antipodean Gold breakfast -&gt; Lawa Lawa foot spa (time-killer) -&gt; NAS -&gt; Crystal Leaf 90min -&gt; 7 Spice crab chettinad -&gt; Hiritsu -&gt; home 20:20.</t>
  </si>
  <si>
    <t xml:space="preserve">Live field audit — printed menu photo + brew-bar photos + barista-confirmed parameters transcribed from Hari's own video recording of Nas Jaafar explaining the recipe</t>
  </si>
  <si>
    <t xml:space="preserve">28 Jalan Maju, Taman Pelangi, 80400 Johor Bahru, Malaysia</t>
  </si>
  <si>
    <t xml:space="preserve">Colombia Finca La Negrita Geisha Red Honey — Nas Jaafar Guest Bar Takeover</t>
  </si>
  <si>
    <t xml:space="preserve">Finca La Negrita</t>
  </si>
  <si>
    <t xml:space="preserve">Elderflower; Lychee; Peach; Honeycomb; Plum</t>
  </si>
  <si>
    <t xml:space="preserve">SECOND CUP OF THE SESSION — one variable moved from Entry #094 (Washed -&gt; Red Honey), everything else held. HOT: a light funk, present but controlled and not unpleasant; very fruity, somewhat floral, and clean despite the concentration. MID: opening out — bright, fruity, tropical fruit emerging. COOL: the peak of the cup. Deeply honeyed with peach; ORANGE AND LIME present but ENCAPSULATED inside the honey sugars and florals rather than sitting separate from them — reads as FRUIT PUNCH, integrated rather than discrete. Terrific persistent aftertaste. No bitterness at any phase. Loved it mid-to-cool. Excellent cup.</t>
  </si>
  <si>
    <t xml:space="preserve">STRONGEST CROSS-PROCESS EVIDENCE IN THE ARCHIVE FOR GESHA CITRUS AS A GENETIC MARKER. Second of two cups in a single session with hardware, ratio, temperature and pour structure held constant by a World Brewers Cup champion — a genuinely controlled comparison, which the archive almost never gets. Washed (#094): orange in the BODY, clean and separate. Red honey (#095): orange AND lime present but wrapped inside retained-mucilage sugars and florals. PROCESS ALTERS PRESENTATION, NOT PRESENCE — the citrus relocates rather than disappearing. BOTH CUPS CITRUS-POSITIVE UNPROMPTED: neither roaster card lists a single citrus descriptor (El Injerto: jasmine/peach/apricot/pineapple/brown sugar; La Negrita: elderflower/lychee/peach/honeycomb/plum). FERMENT BEHAVIOUR: the light hot-phase funk RESOLVED as the cup cooled rather than concentrating — at a true 1:11 in-cup a poorly managed ferment would have driven that character the other way. Controlled red honey holding clean well inside the zone where Naturals have historically failed on this palate. THERMAL INVERSION REPEATED across both processes at a mid-to-cool peak, confirming cool-phase resolution as a RATIO effect (perceptual masking at high dissolved-solid concentration) rather than lot-specific. BARISTA INTENT vs PALATE, INDEPENDENTLY MATCHED: Nas states the tight ratio targets mouthfeel, juiciness and a smooth round texture; full body and integrated fruit were reported without knowing his stated target.</t>
  </si>
  <si>
    <t xml:space="preserve">Hiritsu Coffee Roastery</t>
  </si>
  <si>
    <t xml:space="preserve">Bolivia Don Carlos Geisha Washed</t>
  </si>
  <si>
    <t xml:space="preserve">Don Carlos</t>
  </si>
  <si>
    <t xml:space="preserve">Caranavi, La Paz, Bolivia</t>
  </si>
  <si>
    <t xml:space="preserve">Filter Roast (stated on the bean card)</t>
  </si>
  <si>
    <t xml:space="preserve">Origami Dripper (20-flute) — filter shape not confirmed by the barista (cone vs flat-bottom wave), so NOT counted as flat-bottom geometry</t>
  </si>
  <si>
    <t xml:space="preserve">1:11.9 (16g : 190g water)</t>
  </si>
  <si>
    <t xml:space="preserve">30g bloom, then four pours</t>
  </si>
  <si>
    <t xml:space="preserve">Timemore Sculptor 078 (78mm Flat Burr)</t>
  </si>
  <si>
    <t xml:space="preserve">Apple; Peach; Red Currant; Plum</t>
  </si>
  <si>
    <t xml:space="preserve">THIRD GESHA OF A SINGLE DAY. HOT: stone fruit and berry arriving together; medium brightness, medium acidity; berries coat the tongue and persist after the sip. MID: mellowed and clearer, with a touch of apple and a tangy edge underneath. COOL: berries present but toned right down, persistence largely gone — little lingering on the tongue — with a very light tang remaining in the body. Informally: drank like a "diluted berry drink", meant as a compliment — light-bodied, high clarity, and ZERO BITTERNESS anywhere, which at 1:11.9 is a genuinely impressive piece of work. FIELD CORRECTION LOGGED: the mid-phase tang was FIRST WRITTEN DOWN AS LIME and corrected to RED CURRANT on reflection — the palate had already found orange twice that day and was actively hunting a third time. The apple found in the same phase supports the correction (apple and red currant are the same malic/citric acid family). NO CITRUS DETECTED. Three of the four card descriptors turned up unprompted — apple, red currant and peach; only plum stayed hidden.</t>
  </si>
  <si>
    <t xml:space="preserve">ARCHIVE FIRSTS — first BOLIVIAN GESHA and first Bolivian coffee since the Oaks Pacamara (Entry #049); first ORIGAMI at a Johor Bahru venue; first TIMEMORE SCULPTOR 078 outside Maxi Coffee Bar. ALTITUDE EVIDENCE: Caranavi at 1,550-1,650 masl produced NO citrus, matching Panama Lerida Estate (Entry #093, ECHO) at the same band — a SECOND independent data point supporting altitude as a modulator of the Gesha citrus marker, with suppression at roughly 1,600 masl and below. Contrast with the two citrus-positive Geshas earlier the same day at higher-altitude Huehuetenango and Colombian terroir. Working position: Gesha citrus is genetic but ALTITUDE-MODULATED, not an absolute varietal fingerprint. THERMAL ARC INVERTED vs the two Nas cups: peaked HOT and faded cool, where both Sweet Blossom cups peaked mid-to-cool. Attributable to brewer geometry — the Origami's twenty flutes open air channels between paper and cone wall, accelerating drawdown and shortening contact time; fast-solubilising acids and aromatics extract efficiently while the heavier melanoidin and lipid fractions that build persistence are left behind. Nas's immersion stage does the reverse by design — two opposite architectures on the same varietal, same day, same temperature. FLAT BURR PROTECTION EXTENDED DOWNWARD: no fines-migration signature at 1:11.9 on 78mm flats, extending the particle-distribution protection previously documented only at 98mm (EK43/EK43S). THIRD SUB-1:12 CUP OF THE DAY, all three clean — see the Double Shot counter-case (Entry #055, Kotowa Carolina Gesha NATURAL, 1:13.3 at 92°C, lingering bitterness). Identical ratio and temperature, opposite result; the variable that differed was PROCESS. The concentration ceiling is process-dependent and for washed Gesha it sits far below 1:15.</t>
  </si>
  <si>
    <t xml:space="preserve">HIRITSU COFFEE ROASTERY — first visit, deliberately deferred. Walked past at 09:26 that morning and NOT entered, to protect the palate for the Nas Jaafar session at 11:45; returned at 17:02 as the last stop of the day. Trading entity CK Artisan Brew Sdn Bhd; receipt address reads Taman Kebun Teh (Google and Instagram list Taman Melodies — same shophouse row, both designations in circulation). Quiet, minimalist-industrial, in-house roasting, dedicated hand-brew bar, open daily 09:00-19:00. Not busy at 17:00; sat 30-40 minutes. Eight single origins on printed cards under acrylic, RM18-RM35; three were Monteblanco lots from the same farm, varietal and yeast ferment sold as three flavour expressions (not ordered — nothing is attributable when the ferment strain is undisclosed). Barista very friendly, showed the grinder unprompted, explained the brew, and PREDICTED THE CUP BEFORE TASTING — said this lot "pours more red currant". Verified: berries led at hot and remained the identifiable note through cool. Ordered 17:07, invoice 50761, cashier LianYu. RM35 + 10% service = RM38.50 by card. Preceded by crab chettinad at 7 Spice, Danga Bay (capsaicin load — 55 minutes and water between the meal and the first sip). Departed 17:34 for the Johor Bahru checkpoint.</t>
  </si>
  <si>
    <t xml:space="preserve">Live field audit — bean card photo + counter menu photo + barista-confirmed brew parameters</t>
  </si>
  <si>
    <t xml:space="preserve">89 Jalan Beringin, Taman Kebun Teh, 80250 Johor Bahru, Malaysia</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</si>
  <si>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</si>
  <si>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</si>
  <si>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</si>
  <si>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</si>
  <si>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</si>
  <si>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</si>
  <si>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</si>
  <si>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</si>
  <si>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</si>
  <si>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</si>
  <si>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</si>
  <si>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</si>
  <si>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</si>
  <si>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</si>
  <si>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</si>
  <si>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</si>
  <si>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</si>
  <si>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</si>
  <si>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</si>
  <si>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</si>
  <si>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</si>
  <si>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</si>
  <si>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</si>
  <si>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</si>
  <si>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</si>
  <si>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</si>
  <si>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</si>
  <si>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</si>
  <si>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</si>
  <si>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</si>
  <si>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</si>
  <si>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</si>
  <si>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</si>
  <si>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</si>
  <si>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</si>
  <si>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</si>
  <si>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Panama · Boot / Hartmann / Pohl</t>
  </si>
  <si>
    <t xml:space="preserve">Colombia · El Sauce</t>
  </si>
  <si>
    <t xml:space="preserve">Colombia · Valle (Inmaculada)</t>
  </si>
  <si>
    <t xml:space="preserve">ECHO (aery x Lim Junghwan)</t>
  </si>
  <si>
    <t xml:space="preserve">Panama · Boquete (Lerida Estate)</t>
  </si>
  <si>
    <t xml:space="preserve">1 SEP · FIRST LERIDA · ZERO CITRUS</t>
  </si>
  <si>
    <t xml:space="preserve">Ecuador · Loja</t>
  </si>
  <si>
    <t xml:space="preserve">Sweet Blossom (Nas Jaafar)</t>
  </si>
  <si>
    <t xml:space="preserve">Colombia · Finca La Negrita</t>
  </si>
  <si>
    <t xml:space="preserve">🆕 2 SEP · WBrC CHAMPION POUR · CITRUS SURVIVES HONEY</t>
  </si>
  <si>
    <t xml:space="preserve">Panama · Boquete (Kotowa)</t>
  </si>
  <si>
    <t xml:space="preserve">Panama · Bambito Estate</t>
  </si>
  <si>
    <t xml:space="preserve">Guatemala · Huehuetenango (Finca El Injerto)</t>
  </si>
  <si>
    <t xml:space="preserve">🆕 2 SEP · WBrC CHAMPION POUR · 1st GUATEMALA GESHA</t>
  </si>
  <si>
    <t xml:space="preserve">Colombia · La Esmaralda</t>
  </si>
  <si>
    <t xml:space="preserve">Colombia · Huila</t>
  </si>
  <si>
    <t xml:space="preserve">Colombia · El Obraje</t>
  </si>
  <si>
    <t xml:space="preserve">★ 6-mo former #1</t>
  </si>
  <si>
    <t xml:space="preserve">Colombia · Quindío (Santa Mónica)</t>
  </si>
  <si>
    <t xml:space="preserve">Anaerobic Nat.</t>
  </si>
  <si>
    <t xml:space="preserve">Peru · Jaén</t>
  </si>
  <si>
    <t xml:space="preserve">Bolivia · Caranavi, La Paz (Don Carlos)</t>
  </si>
  <si>
    <t xml:space="preserve">🆕 2 SEP · 1st BOLIVIA GESHA · ZERO CITRUS @1,600m</t>
  </si>
  <si>
    <t xml:space="preserve">Peru · Cajamarca</t>
  </si>
  <si>
    <t xml:space="preserve">Panama · Boquerón</t>
  </si>
  <si>
    <t xml:space="preserve">Peru · Jaén, Cajamarca (Wilder Garcia)</t>
  </si>
  <si>
    <t xml:space="preserve">🆕 25 AUG · FIRST PERU-GESHA AT POCKET</t>
  </si>
  <si>
    <t xml:space="preserve">Peru · Finca Los Santos</t>
  </si>
  <si>
    <t xml:space="preserve">Panama · Boquete ("La Mariposa")</t>
  </si>
  <si>
    <t xml:space="preserve">22 AUG · FIRST JB GESHA</t>
  </si>
  <si>
    <t xml:space="preserve">Colombia · Valle (Las Margaritas)</t>
  </si>
  <si>
    <t xml:space="preserve">29 JUL 2026</t>
  </si>
  <si>
    <t xml:space="preserve">1 SEP · 5th WILDER GARCIA</t>
  </si>
  <si>
    <t xml:space="preserve">Thailand · Chiang Rai (Sirinya)</t>
  </si>
  <si>
    <t xml:space="preserve">Colombia · Valle (Las Nubes)</t>
  </si>
  <si>
    <t xml:space="preserve">Peru · Wilder Garcia</t>
  </si>
  <si>
    <t xml:space="preserve">Panama · Casa Ruiz (Berlina)</t>
  </si>
  <si>
    <t xml:space="preserve">9 AUG · CHEAPEST GESHA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</si>
  <si>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</si>
  <si>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</si>
  <si>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</si>
  <si>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</si>
  <si>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</si>
  <si>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</si>
  <si>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</si>
  <si>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</si>
  <si>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</si>
  <si>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</si>
  <si>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</si>
  <si>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</si>
  <si>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</si>
  <si>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</si>
  <si>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</si>
  <si>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</si>
  <si>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</si>
  <si>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</si>
  <si>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</si>
  <si>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</si>
  <si>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</si>
  <si>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</si>
  <si>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Indonesian terroir · syrupy body</t>
  </si>
  <si>
    <t xml:space="preserve">★  REFERENCE — Bali chapter, single-origin texture study</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</si>
  <si>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</si>
  <si>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</si>
  <si>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</si>
  <si>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</si>
  <si>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</si>
  <si>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</si>
  <si>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</si>
  <si>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</si>
  <si>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</si>
  <si>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</si>
  <si>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</si>
  <si>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</si>
  <si>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</si>
  <si>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</si>
  <si>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</si>
  <si>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NEW — Huehuetenango · El Injerto "Los Pinos" Gesha Washed poured by the 2026 World Brewers Cup champion (Entry #094)</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</si>
  <si>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</si>
  <si>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</si>
  <si>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</si>
  <si>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</si>
  <si>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</si>
  <si>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</si>
  <si>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</si>
  <si>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</si>
  <si>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</si>
  <si>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</si>
  <si>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</si>
  <si>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</si>
  <si>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</si>
  <si>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Upper edge of the Palate DNA band. Lean extraction preserves aromatic headspace; carries CGA-lactone risk on Naturals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</si>
  <si>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</si>
  <si>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</si>
  <si>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</si>
  <si>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</si>
  <si>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</si>
  <si>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</si>
  <si>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</si>
  <si>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</si>
  <si>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</si>
  <si>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</si>
  <si>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</si>
  <si>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</si>
  <si>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 SECONDARY GEOMETRY — full bed saturation before drawdown. Two classes now logged: VALVE-GATED (Hario Switch, Entry #086 August Drip) and VALVE-FREE, where the immersion phase is produced by pour timing and paper permeability alone (UFO V3, Entries #094–#095, Nas Jaafar).</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</si>
  <si>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</si>
  <si>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</si>
  <si>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</si>
  <si>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</si>
  <si>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</si>
  <si>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</si>
  <si>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</si>
  <si>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</si>
  <si>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</si>
  <si>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</si>
  <si>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</si>
  <si>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Delicate / Nordic style — Abseil 88°C constant for LAB ester preservation</t>
  </si>
  <si>
    <t xml:space="preserve">Stone fruit · berry complexity · terroir depth</t>
  </si>
  <si>
    <t xml:space="preserve">★★★★ Secondary</t>
  </si>
  <si>
    <t xml:space="preserve">90–91°C</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</si>
  <si>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</si>
  <si>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</si>
  <si>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</si>
  <si>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</si>
  <si>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</si>
  <si>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</si>
  <si>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</si>
  <si>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</si>
  <si>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</si>
  <si>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</si>
  <si>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</si>
  <si>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</si>
  <si>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</si>
  <si>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</si>
  <si>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</si>
  <si>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</si>
  <si>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</si>
  <si>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</si>
  <si>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</si>
  <si>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</si>
  <si>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</si>
  <si>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</si>
  <si>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1</t>
  </si>
  <si>
    <t xml:space="preserve">Kurasu Frinsa — honey process mucilage management</t>
  </si>
  <si>
    <t xml:space="preserve">88°C constant</t>
  </si>
  <si>
    <t xml:space="preserve">Oaks — LAB lactic ester preservation (Bolivia Pacamara)</t>
  </si>
  <si>
    <t xml:space="preserve">75→94°C (ASCENDING) 🆕</t>
  </si>
  <si>
    <t xml:space="preserve">Bayu Prawiro (WBrC 2025 runner-up) on Excelsa — inverse architecture: cool base restrains ferment, hot finish releases fruit</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</si>
  <si>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</si>
  <si>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</si>
  <si>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</si>
  <si>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</si>
  <si>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</si>
  <si>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</si>
  <si>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</si>
  <si>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</si>
  <si>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</si>
  <si>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</si>
  <si>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</si>
  <si>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</si>
  <si>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</si>
  <si>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</si>
  <si>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</si>
  <si>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</si>
  <si>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</si>
  <si>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</si>
  <si>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</si>
  <si>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</si>
  <si>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</si>
  <si>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</si>
  <si>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</si>
  <si>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</si>
  <si>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</si>
  <si>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</si>
  <si>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</si>
  <si>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</si>
  <si>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</si>
  <si>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</si>
  <si>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 OPTIMAL</t>
  </si>
  <si>
    <t xml:space="preserve">Cowpresso (Las Nubes)</t>
  </si>
  <si>
    <t xml:space="preserve">Lychee · Berry · Tropical — aggressive Natural expression</t>
  </si>
  <si>
    <t xml:space="preserve">GOOD</t>
  </si>
  <si>
    <t xml:space="preserve">&gt;1:17</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</si>
  <si>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</si>
  <si>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</si>
  <si>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</si>
  <si>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</si>
  <si>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</si>
  <si>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</si>
  <si>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</si>
  <si>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</si>
  <si>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</si>
  <si>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</si>
  <si>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</si>
  <si>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</si>
  <si>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</si>
  <si>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</si>
  <si>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</si>
  <si>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</si>
  <si>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</si>
  <si>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 · Excelsa species capture (Entry #093)</t>
  </si>
  <si>
    <t xml:space="preserve">Avg Gesha price (SGD)</t>
  </si>
  <si>
    <t xml:space="preserve">HIGH — washed Gesha clarity (Wilder Garcia)</t>
  </si>
  <si>
    <t xml:space="preserve">Avg non-Gesha price (SGD)</t>
  </si>
  <si>
    <t xml:space="preserve">Gesha price premium</t>
  </si>
  <si>
    <t xml:space="preserve">HIGHEST — Gesha heartland (Kotowa · Corpachi · Lerida Estate)</t>
  </si>
  <si>
    <t xml:space="preserve">Origins with Gesha entry</t>
  </si>
  <si>
    <t xml:space="preserve">Colombia · Peru · Panama · Ecuador · Honduras · Guatemala · Bolivia</t>
  </si>
  <si>
    <t xml:space="preserve">MED — clean washed + anaerobic contrast</t>
  </si>
  <si>
    <t xml:space="preserve">Highest-priced Gesha</t>
  </si>
  <si>
    <t xml:space="preserve">HIGH — Lactic Honey Pacamara (#049) · FIRST BOLIVIAN GESHA 2 Sep 2026 (Caranavi, Don Carlos — Entry #096); zero citrus at 1,550–1,650 masl</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</si>
  <si>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</si>
  <si>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</si>
  <si>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</si>
  <si>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</si>
  <si>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</si>
  <si>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</si>
  <si>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</si>
  <si>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</si>
  <si>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</si>
  <si>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</si>
  <si>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</si>
  <si>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</si>
  <si>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</si>
  <si>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</si>
  <si>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</si>
  <si>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NEW — Huehuetenango debut 24 Jul (El Frutal, Castillo) · FIRST GUATEMALAN GESHA 2 Sep 2026 (El Injerto "Los Pinos", Entry #094 — WBrC champion pour)</t>
  </si>
  <si>
    <t xml:space="preserve">Uganda</t>
  </si>
  <si>
    <t xml:space="preserve">NEW — Rwenzori debut 07 Aug (Kisinga, SL14/SL28 Natural) · country #15</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</si>
  <si>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</si>
  <si>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</si>
  <si>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</si>
  <si>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</si>
  <si>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</si>
  <si>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</si>
  <si>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</si>
  <si>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</si>
  <si>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</si>
  <si>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</si>
  <si>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</si>
  <si>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</si>
  <si>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</si>
  <si>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</si>
  <si>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</si>
  <si>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</si>
  <si>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</si>
  <si>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</si>
  <si>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</si>
  <si>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</si>
  <si>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</si>
  <si>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</si>
  <si>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</si>
  <si>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</si>
  <si>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</si>
  <si>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</si>
  <si>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FIRST non-Arabica (of two — see Excelsa, Entry #093)</t>
  </si>
  <si>
    <t xml:space="preserve">Entry #093 — Fluid Collective (Bayu Prawiro takeover)</t>
  </si>
  <si>
    <t xml:space="preserve">SECOND non-Arabica species in archive · &lt;1% of world production · final 10% of Bayu Prawiro's WBrC 2025 silver-medal blend</t>
  </si>
  <si>
    <t xml:space="preserve">Entry #036 — Apartment</t>
  </si>
  <si>
    <t xml:space="preserve">China Yunnan · anthocyanin clarity</t>
  </si>
  <si>
    <t xml:space="preserve">Entry #023 — Clod Coffee Bar · Entry #081 — Grey Area</t>
  </si>
  <si>
    <t xml:space="preserve">Anaerobic Washed · Unknown (La Papaya TM — pending café confirmation)</t>
  </si>
  <si>
    <t xml:space="preserve">JB cross-border audit · 2nd capture Entry #081 (Hacienda La Papaya, Loja — first non-Gesha lot from that farm; pure malic/lactone architecture, no terpene layer)</t>
  </si>
  <si>
    <t xml:space="preserve">SL14 (with SL28)</t>
  </si>
  <si>
    <t xml:space="preserve">Entry #078 — Kōhī Roastery + Coffee Bar</t>
  </si>
  <si>
    <t xml:space="preserve">First Uganda · Scott Labs selection outside Kenya — Natural process suppressed the SL28 phosphoric spine</t>
  </si>
  <si>
    <t xml:space="preserve">Batian &amp; Ruiru 11 (with SL28/SL34)</t>
  </si>
  <si>
    <t xml:space="preserve">Entry #084 — Sweet Blossom Coffee Roasters</t>
  </si>
  <si>
    <t xml:space="preserve">First modern disease-resistant Kenyan cultivars in the archive · blended with SL28 &amp; SL34 in an AB-grade lot · rounds the linear phosphoric-malic attack of pure SL selections</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</si>
  <si>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</si>
  <si>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</si>
  <si>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</si>
  <si>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</si>
  <si>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</si>
  <si>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</si>
  <si>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</si>
  <si>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</si>
  <si>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</si>
  <si>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</si>
  <si>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</si>
  <si>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</si>
  <si>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</si>
  <si>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01</t>
  </si>
  <si>
    <t xml:space="preserve">102mm flat</t>
  </si>
  <si>
    <t xml:space="preserve">🆕 LARGEST FLAT BURR IN ARCHIVE — Mizen blind burrs (no screw holes, ~18% more grinding surface vs 98mm). Official qualified filter grinder, World Brewers Cup 2026–2029. 0.5g retention, 0.04g SD. Entry #093, Bayu Prawiro takeover.</t>
  </si>
  <si>
    <t xml:space="preserve">Fluid Collective (Bayu Prawiro pop-up)</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</si>
  <si>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</si>
  <si>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</si>
  <si>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</si>
  <si>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</si>
  <si>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</si>
  <si>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</si>
  <si>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</si>
  <si>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</si>
  <si>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</si>
  <si>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high throughput, competition heritage. Was widest flat burr in archive until LAGOM 01 (102mm) entered at Entry #093.</t>
  </si>
  <si>
    <t xml:space="preserve">Homeground · Lume · Keryi · Agora · Sweet Blossom · August Drip · Pocket by Flip · ECHO</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</si>
  <si>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</si>
  <si>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</si>
  <si>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</si>
  <si>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</si>
  <si>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</si>
  <si>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</si>
  <si>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</si>
  <si>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</si>
  <si>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</si>
  <si>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</si>
  <si>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flat — Maxi Coffee Bar and Hiritsu (JB). Mid-range precision tier. Entry #096 extends the archive's flat-burr fines-migration protection DOWNWARD from 98mm to 78mm: no fines signature and zero bitterness at 1:11.9.</t>
  </si>
  <si>
    <t xml:space="preserve">Maxi Coffee Bar ×2 · Hiritsu Coffee Roastery</t>
  </si>
  <si>
    <t xml:space="preserve">FM 120mm Hybrid</t>
  </si>
  <si>
    <t xml:space="preserve">120mm hybrid</t>
  </si>
  <si>
    <t xml:space="preserve">Largest burr overall in archive (hybrid geometry) — extreme fines reduction for SL28/SL34 Kenya. Largest FLAT burr is LAGOM 01 at 102mm.</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</si>
  <si>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</si>
  <si>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</si>
  <si>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</si>
  <si>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</si>
  <si>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</si>
  <si>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</si>
  <si>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</si>
  <si>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</si>
  <si>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</si>
  <si>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</si>
  <si>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</si>
  <si>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</si>
  <si>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</si>
  <si>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</si>
  <si>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</si>
  <si>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</si>
  <si>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</si>
  <si>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(Sukun) — fines migrate to the cone apex and over-extract.  ⚠️ EXEMPTION ESTABLISHED 15 Aug 2026 (Entries #082–#083, Suzuki): with EK43S 98mm flat burrs at 1:15 / 92°C, the failure mode did NOT activate on two consecutive extended-ferment lots. The conical flag is conditional on burr quality and ratio, not on geometry alone.</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</si>
  <si>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</si>
  <si>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</si>
  <si>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</si>
  <si>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</si>
  <si>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</si>
  <si>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flat-bed. Entry #086 (August Drip) is the archive's first FULL-immersion switch protocol: valve closed, single 20-second charge, undisturbed steep to 2:50, single release.</t>
  </si>
  <si>
    <t xml:space="preserve">Automated Tap Dispenser</t>
  </si>
  <si>
    <t xml:space="preserve">❌ REJECTED CONCEPT</t>
  </si>
  <si>
    <t xml:space="preserve">Entry #045 — 2050 Coffee. Hari's verdict: automation and pourover are philosophically incompatible. Not a return target.</t>
  </si>
  <si>
    <t xml:space="preserve">  └ Solo Dripper (Mazelab — 40° wall, flat wave bed) — subset of the flat-bottom row above</t>
  </si>
  <si>
    <t xml:space="preserve">✅ FLAT-BED CLASS</t>
  </si>
  <si>
    <t xml:space="preserve">Entries #062, #067 (Pour.traits) and #081 (Grey Area) — all three on EK43S 98mm flats. Hybrid geometry: steep 40° conical walls but a FLAT wave-filter bed, so uniform path length and no apex convergence. Large central hole gives a fast drain, which is what licenses concentrate ratios without over-extraction — #081 ran 1:13.3 through-bed plus in-cup bypass with no cool-phase bitterness, vs straight 1:15 at #062/#067. PCTG plastic is thermally near-neutral (cf. Law 7). Already counted within the flat-bottom cohort above; shown here as a breakout, not an additional geometry class.</t>
  </si>
  <si>
    <t xml:space="preserve">  └ Restricted Multi-Aperture Cone (conical wall + flat FOUR-HOLE base plate)</t>
  </si>
  <si>
    <t xml:space="preserve">✅ CHOKE-IMMUNE</t>
  </si>
  <si>
    <t xml:space="preserve">Entries #084–#085 (Sweet Blossom). Four separated exits cap maximum flow rate independent of grind size, so the V60 apex-choke failure mode is structurally unavailable. Conical wall but flat-bottom drawdown behaviour — contact-time dominant. Model unidentified; logged Unknown.</t>
  </si>
  <si>
    <t xml:space="preserve">  └ UFO Dripper (Chay/Kim — 80° cone, air channels, no ribs)</t>
  </si>
  <si>
    <t xml:space="preserve">✅ HYBRID CLASS</t>
  </si>
  <si>
    <t xml:space="preserve">Two distinct UFO geometries now in the archive. UFO Dripper (Chay/Kim, 80° cone, air channels, no ribs) at ECHO, Entry #093 — flattens and widens the bed, structurally suppressing fines migration. UFO V3 at Sweet Blossom, Entries #094–#095 — the 2026 World Brewers Cup winning brewer, run by Nas Jaafar as a VALVE-FREE HYBRID: 100g percolation over 60s then 100g immersion held 25s on slow-flow type-F paper, ~10s drawdown, 165g target yield at TDS 1.20–1.25.</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</si>
  <si>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</si>
  <si>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</si>
  <si>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</si>
  <si>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</si>
  <si>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</si>
  <si>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IS BREW-ARCHITECTURE DEPENDENT, NOT A FIXED CEILING.  Thermal Shock Anaerobic Natural (Finca El Diviso, Entry #059) exceeded the fermentation ceiling under a DESCENDING temperature protocol. Thermal Shock Natural (Sumedang Excelsa, Entry #093) did NOT, under an ASCENDING 75°C→94°C protocol: the cool opening under-extracts aggressive ferment volatiles while the hot finish releases heavy sugars — funk down, fruit up. AMENDED 1 Sep 2026: the controlling variable is the architecture of the brew, not the process.</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</si>
  <si>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</si>
  <si>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Law 8:  A DUAL-PURPOSE ROAST carries a structural bitter-citrus floor onto the filter cup. When one lot is roasted light-to-mid so it serves espresso as well as filter (Kōhī, Uganda Rwenzori Kisinga, Entry #078, 07 Aug 2026), the extra development builds a naringin-type bitter-orange / pomelo layer that is ROAST INTENT, not extraction fault. Distinguish it by stability: roast-intent bitterness holds constant across all three thermal phases, while over-extraction bitterness sharpens as the cup cools. Ask the barista whether a filter lot is also on espresso before attributing a bitter finish to hardware.</t>
  </si>
  <si>
    <t xml:space="preserve">Law 9:  FERMENTATION ARCHITECTURE, NOT FERMENTATION LENGTH, GOVERNS VARIETAL EXPRESSION. Isolated at Suzuki 15 Aug 2026 on identical hardware, ratio, temperature and day — sealed ANAEROBIC fermentation (Entry #082, Jairo Arcila Gesha EF2) masked varietal and floral expression beneath berry esters, while open AEROBIC extended drying (Entry #083, Gargari Gutity Supernatural) preserved florals, citrus and tea structure. Corollary to Law 2: at 1:15 with light roast development, both architectures ran clean through cool phase — brew ratio outranks brewer geometry as the controlling variable for polyphenolic bitterness (cf. Entry #058 failing at 1:13.3 on superior flat-bottom geometry).</t>
  </si>
  <si>
    <t xml:space="preserve">Law 10: IMMERSION DECOUPLES GRIND SIZE FROM FLOW RATE. In percolation, grind governs surface area and drawdown rate simultaneously — extraction yield cannot be pursued without paying in flow, the mechanism behind the V60 apex-choke flag. With a switch valve closed there is no flow to choke: the bed cannot compact, fines cannot migrate, and colloids stay in suspension until a single release. Fineness that would be reckless in a cone (EK43S #7) is unremarkable in immersion. Proven at Entry #086, August Drip Coffee — protocol confirmed by co-owner Pei.</t>
  </si>
  <si>
    <t xml:space="preserve">Law 11: THE CONCENTRATION CEILING IS PROCESS-DEPENDENT, NOT ABSOLUTE. Entry #055 (Double Shot, Kotowa Carolina Gesha NATURAL) failed at 1:13.3 / 92°C with lingering bitterness and suppressed sweetness. Entries #094–#096 delivered three WASHED and RED HONEY Geshas at 1:11–1:11.9 / 92°C with zero bitterness in any phase — identical ratio band, identical temperature, opposite outcome. Naturals deposit polyphenols that require water volume to buffer; washed lots never carry that load, so the tolerable concentration floor sits far below the 1:15–1:17 Palate DNA band. Law 2 stands for Naturals and is hereby scoped to them.</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</si>
  <si>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</si>
  <si>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</si>
  <si>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</si>
  <si>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</si>
  <si>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</si>
  <si>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</si>
  <si>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</si>
  <si>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 Sweet Blossom (Nas Jaafar WBrC-champion takeover) · August Drip (10+ Gesha, Pei protocol) · Hiritsu</t>
  </si>
  <si>
    <t xml:space="preserve">  ☕  COMPLETE VERIFIED DIRECTORY  —  46 venues (45 visited + 1 pending)</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</si>
  <si>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</si>
  <si>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</si>
  <si>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</si>
  <si>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</si>
  <si>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</si>
  <si>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</si>
  <si>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</si>
  <si>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</si>
  <si>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</si>
  <si>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</si>
  <si>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</si>
  <si>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</si>
  <si>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</si>
  <si>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</si>
  <si>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</si>
  <si>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</si>
  <si>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</si>
  <si>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</si>
  <si>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</si>
  <si>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</si>
  <si>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</si>
  <si>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</si>
  <si>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</si>
  <si>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</si>
  <si>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</si>
  <si>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</si>
  <si>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</si>
  <si>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</si>
  <si>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</si>
  <si>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</si>
  <si>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</si>
  <si>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</si>
  <si>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</si>
  <si>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</si>
  <si>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</si>
  <si>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</si>
  <si>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</si>
  <si>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</si>
  <si>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</si>
  <si>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</si>
  <si>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</si>
  <si>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</si>
  <si>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</si>
  <si>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</si>
  <si>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</si>
  <si>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</si>
  <si>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</si>
  <si>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</si>
  <si>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</si>
  <si>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</si>
  <si>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</si>
  <si>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</si>
  <si>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</si>
  <si>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</si>
  <si>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</si>
  <si>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@flipcoffeeroasters</t>
  </si>
  <si>
    <t xml:space="preserve">2 visits · Entry #034 (19 May 2026, Ecuador La Papaya Geisha S$18) and Entry #087 (25 Aug 2026, Wilder Garcia Peru Geisha S$12) · Novotel Stevens building · EK43 98mm + ceramic V60 · ⚠️ BREW PROTOCOL IS BARISTA-DISCRETIONARY, NOT HOUSE-FIXED — temperature profile varies by who is on bar (barista-confirmed 25 Aug 2026); parameters cannot be pre-audited at this venue · address corrected 26 Aug 2026 (previously carried Oaks Coffee Co. address in error)</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</si>
  <si>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</si>
  <si>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</si>
  <si>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</si>
  <si>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</si>
  <si>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</si>
  <si>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</si>
  <si>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</si>
  <si>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</si>
  <si>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</si>
  <si>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</si>
  <si>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</si>
  <si>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</si>
  <si>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</si>
  <si>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</si>
  <si>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</si>
  <si>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</si>
  <si>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</si>
  <si>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</si>
  <si>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</si>
  <si>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</si>
  <si>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</si>
  <si>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</si>
  <si>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</si>
  <si>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</si>
  <si>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</si>
  <si>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</si>
  <si>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</si>
  <si>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</si>
  <si>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</si>
  <si>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</si>
  <si>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</si>
  <si>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</si>
  <si>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</si>
  <si>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</si>
  <si>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</si>
  <si>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</si>
  <si>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</si>
  <si>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</si>
  <si>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</si>
  <si>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</si>
  <si>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</si>
  <si>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</si>
  <si>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</si>
  <si>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</si>
  <si>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</si>
  <si>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</si>
  <si>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</si>
  <si>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</si>
  <si>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</si>
  <si>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</si>
  <si>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</si>
  <si>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</si>
  <si>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</si>
  <si>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</si>
  <si>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</si>
  <si>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</si>
  <si>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</si>
  <si>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</si>
  <si>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</si>
  <si>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</si>
  <si>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</si>
  <si>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</si>
  <si>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</si>
  <si>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</si>
  <si>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</si>
  <si>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</si>
  <si>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</si>
  <si>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</si>
  <si>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</si>
  <si>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</si>
  <si>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</si>
  <si>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</si>
  <si>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Second Double Shot branch in archive · Kampong Bahru logged separately · concentrated 1:13.x house ratio confirmed chain-wide · EK43 S + OREA flat-bottom · same building as Abseil (#01-14) · food-free, small unit, mostly outdoor bench seating</t>
  </si>
  <si>
    <t xml:space="preserve">Unknown — outlet not confirmed (5 Shenton Way #01-01 UIC Bldg S068808 · 432 Joo Chiat Rd S427647)</t>
  </si>
  <si>
    <t xml:space="preserve">@kohi_sg</t>
  </si>
  <si>
    <t xml:space="preserve">kohi-roastery.com</t>
  </si>
  <si>
    <t xml:space="preserve">Bangkok-origin roaster · first visit 07 Aug 2026 (Uganda Rwenzori Kisinga, Entry #078) · Monday morning Gesha pop-up flagged · outlet pending Hari confirmation</t>
  </si>
  <si>
    <t xml:space="preserve">@greyarea.sg</t>
  </si>
  <si>
    <t xml:space="preserve">— (Facebook page only)</t>
  </si>
  <si>
    <t xml:space="preserve">First visit 12 Aug 2026 (La Papaya TM, Entry #081) · founded by Xiang Sheng &amp; Luke, both ex-Alchemist Coffee · roasts in-house · Solo Dripper house brewer, V60 reserved for iced · closed Tuesdays</t>
  </si>
  <si>
    <t xml:space="preserve">@suzukicoffee</t>
  </si>
  <si>
    <t xml:space="preserve">suzukicoffee.com.sg</t>
  </si>
  <si>
    <t xml:space="preserve">First visit 15 Aug 2026 (Entries #082–#083) · Boon Lay industrial estate, Kyoto-teahouse interior · roasting since 1979, Sumiyaki charcoal lineage traced to Kiyoshi Suzuki's 1944 Tokyo kissaten · numbered filter selection with bean cards + house flavour map · EK43S + Hario V60 Glass at 1:15 / 92°C · two cups clean back-to-back at peak rush</t>
  </si>
  <si>
    <t xml:space="preserve">@sweetblossomcoffee</t>
  </si>
  <si>
    <t xml:space="preserve">First visit 22 Aug 2026 (Entries #084–#085) · coffee-only, no food · EK43 98mm · four-hole restricted-base cone · baristas Grace + one unnamed · RETURN 2 Sep 2026 (Entries #094–#095) for the NAS JAAFAR guest bar takeover — 2026 World Brewers Cup Champion, first Malaysian titleholder, home-town return; reservation-only three-slot format, café closed to walk-ins; barista Chee ran the floor · accepts cash or transfer only, NO CARDS; will take SGD by FAST transfer</t>
  </si>
  <si>
    <t xml:space="preserve">211 Jalan Dato Sulaiman, Taman Abad, 80250 Johor Bahru, Malaysia</t>
  </si>
  <si>
    <t xml:space="preserve">@augustdripcoffee</t>
  </si>
  <si>
    <t xml:space="preserve">First visit 22 Aug 2026 (Entry #086) · JIA Coffee House Sdn Bhd · 10+ Gesha lots on bar · co-owner Pei — full-immersion switch protocol · default JB venue</t>
  </si>
  <si>
    <t xml:space="preserve">@hiritsu.jb</t>
  </si>
  <si>
    <t xml:space="preserve">First visit 2 Sep 2026 (Entry #096) · trading entity CK Artisan Brew Sdn Bhd · in-house roasting, dedicated hand-brew bar, open daily 09:00–19:00 · Origami + Timemore Sculptor 078 (78mm flat) at 1:11.9 / 92°C · eight single origins on printed cards RM18–RM35 · ⚠️ ADDRESS DESIGNATION VARIES BY SOURCE: receipt reads Taman Kebun Teh, Google/Instagram list Taman Melodies — same shophouse row · deferred from the 09:26 morning pass to protect the palate for the Nas Jaafar session, visited 17:02</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</si>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</sst>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1">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7"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4" fontId="21" fillId="9" borderId="0" xfId="0" applyFont="true" applyBorder="fals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7"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5"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6" fillId="11" borderId="4"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8" fillId="8" borderId="4" xfId="0" applyFont="true" applyBorder="true" applyAlignment="true" applyProtection="false">
      <alignment horizontal="general" vertical="top" textRotation="0" wrapText="true" indent="0" shrinkToFit="false"/>
      <protection locked="true" hidden="false"/>
    </xf>
    <xf numFmtId="164" fontId="28" fillId="11" borderId="4"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9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548</v>
      </c>
      <c r="Q62" s="6" t="n">
        <v>9</v>
      </c>
      <c r="R62" s="4" t="s">
        <v>663</v>
      </c>
      <c r="S62" s="4" t="s">
        <v>664</v>
      </c>
      <c r="T62" s="4" t="s">
        <v>665</v>
      </c>
      <c r="U62" s="4" t="s">
        <v>666</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667</v>
      </c>
      <c r="D63" s="8" t="s">
        <v>668</v>
      </c>
      <c r="E63" s="8" t="s">
        <v>669</v>
      </c>
      <c r="F63" s="8" t="s">
        <v>670</v>
      </c>
      <c r="G63" s="8" t="s">
        <v>196</v>
      </c>
      <c r="H63" s="8" t="s">
        <v>74</v>
      </c>
      <c r="I63" s="8" t="s">
        <v>146</v>
      </c>
      <c r="J63" s="8" t="s">
        <v>671</v>
      </c>
      <c r="K63" s="8" t="n">
        <v>15</v>
      </c>
      <c r="L63" s="8" t="n">
        <v>225</v>
      </c>
      <c r="M63" s="8" t="s">
        <v>156</v>
      </c>
      <c r="N63" s="8" t="s">
        <v>672</v>
      </c>
      <c r="O63" s="8" t="s">
        <v>27</v>
      </c>
      <c r="P63" s="8" t="s">
        <v>282</v>
      </c>
      <c r="Q63" s="8" t="n">
        <v>10</v>
      </c>
      <c r="R63" s="8" t="s">
        <v>673</v>
      </c>
      <c r="S63" s="8" t="s">
        <v>674</v>
      </c>
      <c r="T63" s="8" t="s">
        <v>675</v>
      </c>
      <c r="U63" s="8" t="s">
        <v>676</v>
      </c>
      <c r="V63" s="8" t="s">
        <v>677</v>
      </c>
      <c r="W63" s="9" t="str">
        <f aca="false">IF(OR(ISNUMBER(SEARCH("gesha",G63)),ISNUMBER(SEARCH("geisha",G63))),"⭐ GESHA","")</f>
        <v>⭐ GESHA</v>
      </c>
      <c r="X63" s="8" t="s">
        <v>678</v>
      </c>
    </row>
    <row r="64" customFormat="false" ht="129.75" hidden="false" customHeight="true" outlineLevel="0" collapsed="false">
      <c r="A64" s="10" t="n">
        <v>46215</v>
      </c>
      <c r="B64" s="11" t="s">
        <v>52</v>
      </c>
      <c r="C64" s="11" t="s">
        <v>322</v>
      </c>
      <c r="D64" s="11" t="s">
        <v>679</v>
      </c>
      <c r="E64" s="11" t="s">
        <v>589</v>
      </c>
      <c r="F64" s="11" t="s">
        <v>266</v>
      </c>
      <c r="G64" s="11" t="s">
        <v>680</v>
      </c>
      <c r="H64" s="11" t="s">
        <v>58</v>
      </c>
      <c r="I64" s="11" t="s">
        <v>146</v>
      </c>
      <c r="J64" s="11" t="s">
        <v>591</v>
      </c>
      <c r="K64" s="11" t="s">
        <v>681</v>
      </c>
      <c r="L64" s="11" t="s">
        <v>682</v>
      </c>
      <c r="M64" s="11" t="s">
        <v>156</v>
      </c>
      <c r="N64" s="11" t="s">
        <v>683</v>
      </c>
      <c r="O64" s="11" t="s">
        <v>27</v>
      </c>
      <c r="P64" s="11" t="s">
        <v>684</v>
      </c>
      <c r="Q64" s="11" t="s">
        <v>685</v>
      </c>
      <c r="R64" s="11" t="s">
        <v>686</v>
      </c>
      <c r="S64" s="11" t="s">
        <v>687</v>
      </c>
      <c r="T64" s="11" t="s">
        <v>688</v>
      </c>
      <c r="U64" s="11" t="s">
        <v>689</v>
      </c>
      <c r="V64" s="11" t="s">
        <v>690</v>
      </c>
      <c r="W64" s="11" t="str">
        <f aca="false">IF(OR(ISNUMBER(SEARCH("gesha",G64)),ISNUMBER(SEARCH("geisha",G64))),"⭐ GESHA","")</f>
        <v/>
      </c>
      <c r="X64" s="11" t="s">
        <v>331</v>
      </c>
    </row>
    <row r="65" customFormat="false" ht="185.25" hidden="false" customHeight="true" outlineLevel="0" collapsed="false">
      <c r="A65" s="12" t="n">
        <v>46217</v>
      </c>
      <c r="B65" s="13" t="s">
        <v>52</v>
      </c>
      <c r="C65" s="13" t="s">
        <v>667</v>
      </c>
      <c r="D65" s="13" t="s">
        <v>691</v>
      </c>
      <c r="E65" s="13" t="s">
        <v>692</v>
      </c>
      <c r="F65" s="13" t="s">
        <v>693</v>
      </c>
      <c r="G65" s="13" t="s">
        <v>196</v>
      </c>
      <c r="H65" s="13" t="s">
        <v>58</v>
      </c>
      <c r="I65" s="13" t="s">
        <v>146</v>
      </c>
      <c r="J65" s="13" t="s">
        <v>694</v>
      </c>
      <c r="K65" s="13" t="n">
        <v>12.5</v>
      </c>
      <c r="L65" s="13" t="n">
        <v>190</v>
      </c>
      <c r="M65" s="13" t="s">
        <v>695</v>
      </c>
      <c r="N65" s="13" t="s">
        <v>696</v>
      </c>
      <c r="O65" s="13" t="s">
        <v>27</v>
      </c>
      <c r="P65" s="13" t="s">
        <v>307</v>
      </c>
      <c r="Q65" s="13" t="n">
        <v>60</v>
      </c>
      <c r="R65" s="13" t="s">
        <v>697</v>
      </c>
      <c r="S65" s="13" t="s">
        <v>698</v>
      </c>
      <c r="T65" s="13" t="s">
        <v>699</v>
      </c>
      <c r="U65" s="13" t="s">
        <v>700</v>
      </c>
      <c r="V65" s="13" t="s">
        <v>701</v>
      </c>
      <c r="W65" s="13" t="str">
        <f aca="false">IF(OR(ISNUMBER(SEARCH("gesha",G65)),ISNUMBER(SEARCH("geisha",G65))),"⭐ GESHA","")</f>
        <v>⭐ GESHA</v>
      </c>
      <c r="X65" s="13" t="s">
        <v>678</v>
      </c>
    </row>
    <row r="66" customFormat="false" ht="137.25" hidden="false" customHeight="true" outlineLevel="0" collapsed="false">
      <c r="A66" s="12" t="n">
        <v>46218</v>
      </c>
      <c r="B66" s="13" t="s">
        <v>52</v>
      </c>
      <c r="C66" s="13" t="s">
        <v>431</v>
      </c>
      <c r="D66" s="13" t="s">
        <v>702</v>
      </c>
      <c r="E66" s="13" t="s">
        <v>703</v>
      </c>
      <c r="F66" s="13" t="s">
        <v>170</v>
      </c>
      <c r="G66" s="13" t="s">
        <v>171</v>
      </c>
      <c r="H66" s="13" t="s">
        <v>58</v>
      </c>
      <c r="I66" s="13" t="s">
        <v>146</v>
      </c>
      <c r="J66" s="13" t="s">
        <v>704</v>
      </c>
      <c r="K66" s="13" t="n">
        <v>15</v>
      </c>
      <c r="L66" s="13" t="n">
        <v>210</v>
      </c>
      <c r="M66" s="13" t="s">
        <v>245</v>
      </c>
      <c r="N66" s="13" t="s">
        <v>705</v>
      </c>
      <c r="O66" s="13" t="s">
        <v>706</v>
      </c>
      <c r="P66" s="13" t="s">
        <v>307</v>
      </c>
      <c r="Q66" s="13" t="n">
        <v>12</v>
      </c>
      <c r="R66" s="13" t="s">
        <v>707</v>
      </c>
      <c r="S66" s="13" t="s">
        <v>708</v>
      </c>
      <c r="T66" s="13" t="s">
        <v>709</v>
      </c>
      <c r="U66" s="13" t="s">
        <v>710</v>
      </c>
      <c r="V66" s="13" t="s">
        <v>711</v>
      </c>
      <c r="W66" s="13" t="str">
        <f aca="false">IF(OR(ISNUMBER(SEARCH("gesha",G66)),ISNUMBER(SEARCH("geisha",G66))),"⭐ GESHA","")</f>
        <v>⭐ GESHA</v>
      </c>
      <c r="X66" s="13" t="s">
        <v>442</v>
      </c>
    </row>
    <row r="67" customFormat="false" ht="88.5" hidden="false" customHeight="true" outlineLevel="0" collapsed="false">
      <c r="A67" s="12" t="n">
        <v>46219</v>
      </c>
      <c r="B67" s="13" t="s">
        <v>52</v>
      </c>
      <c r="C67" s="13" t="s">
        <v>712</v>
      </c>
      <c r="D67" s="13" t="s">
        <v>713</v>
      </c>
      <c r="E67" s="13" t="s">
        <v>714</v>
      </c>
      <c r="F67" s="13" t="s">
        <v>715</v>
      </c>
      <c r="G67" s="13" t="s">
        <v>196</v>
      </c>
      <c r="H67" s="13" t="s">
        <v>58</v>
      </c>
      <c r="I67" s="13" t="s">
        <v>27</v>
      </c>
      <c r="J67" s="13" t="s">
        <v>716</v>
      </c>
      <c r="K67" s="13" t="n">
        <v>7</v>
      </c>
      <c r="L67" s="13" t="n">
        <v>105</v>
      </c>
      <c r="M67" s="13" t="s">
        <v>156</v>
      </c>
      <c r="N67" s="13" t="s">
        <v>717</v>
      </c>
      <c r="O67" s="13" t="s">
        <v>27</v>
      </c>
      <c r="P67" s="13" t="s">
        <v>718</v>
      </c>
      <c r="Q67" s="13" t="n">
        <v>16</v>
      </c>
      <c r="R67" s="13" t="s">
        <v>719</v>
      </c>
      <c r="S67" s="13" t="s">
        <v>720</v>
      </c>
      <c r="T67" s="13" t="s">
        <v>721</v>
      </c>
      <c r="U67" s="13" t="s">
        <v>722</v>
      </c>
      <c r="V67" s="13" t="s">
        <v>723</v>
      </c>
      <c r="W67" s="13" t="str">
        <f aca="false">IF(OR(ISNUMBER(SEARCH("gesha",G67)),ISNUMBER(SEARCH("geisha",G67))),"⭐ GESHA","")</f>
        <v>⭐ GESHA</v>
      </c>
      <c r="X67" s="13" t="s">
        <v>724</v>
      </c>
    </row>
    <row r="68" customFormat="false" ht="108" hidden="false" customHeight="true" outlineLevel="0" collapsed="false">
      <c r="A68" s="12" t="n">
        <v>46224</v>
      </c>
      <c r="B68" s="13" t="s">
        <v>52</v>
      </c>
      <c r="C68" s="13" t="s">
        <v>667</v>
      </c>
      <c r="D68" s="13" t="s">
        <v>725</v>
      </c>
      <c r="E68" s="13" t="s">
        <v>27</v>
      </c>
      <c r="F68" s="13" t="s">
        <v>726</v>
      </c>
      <c r="G68" s="13" t="s">
        <v>727</v>
      </c>
      <c r="H68" s="13" t="s">
        <v>29</v>
      </c>
      <c r="I68" s="13" t="s">
        <v>146</v>
      </c>
      <c r="J68" s="13" t="s">
        <v>728</v>
      </c>
      <c r="K68" s="13" t="s">
        <v>27</v>
      </c>
      <c r="L68" s="13" t="s">
        <v>27</v>
      </c>
      <c r="M68" s="13" t="s">
        <v>729</v>
      </c>
      <c r="N68" s="13" t="s">
        <v>27</v>
      </c>
      <c r="O68" s="13" t="s">
        <v>27</v>
      </c>
      <c r="P68" s="13" t="s">
        <v>730</v>
      </c>
      <c r="Q68" s="13" t="n">
        <v>10</v>
      </c>
      <c r="R68" s="13" t="s">
        <v>731</v>
      </c>
      <c r="S68" s="13" t="s">
        <v>732</v>
      </c>
      <c r="T68" s="13" t="s">
        <v>733</v>
      </c>
      <c r="U68" s="13" t="s">
        <v>734</v>
      </c>
      <c r="V68" s="13" t="s">
        <v>735</v>
      </c>
      <c r="W68" s="13" t="str">
        <f aca="false">IF(OR(ISNUMBER(SEARCH("gesha",G68)),ISNUMBER(SEARCH("geisha",G68))),"⭐ GESHA","")</f>
        <v/>
      </c>
      <c r="X68" s="13" t="s">
        <v>678</v>
      </c>
    </row>
    <row r="69" customFormat="false" ht="184.5" hidden="false" customHeight="true" outlineLevel="0" collapsed="false">
      <c r="A69" s="12" t="n">
        <v>46227</v>
      </c>
      <c r="B69" s="13" t="s">
        <v>52</v>
      </c>
      <c r="C69" s="13" t="s">
        <v>736</v>
      </c>
      <c r="D69" s="13" t="s">
        <v>737</v>
      </c>
      <c r="E69" s="13" t="s">
        <v>738</v>
      </c>
      <c r="F69" s="13" t="s">
        <v>739</v>
      </c>
      <c r="G69" s="13" t="s">
        <v>207</v>
      </c>
      <c r="H69" s="13" t="s">
        <v>58</v>
      </c>
      <c r="I69" s="13" t="s">
        <v>31</v>
      </c>
      <c r="J69" s="13" t="s">
        <v>740</v>
      </c>
      <c r="K69" s="13" t="n">
        <v>15</v>
      </c>
      <c r="L69" s="13" t="n">
        <v>225</v>
      </c>
      <c r="M69" s="13" t="s">
        <v>156</v>
      </c>
      <c r="N69" s="13" t="n">
        <v>90</v>
      </c>
      <c r="O69" s="13" t="s">
        <v>27</v>
      </c>
      <c r="P69" s="13" t="s">
        <v>282</v>
      </c>
      <c r="Q69" s="13" t="n">
        <v>8.5</v>
      </c>
      <c r="R69" s="13" t="s">
        <v>741</v>
      </c>
      <c r="S69" s="13" t="s">
        <v>742</v>
      </c>
      <c r="T69" s="13" t="s">
        <v>743</v>
      </c>
      <c r="U69" s="13" t="s">
        <v>744</v>
      </c>
      <c r="V69" s="13" t="s">
        <v>745</v>
      </c>
      <c r="W69" s="13" t="str">
        <f aca="false">IF(OR(ISNUMBER(SEARCH("gesha",G69)),ISNUMBER(SEARCH("geisha",G69))),"⭐ GESHA","")</f>
        <v/>
      </c>
      <c r="X69" s="13" t="s">
        <v>746</v>
      </c>
    </row>
    <row r="70" customFormat="false" ht="184.5" hidden="false" customHeight="true" outlineLevel="0" collapsed="false">
      <c r="A70" s="12" t="n">
        <v>46227</v>
      </c>
      <c r="B70" s="13" t="s">
        <v>52</v>
      </c>
      <c r="C70" s="13" t="s">
        <v>747</v>
      </c>
      <c r="D70" s="13" t="s">
        <v>748</v>
      </c>
      <c r="E70" s="13" t="s">
        <v>749</v>
      </c>
      <c r="F70" s="13" t="s">
        <v>639</v>
      </c>
      <c r="G70" s="13" t="s">
        <v>196</v>
      </c>
      <c r="H70" s="13" t="s">
        <v>29</v>
      </c>
      <c r="I70" s="13" t="s">
        <v>30</v>
      </c>
      <c r="J70" s="13" t="s">
        <v>750</v>
      </c>
      <c r="K70" s="13" t="n">
        <v>16</v>
      </c>
      <c r="L70" s="13" t="n">
        <v>272</v>
      </c>
      <c r="M70" s="13" t="s">
        <v>120</v>
      </c>
      <c r="N70" s="13" t="n">
        <v>93</v>
      </c>
      <c r="O70" s="13" t="s">
        <v>751</v>
      </c>
      <c r="P70" s="13" t="s">
        <v>307</v>
      </c>
      <c r="Q70" s="13" t="n">
        <v>12</v>
      </c>
      <c r="R70" s="13" t="s">
        <v>752</v>
      </c>
      <c r="S70" s="13" t="s">
        <v>753</v>
      </c>
      <c r="T70" s="13" t="s">
        <v>754</v>
      </c>
      <c r="U70" s="13" t="s">
        <v>755</v>
      </c>
      <c r="V70" s="13" t="s">
        <v>756</v>
      </c>
      <c r="W70" s="13" t="str">
        <f aca="false">IF(OR(ISNUMBER(SEARCH("gesha",G70)),ISNUMBER(SEARCH("geisha",G70))),"⭐ GESHA","")</f>
        <v>⭐ GESHA</v>
      </c>
      <c r="X70" s="13" t="s">
        <v>757</v>
      </c>
    </row>
    <row r="71" customFormat="false" ht="184.5" hidden="false" customHeight="true" outlineLevel="0" collapsed="false">
      <c r="A71" s="12" t="n">
        <v>46228</v>
      </c>
      <c r="B71" s="13" t="s">
        <v>52</v>
      </c>
      <c r="C71" s="13" t="s">
        <v>736</v>
      </c>
      <c r="D71" s="13" t="s">
        <v>758</v>
      </c>
      <c r="E71" s="13" t="s">
        <v>27</v>
      </c>
      <c r="F71" s="13" t="s">
        <v>759</v>
      </c>
      <c r="G71" s="13" t="s">
        <v>27</v>
      </c>
      <c r="H71" s="13" t="s">
        <v>58</v>
      </c>
      <c r="I71" s="13" t="s">
        <v>31</v>
      </c>
      <c r="J71" s="13" t="s">
        <v>740</v>
      </c>
      <c r="K71" s="13" t="n">
        <v>15</v>
      </c>
      <c r="L71" s="13" t="n">
        <v>242</v>
      </c>
      <c r="M71" s="13" t="s">
        <v>760</v>
      </c>
      <c r="N71" s="13" t="n">
        <v>90</v>
      </c>
      <c r="O71" s="13" t="s">
        <v>761</v>
      </c>
      <c r="P71" s="13" t="s">
        <v>282</v>
      </c>
      <c r="Q71" s="13" t="n">
        <v>10.5</v>
      </c>
      <c r="R71" s="13" t="s">
        <v>762</v>
      </c>
      <c r="S71" s="13" t="s">
        <v>763</v>
      </c>
      <c r="T71" s="13" t="s">
        <v>764</v>
      </c>
      <c r="U71" s="13" t="s">
        <v>765</v>
      </c>
      <c r="V71" s="13" t="s">
        <v>766</v>
      </c>
      <c r="W71" s="13" t="str">
        <f aca="false">IF(OR(ISNUMBER(SEARCH("gesha",G71)),ISNUMBER(SEARCH("geisha",G71))),"⭐ GESHA","")</f>
        <v/>
      </c>
      <c r="X71" s="13" t="s">
        <v>746</v>
      </c>
    </row>
    <row r="72" customFormat="false" ht="78.75" hidden="false" customHeight="true" outlineLevel="0" collapsed="false">
      <c r="A72" s="12" t="n">
        <v>46231</v>
      </c>
      <c r="B72" s="13" t="s">
        <v>52</v>
      </c>
      <c r="C72" s="13" t="s">
        <v>115</v>
      </c>
      <c r="D72" s="13" t="s">
        <v>767</v>
      </c>
      <c r="E72" s="13" t="s">
        <v>169</v>
      </c>
      <c r="F72" s="13" t="s">
        <v>768</v>
      </c>
      <c r="G72" s="13" t="s">
        <v>171</v>
      </c>
      <c r="H72" s="13" t="s">
        <v>58</v>
      </c>
      <c r="I72" s="13" t="s">
        <v>448</v>
      </c>
      <c r="J72" s="13" t="s">
        <v>769</v>
      </c>
      <c r="K72" s="13" t="s">
        <v>27</v>
      </c>
      <c r="L72" s="13" t="s">
        <v>27</v>
      </c>
      <c r="M72" s="13" t="s">
        <v>27</v>
      </c>
      <c r="N72" s="13" t="s">
        <v>27</v>
      </c>
      <c r="O72" s="13" t="s">
        <v>27</v>
      </c>
      <c r="P72" s="13" t="s">
        <v>326</v>
      </c>
      <c r="Q72" s="13" t="n">
        <v>9.5</v>
      </c>
      <c r="R72" s="13" t="s">
        <v>770</v>
      </c>
      <c r="S72" s="13" t="s">
        <v>771</v>
      </c>
      <c r="T72" s="13" t="s">
        <v>772</v>
      </c>
      <c r="U72" s="13" t="s">
        <v>773</v>
      </c>
      <c r="V72" s="13" t="s">
        <v>774</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775</v>
      </c>
      <c r="E73" s="13" t="s">
        <v>776</v>
      </c>
      <c r="F73" s="13" t="s">
        <v>777</v>
      </c>
      <c r="G73" s="13" t="s">
        <v>128</v>
      </c>
      <c r="H73" s="13" t="s">
        <v>58</v>
      </c>
      <c r="I73" s="13" t="s">
        <v>448</v>
      </c>
      <c r="J73" s="13" t="s">
        <v>769</v>
      </c>
      <c r="K73" s="13" t="n">
        <v>13</v>
      </c>
      <c r="L73" s="13" t="n">
        <v>215</v>
      </c>
      <c r="M73" s="13" t="s">
        <v>474</v>
      </c>
      <c r="N73" s="13" t="s">
        <v>27</v>
      </c>
      <c r="O73" s="13" t="s">
        <v>27</v>
      </c>
      <c r="P73" s="13" t="s">
        <v>326</v>
      </c>
      <c r="Q73" s="13" t="n">
        <v>9</v>
      </c>
      <c r="R73" s="13" t="s">
        <v>778</v>
      </c>
      <c r="S73" s="13" t="s">
        <v>779</v>
      </c>
      <c r="T73" s="13" t="s">
        <v>780</v>
      </c>
      <c r="U73" s="13" t="s">
        <v>781</v>
      </c>
      <c r="V73" s="13" t="s">
        <v>782</v>
      </c>
      <c r="W73" s="13" t="str">
        <f aca="false">IF(OR(ISNUMBER(SEARCH("gesha",G73)),ISNUMBER(SEARCH("geisha",G73))),"⭐ GESHA","")</f>
        <v/>
      </c>
      <c r="X73" s="13" t="s">
        <v>125</v>
      </c>
    </row>
    <row r="74" customFormat="false" ht="189.75" hidden="false" customHeight="true" outlineLevel="0" collapsed="false">
      <c r="A74" s="12" t="n">
        <v>46232</v>
      </c>
      <c r="B74" s="13" t="s">
        <v>52</v>
      </c>
      <c r="C74" s="13" t="s">
        <v>783</v>
      </c>
      <c r="D74" s="13" t="s">
        <v>784</v>
      </c>
      <c r="E74" s="13" t="s">
        <v>785</v>
      </c>
      <c r="F74" s="13" t="s">
        <v>558</v>
      </c>
      <c r="G74" s="13" t="s">
        <v>196</v>
      </c>
      <c r="H74" s="13" t="s">
        <v>404</v>
      </c>
      <c r="I74" s="13" t="s">
        <v>27</v>
      </c>
      <c r="J74" s="13" t="s">
        <v>786</v>
      </c>
      <c r="K74" s="13" t="n">
        <v>15</v>
      </c>
      <c r="L74" s="13" t="n">
        <v>225</v>
      </c>
      <c r="M74" s="13" t="s">
        <v>156</v>
      </c>
      <c r="N74" s="13" t="n">
        <v>85</v>
      </c>
      <c r="O74" s="13" t="s">
        <v>787</v>
      </c>
      <c r="P74" s="13" t="s">
        <v>282</v>
      </c>
      <c r="Q74" s="13" t="n">
        <v>10.5</v>
      </c>
      <c r="R74" s="13" t="s">
        <v>788</v>
      </c>
      <c r="S74" s="13" t="s">
        <v>789</v>
      </c>
      <c r="T74" s="13" t="s">
        <v>790</v>
      </c>
      <c r="U74" s="13" t="s">
        <v>791</v>
      </c>
      <c r="V74" s="13" t="s">
        <v>792</v>
      </c>
      <c r="W74" s="13" t="str">
        <f aca="false">IF(OR(ISNUMBER(SEARCH("gesha",G74)),ISNUMBER(SEARCH("geisha",G74))),"⭐ GESHA","")</f>
        <v>⭐ GESHA</v>
      </c>
      <c r="X74" s="13" t="s">
        <v>793</v>
      </c>
    </row>
    <row r="75" customFormat="false" ht="189.75" hidden="false" customHeight="true" outlineLevel="0" collapsed="false">
      <c r="A75" s="12" t="n">
        <v>46234</v>
      </c>
      <c r="B75" s="13" t="s">
        <v>52</v>
      </c>
      <c r="C75" s="13" t="s">
        <v>192</v>
      </c>
      <c r="D75" s="13" t="s">
        <v>794</v>
      </c>
      <c r="E75" s="13" t="s">
        <v>27</v>
      </c>
      <c r="F75" s="13" t="s">
        <v>795</v>
      </c>
      <c r="G75" s="13" t="s">
        <v>530</v>
      </c>
      <c r="H75" s="13" t="s">
        <v>58</v>
      </c>
      <c r="I75" s="13" t="s">
        <v>146</v>
      </c>
      <c r="J75" s="13" t="s">
        <v>281</v>
      </c>
      <c r="K75" s="13" t="n">
        <v>15</v>
      </c>
      <c r="L75" s="13" t="n">
        <v>225</v>
      </c>
      <c r="M75" s="13" t="s">
        <v>156</v>
      </c>
      <c r="N75" s="13" t="s">
        <v>796</v>
      </c>
      <c r="O75" s="13" t="s">
        <v>27</v>
      </c>
      <c r="P75" s="13" t="s">
        <v>149</v>
      </c>
      <c r="Q75" s="13" t="n">
        <v>10</v>
      </c>
      <c r="R75" s="13" t="s">
        <v>797</v>
      </c>
      <c r="S75" s="13" t="s">
        <v>798</v>
      </c>
      <c r="T75" s="13" t="s">
        <v>799</v>
      </c>
      <c r="U75" s="13" t="s">
        <v>800</v>
      </c>
      <c r="V75" s="13" t="s">
        <v>801</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802</v>
      </c>
      <c r="E76" s="13" t="s">
        <v>803</v>
      </c>
      <c r="F76" s="13" t="s">
        <v>693</v>
      </c>
      <c r="G76" s="13" t="s">
        <v>196</v>
      </c>
      <c r="H76" s="13" t="s">
        <v>29</v>
      </c>
      <c r="I76" s="13" t="s">
        <v>146</v>
      </c>
      <c r="J76" s="13" t="s">
        <v>591</v>
      </c>
      <c r="K76" s="13" t="s">
        <v>681</v>
      </c>
      <c r="L76" s="13" t="s">
        <v>804</v>
      </c>
      <c r="M76" s="13" t="s">
        <v>805</v>
      </c>
      <c r="N76" s="13" t="s">
        <v>806</v>
      </c>
      <c r="O76" s="13" t="s">
        <v>27</v>
      </c>
      <c r="P76" s="13" t="s">
        <v>684</v>
      </c>
      <c r="Q76" s="13" t="n">
        <v>32</v>
      </c>
      <c r="R76" s="13" t="s">
        <v>807</v>
      </c>
      <c r="S76" s="13" t="s">
        <v>808</v>
      </c>
      <c r="T76" s="13" t="s">
        <v>809</v>
      </c>
      <c r="U76" s="13" t="s">
        <v>810</v>
      </c>
      <c r="V76" s="13" t="s">
        <v>811</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812</v>
      </c>
      <c r="E77" s="13" t="s">
        <v>813</v>
      </c>
      <c r="F77" s="13" t="s">
        <v>639</v>
      </c>
      <c r="G77" s="13" t="s">
        <v>569</v>
      </c>
      <c r="H77" s="13" t="s">
        <v>58</v>
      </c>
      <c r="I77" s="13" t="s">
        <v>146</v>
      </c>
      <c r="J77" s="13" t="s">
        <v>814</v>
      </c>
      <c r="K77" s="13" t="s">
        <v>27</v>
      </c>
      <c r="L77" s="13" t="s">
        <v>27</v>
      </c>
      <c r="M77" s="13" t="s">
        <v>120</v>
      </c>
      <c r="N77" s="13" t="s">
        <v>815</v>
      </c>
      <c r="O77" s="13" t="s">
        <v>27</v>
      </c>
      <c r="P77" s="13" t="s">
        <v>387</v>
      </c>
      <c r="Q77" s="13" t="n">
        <v>7.5</v>
      </c>
      <c r="R77" s="13" t="s">
        <v>816</v>
      </c>
      <c r="S77" s="13" t="s">
        <v>817</v>
      </c>
      <c r="T77" s="13" t="s">
        <v>818</v>
      </c>
      <c r="U77" s="13" t="s">
        <v>819</v>
      </c>
      <c r="V77" s="13" t="s">
        <v>820</v>
      </c>
      <c r="W77" s="13" t="str">
        <f aca="false">IF(OR(ISNUMBER(SEARCH("gesha",G77)),ISNUMBER(SEARCH("geisha",G77))),"⭐ GESHA","")</f>
        <v/>
      </c>
      <c r="X77" s="13" t="s">
        <v>259</v>
      </c>
    </row>
    <row r="78" customFormat="false" ht="189.75" hidden="false" customHeight="true" outlineLevel="0" collapsed="false">
      <c r="A78" s="12" t="n">
        <v>46240</v>
      </c>
      <c r="B78" s="13" t="s">
        <v>52</v>
      </c>
      <c r="C78" s="13" t="s">
        <v>821</v>
      </c>
      <c r="D78" s="13" t="s">
        <v>822</v>
      </c>
      <c r="E78" s="13" t="s">
        <v>27</v>
      </c>
      <c r="F78" s="13" t="s">
        <v>823</v>
      </c>
      <c r="G78" s="13" t="s">
        <v>27</v>
      </c>
      <c r="H78" s="13" t="s">
        <v>58</v>
      </c>
      <c r="I78" s="13" t="s">
        <v>27</v>
      </c>
      <c r="J78" s="13" t="s">
        <v>824</v>
      </c>
      <c r="K78" s="13" t="n">
        <v>13</v>
      </c>
      <c r="L78" s="13" t="n">
        <v>180</v>
      </c>
      <c r="M78" s="13" t="s">
        <v>825</v>
      </c>
      <c r="N78" s="13" t="s">
        <v>826</v>
      </c>
      <c r="O78" s="13" t="s">
        <v>27</v>
      </c>
      <c r="P78" s="13" t="s">
        <v>827</v>
      </c>
      <c r="Q78" s="13" t="n">
        <v>8</v>
      </c>
      <c r="R78" s="13" t="s">
        <v>828</v>
      </c>
      <c r="S78" s="13" t="s">
        <v>829</v>
      </c>
      <c r="T78" s="13" t="s">
        <v>830</v>
      </c>
      <c r="U78" s="13" t="s">
        <v>831</v>
      </c>
      <c r="V78" s="13" t="s">
        <v>832</v>
      </c>
      <c r="W78" s="13" t="str">
        <f aca="false">IF(OR(ISNUMBER(SEARCH("gesha",G78)),ISNUMBER(SEARCH("geisha",G78))),"⭐ GESHA","")</f>
        <v/>
      </c>
      <c r="X78" s="13" t="s">
        <v>833</v>
      </c>
    </row>
    <row r="79" customFormat="false" ht="189.75" hidden="false" customHeight="true" outlineLevel="0" collapsed="false">
      <c r="A79" s="12" t="n">
        <v>46241</v>
      </c>
      <c r="B79" s="13" t="s">
        <v>52</v>
      </c>
      <c r="C79" s="13" t="s">
        <v>834</v>
      </c>
      <c r="D79" s="13" t="s">
        <v>835</v>
      </c>
      <c r="E79" s="13" t="s">
        <v>27</v>
      </c>
      <c r="F79" s="13" t="s">
        <v>836</v>
      </c>
      <c r="G79" s="13" t="s">
        <v>837</v>
      </c>
      <c r="H79" s="13" t="s">
        <v>29</v>
      </c>
      <c r="I79" s="13" t="s">
        <v>838</v>
      </c>
      <c r="J79" s="13" t="s">
        <v>839</v>
      </c>
      <c r="K79" s="13" t="n">
        <v>15</v>
      </c>
      <c r="L79" s="13" t="n">
        <v>240</v>
      </c>
      <c r="M79" s="13" t="s">
        <v>60</v>
      </c>
      <c r="N79" s="13" t="s">
        <v>840</v>
      </c>
      <c r="O79" s="13" t="s">
        <v>27</v>
      </c>
      <c r="P79" s="13" t="s">
        <v>827</v>
      </c>
      <c r="Q79" s="13" t="n">
        <v>8.5</v>
      </c>
      <c r="R79" s="13" t="s">
        <v>841</v>
      </c>
      <c r="S79" s="13" t="s">
        <v>842</v>
      </c>
      <c r="T79" s="13" t="s">
        <v>843</v>
      </c>
      <c r="U79" s="13" t="s">
        <v>844</v>
      </c>
      <c r="V79" s="13" t="s">
        <v>845</v>
      </c>
      <c r="W79" s="13" t="str">
        <f aca="false">IF(OR(ISNUMBER(SEARCH("gesha",G79)),ISNUMBER(SEARCH("geisha",G79))),"⭐ GESHA","")</f>
        <v/>
      </c>
      <c r="X79" s="13" t="s">
        <v>846</v>
      </c>
    </row>
    <row r="80" customFormat="false" ht="189.75" hidden="false" customHeight="true" outlineLevel="0" collapsed="false">
      <c r="A80" s="12" t="n">
        <v>46243</v>
      </c>
      <c r="B80" s="13" t="s">
        <v>52</v>
      </c>
      <c r="C80" s="13" t="s">
        <v>322</v>
      </c>
      <c r="D80" s="13" t="s">
        <v>847</v>
      </c>
      <c r="E80" s="13" t="s">
        <v>848</v>
      </c>
      <c r="F80" s="13" t="s">
        <v>693</v>
      </c>
      <c r="G80" s="13" t="s">
        <v>196</v>
      </c>
      <c r="H80" s="13" t="s">
        <v>58</v>
      </c>
      <c r="I80" s="13" t="s">
        <v>146</v>
      </c>
      <c r="J80" s="13" t="s">
        <v>591</v>
      </c>
      <c r="K80" s="13" t="s">
        <v>681</v>
      </c>
      <c r="L80" s="13" t="s">
        <v>682</v>
      </c>
      <c r="M80" s="13" t="s">
        <v>156</v>
      </c>
      <c r="N80" s="13" t="s">
        <v>683</v>
      </c>
      <c r="O80" s="13" t="s">
        <v>27</v>
      </c>
      <c r="P80" s="13" t="s">
        <v>684</v>
      </c>
      <c r="Q80" s="13" t="n">
        <v>9</v>
      </c>
      <c r="R80" s="13" t="s">
        <v>849</v>
      </c>
      <c r="S80" s="13" t="s">
        <v>850</v>
      </c>
      <c r="T80" s="13" t="s">
        <v>851</v>
      </c>
      <c r="U80" s="13" t="s">
        <v>852</v>
      </c>
      <c r="V80" s="13" t="s">
        <v>853</v>
      </c>
      <c r="W80" s="13" t="str">
        <f aca="false">IF(OR(ISNUMBER(SEARCH("gesha",G80)),ISNUMBER(SEARCH("geisha",G80))),"⭐ GESHA","")</f>
        <v>⭐ GESHA</v>
      </c>
      <c r="X80" s="13" t="s">
        <v>331</v>
      </c>
    </row>
    <row r="81" customFormat="false" ht="189.75" hidden="false" customHeight="true" outlineLevel="0" collapsed="false">
      <c r="A81" s="12" t="n">
        <v>46243</v>
      </c>
      <c r="B81" s="13" t="s">
        <v>52</v>
      </c>
      <c r="C81" s="13" t="s">
        <v>322</v>
      </c>
      <c r="D81" s="13" t="s">
        <v>854</v>
      </c>
      <c r="E81" s="13" t="s">
        <v>855</v>
      </c>
      <c r="F81" s="13" t="s">
        <v>135</v>
      </c>
      <c r="G81" s="13" t="s">
        <v>856</v>
      </c>
      <c r="H81" s="13" t="s">
        <v>58</v>
      </c>
      <c r="I81" s="13" t="s">
        <v>146</v>
      </c>
      <c r="J81" s="13" t="s">
        <v>591</v>
      </c>
      <c r="K81" s="13" t="s">
        <v>681</v>
      </c>
      <c r="L81" s="13" t="s">
        <v>682</v>
      </c>
      <c r="M81" s="13" t="s">
        <v>156</v>
      </c>
      <c r="N81" s="13" t="s">
        <v>683</v>
      </c>
      <c r="O81" s="13" t="s">
        <v>27</v>
      </c>
      <c r="P81" s="13" t="s">
        <v>684</v>
      </c>
      <c r="Q81" s="13" t="n">
        <v>9</v>
      </c>
      <c r="R81" s="13" t="s">
        <v>857</v>
      </c>
      <c r="S81" s="13" t="s">
        <v>858</v>
      </c>
      <c r="T81" s="13" t="s">
        <v>859</v>
      </c>
      <c r="U81" s="13" t="s">
        <v>860</v>
      </c>
      <c r="V81" s="13" t="s">
        <v>861</v>
      </c>
      <c r="W81" s="13" t="str">
        <f aca="false">IF(OR(ISNUMBER(SEARCH("gesha",G81)),ISNUMBER(SEARCH("geisha",G81))),"⭐ GESHA","")</f>
        <v/>
      </c>
      <c r="X81" s="13" t="s">
        <v>331</v>
      </c>
    </row>
    <row r="82" customFormat="false" ht="189.75" hidden="false" customHeight="true" outlineLevel="0" collapsed="false">
      <c r="A82" s="12" t="n">
        <v>46246</v>
      </c>
      <c r="B82" s="13" t="s">
        <v>52</v>
      </c>
      <c r="C82" s="13" t="s">
        <v>862</v>
      </c>
      <c r="D82" s="13" t="s">
        <v>863</v>
      </c>
      <c r="E82" s="13" t="s">
        <v>864</v>
      </c>
      <c r="F82" s="13" t="s">
        <v>335</v>
      </c>
      <c r="G82" s="13" t="s">
        <v>230</v>
      </c>
      <c r="H82" s="13" t="s">
        <v>865</v>
      </c>
      <c r="I82" s="13" t="s">
        <v>27</v>
      </c>
      <c r="J82" s="13" t="s">
        <v>866</v>
      </c>
      <c r="K82" s="13" t="n">
        <v>15</v>
      </c>
      <c r="L82" s="13" t="s">
        <v>867</v>
      </c>
      <c r="M82" s="13" t="s">
        <v>868</v>
      </c>
      <c r="N82" s="13" t="s">
        <v>27</v>
      </c>
      <c r="O82" s="13" t="s">
        <v>869</v>
      </c>
      <c r="P82" s="13" t="s">
        <v>282</v>
      </c>
      <c r="Q82" s="13" t="n">
        <v>9.5</v>
      </c>
      <c r="R82" s="13" t="s">
        <v>870</v>
      </c>
      <c r="S82" s="13" t="s">
        <v>871</v>
      </c>
      <c r="T82" s="13" t="s">
        <v>872</v>
      </c>
      <c r="U82" s="13" t="s">
        <v>873</v>
      </c>
      <c r="V82" s="13" t="s">
        <v>874</v>
      </c>
      <c r="W82" s="13" t="str">
        <f aca="false">IF(OR(ISNUMBER(SEARCH("gesha",G82)),ISNUMBER(SEARCH("geisha",G82))),"⭐ GESHA","")</f>
        <v/>
      </c>
      <c r="X82" s="13" t="s">
        <v>875</v>
      </c>
    </row>
    <row r="83" customFormat="false" ht="189.75" hidden="false" customHeight="true" outlineLevel="0" collapsed="false">
      <c r="A83" s="12" t="n">
        <v>46249</v>
      </c>
      <c r="B83" s="13" t="s">
        <v>52</v>
      </c>
      <c r="C83" s="13" t="s">
        <v>876</v>
      </c>
      <c r="D83" s="13" t="s">
        <v>877</v>
      </c>
      <c r="E83" s="13" t="s">
        <v>878</v>
      </c>
      <c r="F83" s="13" t="s">
        <v>795</v>
      </c>
      <c r="G83" s="13" t="s">
        <v>171</v>
      </c>
      <c r="H83" s="13" t="s">
        <v>879</v>
      </c>
      <c r="I83" s="13" t="s">
        <v>30</v>
      </c>
      <c r="J83" s="13" t="s">
        <v>880</v>
      </c>
      <c r="K83" s="13" t="n">
        <v>15</v>
      </c>
      <c r="L83" s="13" t="n">
        <v>225</v>
      </c>
      <c r="M83" s="13" t="s">
        <v>156</v>
      </c>
      <c r="N83" s="13" t="s">
        <v>325</v>
      </c>
      <c r="O83" s="13" t="s">
        <v>27</v>
      </c>
      <c r="P83" s="13" t="s">
        <v>282</v>
      </c>
      <c r="Q83" s="13" t="n">
        <v>13</v>
      </c>
      <c r="R83" s="13" t="s">
        <v>881</v>
      </c>
      <c r="S83" s="13" t="s">
        <v>882</v>
      </c>
      <c r="T83" s="13" t="s">
        <v>883</v>
      </c>
      <c r="U83" s="13" t="s">
        <v>884</v>
      </c>
      <c r="V83" s="13" t="s">
        <v>885</v>
      </c>
      <c r="W83" s="13" t="str">
        <f aca="false">IF(OR(ISNUMBER(SEARCH("gesha",G83)),ISNUMBER(SEARCH("geisha",G83))),"⭐ GESHA","")</f>
        <v>⭐ GESHA</v>
      </c>
      <c r="X83" s="13" t="s">
        <v>886</v>
      </c>
    </row>
    <row r="84" customFormat="false" ht="189.75" hidden="false" customHeight="true" outlineLevel="0" collapsed="false">
      <c r="A84" s="12" t="n">
        <v>46249</v>
      </c>
      <c r="B84" s="13" t="s">
        <v>52</v>
      </c>
      <c r="C84" s="13" t="s">
        <v>876</v>
      </c>
      <c r="D84" s="13" t="s">
        <v>887</v>
      </c>
      <c r="E84" s="13" t="s">
        <v>888</v>
      </c>
      <c r="F84" s="13" t="s">
        <v>517</v>
      </c>
      <c r="G84" s="13" t="s">
        <v>889</v>
      </c>
      <c r="H84" s="13" t="s">
        <v>890</v>
      </c>
      <c r="I84" s="13" t="s">
        <v>30</v>
      </c>
      <c r="J84" s="13" t="s">
        <v>880</v>
      </c>
      <c r="K84" s="13" t="n">
        <v>15</v>
      </c>
      <c r="L84" s="13" t="n">
        <v>225</v>
      </c>
      <c r="M84" s="13" t="s">
        <v>156</v>
      </c>
      <c r="N84" s="13" t="s">
        <v>325</v>
      </c>
      <c r="O84" s="13" t="s">
        <v>27</v>
      </c>
      <c r="P84" s="13" t="s">
        <v>282</v>
      </c>
      <c r="Q84" s="13" t="n">
        <v>8.5</v>
      </c>
      <c r="R84" s="13" t="s">
        <v>891</v>
      </c>
      <c r="S84" s="13" t="s">
        <v>892</v>
      </c>
      <c r="T84" s="13" t="s">
        <v>893</v>
      </c>
      <c r="U84" s="13" t="s">
        <v>894</v>
      </c>
      <c r="V84" s="13" t="s">
        <v>895</v>
      </c>
      <c r="W84" s="13" t="str">
        <f aca="false">IF(OR(ISNUMBER(SEARCH("gesha",G84)),ISNUMBER(SEARCH("geisha",G84))),"⭐ GESHA","")</f>
        <v/>
      </c>
      <c r="X84" s="13" t="s">
        <v>886</v>
      </c>
    </row>
    <row r="85" customFormat="false" ht="189.75" hidden="false" customHeight="true" outlineLevel="0" collapsed="false">
      <c r="A85" s="12" t="n">
        <v>46256</v>
      </c>
      <c r="B85" s="13" t="s">
        <v>227</v>
      </c>
      <c r="C85" s="13" t="s">
        <v>896</v>
      </c>
      <c r="D85" s="13" t="s">
        <v>897</v>
      </c>
      <c r="E85" s="13" t="s">
        <v>898</v>
      </c>
      <c r="F85" s="13" t="s">
        <v>127</v>
      </c>
      <c r="G85" s="13" t="s">
        <v>899</v>
      </c>
      <c r="H85" s="13" t="s">
        <v>58</v>
      </c>
      <c r="I85" s="13" t="s">
        <v>900</v>
      </c>
      <c r="J85" s="13" t="s">
        <v>901</v>
      </c>
      <c r="K85" s="13" t="n">
        <v>15</v>
      </c>
      <c r="L85" s="13" t="n">
        <v>240</v>
      </c>
      <c r="M85" s="13" t="s">
        <v>60</v>
      </c>
      <c r="N85" s="13" t="s">
        <v>61</v>
      </c>
      <c r="O85" s="13" t="s">
        <v>902</v>
      </c>
      <c r="P85" s="13" t="s">
        <v>307</v>
      </c>
      <c r="Q85" s="13" t="n">
        <v>6.98</v>
      </c>
      <c r="R85" s="13" t="s">
        <v>903</v>
      </c>
      <c r="S85" s="13" t="s">
        <v>904</v>
      </c>
      <c r="T85" s="13" t="s">
        <v>905</v>
      </c>
      <c r="U85" s="13" t="s">
        <v>906</v>
      </c>
      <c r="V85" s="13" t="s">
        <v>907</v>
      </c>
      <c r="W85" s="13" t="str">
        <f aca="false">IF(OR(ISNUMBER(SEARCH("gesha",G85)),ISNUMBER(SEARCH("geisha",G85))),"⭐ GESHA","")</f>
        <v/>
      </c>
      <c r="X85" s="13" t="s">
        <v>908</v>
      </c>
    </row>
    <row r="86" customFormat="false" ht="189.75" hidden="false" customHeight="true" outlineLevel="0" collapsed="false">
      <c r="A86" s="12" t="n">
        <v>46256</v>
      </c>
      <c r="B86" s="13" t="s">
        <v>227</v>
      </c>
      <c r="C86" s="13" t="s">
        <v>896</v>
      </c>
      <c r="D86" s="13" t="s">
        <v>909</v>
      </c>
      <c r="E86" s="13" t="s">
        <v>910</v>
      </c>
      <c r="F86" s="13" t="s">
        <v>911</v>
      </c>
      <c r="G86" s="13" t="s">
        <v>912</v>
      </c>
      <c r="H86" s="13" t="s">
        <v>231</v>
      </c>
      <c r="I86" s="13" t="s">
        <v>913</v>
      </c>
      <c r="J86" s="13" t="s">
        <v>901</v>
      </c>
      <c r="K86" s="13" t="n">
        <v>15</v>
      </c>
      <c r="L86" s="13" t="n">
        <v>240</v>
      </c>
      <c r="M86" s="13" t="s">
        <v>60</v>
      </c>
      <c r="N86" s="13" t="s">
        <v>61</v>
      </c>
      <c r="O86" s="13" t="s">
        <v>902</v>
      </c>
      <c r="P86" s="13" t="s">
        <v>307</v>
      </c>
      <c r="Q86" s="13" t="n">
        <v>6.67</v>
      </c>
      <c r="R86" s="13" t="s">
        <v>914</v>
      </c>
      <c r="S86" s="13" t="s">
        <v>915</v>
      </c>
      <c r="T86" s="13" t="s">
        <v>916</v>
      </c>
      <c r="U86" s="13" t="s">
        <v>917</v>
      </c>
      <c r="V86" s="13" t="s">
        <v>918</v>
      </c>
      <c r="W86" s="13" t="str">
        <f aca="false">IF(OR(ISNUMBER(SEARCH("gesha",G86)),ISNUMBER(SEARCH("geisha",G86))),"⭐ GESHA","")</f>
        <v/>
      </c>
      <c r="X86" s="13" t="s">
        <v>908</v>
      </c>
    </row>
    <row r="87" customFormat="false" ht="189.75" hidden="false" customHeight="true" outlineLevel="0" collapsed="false">
      <c r="A87" s="12" t="n">
        <v>46256</v>
      </c>
      <c r="B87" s="13" t="s">
        <v>227</v>
      </c>
      <c r="C87" s="13" t="s">
        <v>919</v>
      </c>
      <c r="D87" s="13" t="s">
        <v>920</v>
      </c>
      <c r="E87" s="13" t="s">
        <v>921</v>
      </c>
      <c r="F87" s="13" t="s">
        <v>922</v>
      </c>
      <c r="G87" s="13" t="s">
        <v>923</v>
      </c>
      <c r="H87" s="13" t="s">
        <v>74</v>
      </c>
      <c r="I87" s="13" t="s">
        <v>924</v>
      </c>
      <c r="J87" s="13" t="s">
        <v>925</v>
      </c>
      <c r="K87" s="13" t="s">
        <v>926</v>
      </c>
      <c r="L87" s="13" t="s">
        <v>927</v>
      </c>
      <c r="M87" s="13" t="s">
        <v>928</v>
      </c>
      <c r="N87" s="13" t="s">
        <v>246</v>
      </c>
      <c r="O87" s="13" t="s">
        <v>929</v>
      </c>
      <c r="P87" s="13" t="s">
        <v>930</v>
      </c>
      <c r="Q87" s="13" t="n">
        <v>11.75</v>
      </c>
      <c r="R87" s="13" t="s">
        <v>931</v>
      </c>
      <c r="S87" s="13" t="s">
        <v>932</v>
      </c>
      <c r="T87" s="13" t="s">
        <v>933</v>
      </c>
      <c r="U87" s="13" t="s">
        <v>934</v>
      </c>
      <c r="V87" s="13" t="s">
        <v>935</v>
      </c>
      <c r="W87" s="13" t="str">
        <f aca="false">IF(OR(ISNUMBER(SEARCH("gesha",G87)),ISNUMBER(SEARCH("geisha",G87))),"⭐ GESHA","")</f>
        <v>⭐ GESHA</v>
      </c>
      <c r="X87" s="13" t="s">
        <v>936</v>
      </c>
    </row>
    <row r="88" customFormat="false" ht="189.75" hidden="false" customHeight="true" outlineLevel="0" collapsed="false">
      <c r="A88" s="12" t="n">
        <v>46259</v>
      </c>
      <c r="B88" s="13" t="s">
        <v>52</v>
      </c>
      <c r="C88" s="13" t="s">
        <v>332</v>
      </c>
      <c r="D88" s="13" t="s">
        <v>937</v>
      </c>
      <c r="E88" s="13" t="s">
        <v>169</v>
      </c>
      <c r="F88" s="13" t="s">
        <v>938</v>
      </c>
      <c r="G88" s="13" t="s">
        <v>196</v>
      </c>
      <c r="H88" s="13" t="s">
        <v>58</v>
      </c>
      <c r="I88" s="13" t="s">
        <v>900</v>
      </c>
      <c r="J88" s="13" t="s">
        <v>939</v>
      </c>
      <c r="K88" s="13" t="n">
        <v>15</v>
      </c>
      <c r="L88" s="13" t="n">
        <v>225</v>
      </c>
      <c r="M88" s="13" t="s">
        <v>156</v>
      </c>
      <c r="N88" s="13" t="s">
        <v>940</v>
      </c>
      <c r="O88" s="13" t="s">
        <v>941</v>
      </c>
      <c r="P88" s="13" t="s">
        <v>942</v>
      </c>
      <c r="Q88" s="13" t="n">
        <v>12</v>
      </c>
      <c r="R88" s="13" t="s">
        <v>943</v>
      </c>
      <c r="S88" s="13" t="s">
        <v>944</v>
      </c>
      <c r="T88" s="13" t="s">
        <v>945</v>
      </c>
      <c r="U88" s="13" t="s">
        <v>946</v>
      </c>
      <c r="V88" s="13" t="s">
        <v>947</v>
      </c>
      <c r="W88" s="13" t="str">
        <f aca="false">IF(OR(ISNUMBER(SEARCH("gesha",G88)),ISNUMBER(SEARCH("geisha",G88))),"⭐ GESHA","")</f>
        <v>⭐ GESHA</v>
      </c>
      <c r="X88" s="13" t="s">
        <v>343</v>
      </c>
    </row>
    <row r="89" customFormat="false" ht="156" hidden="false" customHeight="true" outlineLevel="0" collapsed="false">
      <c r="A89" s="12" t="n">
        <v>46260</v>
      </c>
      <c r="B89" s="13" t="s">
        <v>52</v>
      </c>
      <c r="C89" s="13" t="s">
        <v>667</v>
      </c>
      <c r="D89" s="13" t="s">
        <v>948</v>
      </c>
      <c r="E89" s="13" t="s">
        <v>949</v>
      </c>
      <c r="F89" s="13" t="s">
        <v>950</v>
      </c>
      <c r="G89" s="13" t="s">
        <v>951</v>
      </c>
      <c r="H89" s="13" t="s">
        <v>952</v>
      </c>
      <c r="I89" s="13" t="s">
        <v>146</v>
      </c>
      <c r="J89" s="13" t="s">
        <v>953</v>
      </c>
      <c r="K89" s="13" t="s">
        <v>27</v>
      </c>
      <c r="L89" s="13" t="s">
        <v>27</v>
      </c>
      <c r="M89" s="13" t="s">
        <v>27</v>
      </c>
      <c r="N89" s="13" t="s">
        <v>27</v>
      </c>
      <c r="O89" s="13" t="s">
        <v>27</v>
      </c>
      <c r="P89" s="13" t="s">
        <v>953</v>
      </c>
      <c r="Q89" s="13" t="n">
        <v>10</v>
      </c>
      <c r="R89" s="13" t="s">
        <v>954</v>
      </c>
      <c r="S89" s="13" t="s">
        <v>955</v>
      </c>
      <c r="T89" s="13" t="s">
        <v>956</v>
      </c>
      <c r="U89" s="13" t="s">
        <v>957</v>
      </c>
      <c r="V89" s="13" t="s">
        <v>958</v>
      </c>
      <c r="W89" s="13" t="str">
        <f aca="false">IF(OR(ISNUMBER(SEARCH("gesha",G89)),ISNUMBER(SEARCH("geisha",G89))),"⭐ GESHA","")</f>
        <v/>
      </c>
      <c r="X89" s="13" t="s">
        <v>678</v>
      </c>
    </row>
    <row r="90" customFormat="false" ht="156" hidden="false" customHeight="true" outlineLevel="0" collapsed="false">
      <c r="A90" s="12" t="n">
        <v>46263</v>
      </c>
      <c r="B90" s="13" t="s">
        <v>52</v>
      </c>
      <c r="C90" s="13" t="s">
        <v>251</v>
      </c>
      <c r="D90" s="13" t="s">
        <v>959</v>
      </c>
      <c r="E90" s="13" t="s">
        <v>27</v>
      </c>
      <c r="F90" s="13" t="s">
        <v>639</v>
      </c>
      <c r="G90" s="13" t="s">
        <v>196</v>
      </c>
      <c r="H90" s="13" t="s">
        <v>58</v>
      </c>
      <c r="I90" s="13" t="s">
        <v>146</v>
      </c>
      <c r="J90" s="13" t="s">
        <v>814</v>
      </c>
      <c r="K90" s="13" t="s">
        <v>960</v>
      </c>
      <c r="L90" s="13" t="s">
        <v>961</v>
      </c>
      <c r="M90" s="13" t="s">
        <v>962</v>
      </c>
      <c r="N90" s="13" t="s">
        <v>963</v>
      </c>
      <c r="O90" s="13" t="s">
        <v>27</v>
      </c>
      <c r="P90" s="13" t="s">
        <v>387</v>
      </c>
      <c r="Q90" s="13" t="n">
        <v>10</v>
      </c>
      <c r="R90" s="13" t="s">
        <v>964</v>
      </c>
      <c r="S90" s="13" t="s">
        <v>965</v>
      </c>
      <c r="T90" s="13" t="s">
        <v>966</v>
      </c>
      <c r="U90" s="13" t="s">
        <v>967</v>
      </c>
      <c r="V90" s="13" t="s">
        <v>968</v>
      </c>
      <c r="W90" s="13" t="str">
        <f aca="false">IF(OR(ISNUMBER(SEARCH("gesha",G90)),ISNUMBER(SEARCH("geisha",G90))),"⭐ GESHA","")</f>
        <v>⭐ GESHA</v>
      </c>
      <c r="X90" s="13" t="s">
        <v>259</v>
      </c>
    </row>
    <row r="91" customFormat="false" ht="156" hidden="false" customHeight="true" outlineLevel="0" collapsed="false">
      <c r="A91" s="12" t="n">
        <v>46264</v>
      </c>
      <c r="B91" s="13" t="s">
        <v>52</v>
      </c>
      <c r="C91" s="13" t="s">
        <v>167</v>
      </c>
      <c r="D91" s="13" t="s">
        <v>969</v>
      </c>
      <c r="E91" s="13" t="s">
        <v>970</v>
      </c>
      <c r="F91" s="13" t="s">
        <v>938</v>
      </c>
      <c r="G91" s="13" t="s">
        <v>171</v>
      </c>
      <c r="H91" s="13" t="s">
        <v>58</v>
      </c>
      <c r="I91" s="13" t="s">
        <v>27</v>
      </c>
      <c r="J91" s="13" t="s">
        <v>27</v>
      </c>
      <c r="K91" s="13" t="s">
        <v>27</v>
      </c>
      <c r="L91" s="13" t="s">
        <v>27</v>
      </c>
      <c r="M91" s="13" t="s">
        <v>27</v>
      </c>
      <c r="N91" s="13" t="s">
        <v>27</v>
      </c>
      <c r="O91" s="13" t="s">
        <v>27</v>
      </c>
      <c r="P91" s="13" t="s">
        <v>27</v>
      </c>
      <c r="Q91" s="13" t="n">
        <v>10</v>
      </c>
      <c r="R91" s="13" t="s">
        <v>971</v>
      </c>
      <c r="S91" s="13" t="s">
        <v>972</v>
      </c>
      <c r="T91" s="13" t="s">
        <v>973</v>
      </c>
      <c r="U91" s="13" t="s">
        <v>974</v>
      </c>
      <c r="V91" s="13" t="s">
        <v>975</v>
      </c>
      <c r="W91" s="13" t="str">
        <f aca="false">IF(OR(ISNUMBER(SEARCH("gesha",G91)),ISNUMBER(SEARCH("geisha",G91))),"⭐ GESHA","")</f>
        <v>⭐ GESHA</v>
      </c>
      <c r="X91" s="13" t="s">
        <v>178</v>
      </c>
    </row>
    <row r="92" customFormat="false" ht="156" hidden="false" customHeight="true" outlineLevel="0" collapsed="false">
      <c r="A92" s="12" t="n">
        <v>46264</v>
      </c>
      <c r="B92" s="13" t="s">
        <v>52</v>
      </c>
      <c r="C92" s="13" t="s">
        <v>540</v>
      </c>
      <c r="D92" s="13" t="s">
        <v>976</v>
      </c>
      <c r="E92" s="13" t="s">
        <v>589</v>
      </c>
      <c r="F92" s="13" t="s">
        <v>266</v>
      </c>
      <c r="G92" s="13" t="s">
        <v>590</v>
      </c>
      <c r="H92" s="13" t="s">
        <v>29</v>
      </c>
      <c r="I92" s="13" t="s">
        <v>146</v>
      </c>
      <c r="J92" s="13" t="s">
        <v>545</v>
      </c>
      <c r="K92" s="13" t="n">
        <v>15</v>
      </c>
      <c r="L92" s="13" t="n">
        <v>240</v>
      </c>
      <c r="M92" s="13" t="s">
        <v>60</v>
      </c>
      <c r="N92" s="13" t="n">
        <v>90</v>
      </c>
      <c r="O92" s="13" t="s">
        <v>977</v>
      </c>
      <c r="P92" s="13" t="s">
        <v>548</v>
      </c>
      <c r="Q92" s="13" t="n">
        <v>9</v>
      </c>
      <c r="R92" s="13" t="s">
        <v>978</v>
      </c>
      <c r="S92" s="13" t="s">
        <v>979</v>
      </c>
      <c r="T92" s="13" t="s">
        <v>980</v>
      </c>
      <c r="U92" s="13" t="s">
        <v>981</v>
      </c>
      <c r="V92" s="13" t="s">
        <v>982</v>
      </c>
      <c r="W92" s="13" t="str">
        <f aca="false">IF(OR(ISNUMBER(SEARCH("gesha",G92)),ISNUMBER(SEARCH("geisha",G92))),"⭐ GESHA","")</f>
        <v/>
      </c>
      <c r="X92" s="13" t="s">
        <v>554</v>
      </c>
    </row>
    <row r="93" customFormat="false" ht="156" hidden="false" customHeight="true" outlineLevel="0" collapsed="false">
      <c r="A93" s="12" t="n">
        <v>46266</v>
      </c>
      <c r="B93" s="13" t="s">
        <v>52</v>
      </c>
      <c r="C93" s="13" t="s">
        <v>983</v>
      </c>
      <c r="D93" s="13" t="s">
        <v>984</v>
      </c>
      <c r="E93" s="13" t="s">
        <v>985</v>
      </c>
      <c r="F93" s="13" t="s">
        <v>922</v>
      </c>
      <c r="G93" s="13" t="s">
        <v>196</v>
      </c>
      <c r="H93" s="13" t="s">
        <v>58</v>
      </c>
      <c r="I93" s="13" t="s">
        <v>27</v>
      </c>
      <c r="J93" s="13" t="s">
        <v>986</v>
      </c>
      <c r="K93" s="13" t="n">
        <v>15</v>
      </c>
      <c r="L93" s="13" t="n">
        <v>240</v>
      </c>
      <c r="M93" s="13" t="s">
        <v>60</v>
      </c>
      <c r="N93" s="13" t="n">
        <v>96</v>
      </c>
      <c r="O93" s="13" t="s">
        <v>987</v>
      </c>
      <c r="P93" s="13" t="s">
        <v>282</v>
      </c>
      <c r="Q93" s="13" t="n">
        <v>18</v>
      </c>
      <c r="R93" s="13" t="s">
        <v>988</v>
      </c>
      <c r="S93" s="13" t="s">
        <v>989</v>
      </c>
      <c r="T93" s="13" t="s">
        <v>990</v>
      </c>
      <c r="U93" s="13" t="s">
        <v>991</v>
      </c>
      <c r="V93" s="13" t="s">
        <v>992</v>
      </c>
      <c r="W93" s="13" t="str">
        <f aca="false">IF(OR(ISNUMBER(SEARCH("gesha",G93)),ISNUMBER(SEARCH("geisha",G93))),"⭐ GESHA","")</f>
        <v>⭐ GESHA</v>
      </c>
      <c r="X93" s="13" t="s">
        <v>993</v>
      </c>
    </row>
    <row r="94" customFormat="false" ht="174.75" hidden="false" customHeight="true" outlineLevel="0" collapsed="false">
      <c r="A94" s="12" t="n">
        <v>46266</v>
      </c>
      <c r="B94" s="13" t="s">
        <v>52</v>
      </c>
      <c r="C94" s="13" t="s">
        <v>322</v>
      </c>
      <c r="D94" s="13" t="s">
        <v>994</v>
      </c>
      <c r="E94" s="13" t="s">
        <v>995</v>
      </c>
      <c r="F94" s="13" t="s">
        <v>996</v>
      </c>
      <c r="G94" s="13" t="s">
        <v>997</v>
      </c>
      <c r="H94" s="13" t="s">
        <v>998</v>
      </c>
      <c r="I94" s="13" t="s">
        <v>146</v>
      </c>
      <c r="J94" s="13" t="s">
        <v>375</v>
      </c>
      <c r="K94" s="13" t="s">
        <v>27</v>
      </c>
      <c r="L94" s="13" t="s">
        <v>27</v>
      </c>
      <c r="M94" s="13" t="s">
        <v>27</v>
      </c>
      <c r="N94" s="13" t="s">
        <v>999</v>
      </c>
      <c r="O94" s="13" t="s">
        <v>27</v>
      </c>
      <c r="P94" s="13" t="s">
        <v>1000</v>
      </c>
      <c r="Q94" s="13" t="n">
        <v>18</v>
      </c>
      <c r="R94" s="13" t="s">
        <v>1001</v>
      </c>
      <c r="S94" s="13" t="s">
        <v>1002</v>
      </c>
      <c r="T94" s="13" t="s">
        <v>1003</v>
      </c>
      <c r="U94" s="13" t="s">
        <v>1004</v>
      </c>
      <c r="V94" s="13" t="s">
        <v>1005</v>
      </c>
      <c r="W94" s="13" t="str">
        <f aca="false">IF(OR(ISNUMBER(SEARCH("gesha",G94)),ISNUMBER(SEARCH("geisha",G94))),"⭐ GESHA","")</f>
        <v/>
      </c>
      <c r="X94" s="13" t="s">
        <v>331</v>
      </c>
    </row>
    <row r="95" customFormat="false" ht="174.75" hidden="false" customHeight="true" outlineLevel="0" collapsed="false">
      <c r="A95" s="12" t="n">
        <v>46267</v>
      </c>
      <c r="B95" s="13" t="s">
        <v>227</v>
      </c>
      <c r="C95" s="13" t="s">
        <v>896</v>
      </c>
      <c r="D95" s="13" t="s">
        <v>1006</v>
      </c>
      <c r="E95" s="13" t="s">
        <v>1007</v>
      </c>
      <c r="F95" s="13" t="s">
        <v>739</v>
      </c>
      <c r="G95" s="13" t="s">
        <v>196</v>
      </c>
      <c r="H95" s="13" t="s">
        <v>58</v>
      </c>
      <c r="I95" s="13" t="s">
        <v>1008</v>
      </c>
      <c r="J95" s="13" t="s">
        <v>1009</v>
      </c>
      <c r="K95" s="13" t="n">
        <v>15</v>
      </c>
      <c r="L95" s="13" t="n">
        <v>165</v>
      </c>
      <c r="M95" s="13" t="s">
        <v>1010</v>
      </c>
      <c r="N95" s="13" t="n">
        <v>92</v>
      </c>
      <c r="O95" s="13" t="s">
        <v>1011</v>
      </c>
      <c r="P95" s="13" t="s">
        <v>1012</v>
      </c>
      <c r="Q95" s="13" t="n">
        <v>16</v>
      </c>
      <c r="R95" s="13" t="s">
        <v>1013</v>
      </c>
      <c r="S95" s="13" t="s">
        <v>1014</v>
      </c>
      <c r="T95" s="13" t="s">
        <v>1015</v>
      </c>
      <c r="U95" s="13" t="s">
        <v>1016</v>
      </c>
      <c r="V95" s="13" t="s">
        <v>1017</v>
      </c>
      <c r="W95" s="13" t="str">
        <f aca="false">IF(OR(ISNUMBER(SEARCH("gesha",G95)),ISNUMBER(SEARCH("geisha",G95))),"⭐ GESHA","")</f>
        <v>⭐ GESHA</v>
      </c>
      <c r="X95" s="13" t="s">
        <v>1018</v>
      </c>
    </row>
    <row r="96" customFormat="false" ht="174.75" hidden="false" customHeight="true" outlineLevel="0" collapsed="false">
      <c r="A96" s="12" t="n">
        <v>46267</v>
      </c>
      <c r="B96" s="13" t="s">
        <v>227</v>
      </c>
      <c r="C96" s="13" t="s">
        <v>896</v>
      </c>
      <c r="D96" s="13" t="s">
        <v>1019</v>
      </c>
      <c r="E96" s="13" t="s">
        <v>1020</v>
      </c>
      <c r="F96" s="13" t="s">
        <v>118</v>
      </c>
      <c r="G96" s="13" t="s">
        <v>196</v>
      </c>
      <c r="H96" s="13" t="s">
        <v>197</v>
      </c>
      <c r="I96" s="13" t="s">
        <v>1008</v>
      </c>
      <c r="J96" s="13" t="s">
        <v>1009</v>
      </c>
      <c r="K96" s="13" t="n">
        <v>15</v>
      </c>
      <c r="L96" s="13" t="n">
        <v>165</v>
      </c>
      <c r="M96" s="13" t="s">
        <v>1010</v>
      </c>
      <c r="N96" s="13" t="n">
        <v>92</v>
      </c>
      <c r="O96" s="13" t="s">
        <v>1011</v>
      </c>
      <c r="P96" s="13" t="s">
        <v>1012</v>
      </c>
      <c r="Q96" s="13" t="n">
        <v>16.2</v>
      </c>
      <c r="R96" s="13" t="s">
        <v>1021</v>
      </c>
      <c r="S96" s="13" t="s">
        <v>1022</v>
      </c>
      <c r="T96" s="13" t="s">
        <v>1023</v>
      </c>
      <c r="U96" s="13" t="s">
        <v>1016</v>
      </c>
      <c r="V96" s="13" t="s">
        <v>1017</v>
      </c>
      <c r="W96" s="13" t="str">
        <f aca="false">IF(OR(ISNUMBER(SEARCH("gesha",G96)),ISNUMBER(SEARCH("geisha",G96))),"⭐ GESHA","")</f>
        <v>⭐ GESHA</v>
      </c>
      <c r="X96" s="13" t="s">
        <v>1018</v>
      </c>
    </row>
    <row r="97" customFormat="false" ht="174.75" hidden="false" customHeight="true" outlineLevel="0" collapsed="false">
      <c r="A97" s="12" t="n">
        <v>46267</v>
      </c>
      <c r="B97" s="13" t="s">
        <v>227</v>
      </c>
      <c r="C97" s="13" t="s">
        <v>1024</v>
      </c>
      <c r="D97" s="13" t="s">
        <v>1025</v>
      </c>
      <c r="E97" s="13" t="s">
        <v>1026</v>
      </c>
      <c r="F97" s="13" t="s">
        <v>1027</v>
      </c>
      <c r="G97" s="13" t="s">
        <v>196</v>
      </c>
      <c r="H97" s="13" t="s">
        <v>58</v>
      </c>
      <c r="I97" s="13" t="s">
        <v>1028</v>
      </c>
      <c r="J97" s="13" t="s">
        <v>1029</v>
      </c>
      <c r="K97" s="13" t="n">
        <v>16</v>
      </c>
      <c r="L97" s="13" t="n">
        <v>190</v>
      </c>
      <c r="M97" s="13" t="s">
        <v>1030</v>
      </c>
      <c r="N97" s="13" t="n">
        <v>92</v>
      </c>
      <c r="O97" s="13" t="s">
        <v>1031</v>
      </c>
      <c r="P97" s="13" t="s">
        <v>1032</v>
      </c>
      <c r="Q97" s="13" t="n">
        <v>12.18</v>
      </c>
      <c r="R97" s="13" t="s">
        <v>1033</v>
      </c>
      <c r="S97" s="13" t="s">
        <v>1034</v>
      </c>
      <c r="T97" s="13" t="s">
        <v>1035</v>
      </c>
      <c r="U97" s="13" t="s">
        <v>1036</v>
      </c>
      <c r="V97" s="13" t="s">
        <v>1037</v>
      </c>
      <c r="W97" s="13" t="str">
        <f aca="false">IF(OR(ISNUMBER(SEARCH("gesha",G97)),ISNUMBER(SEARCH("geisha",G97))),"⭐ GESHA","")</f>
        <v>⭐ GESHA</v>
      </c>
      <c r="X97" s="13" t="s">
        <v>1038</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1039</v>
      </c>
      <c r="C1" s="14"/>
      <c r="D1" s="14"/>
      <c r="E1" s="14"/>
      <c r="F1" s="14"/>
      <c r="G1" s="14"/>
      <c r="H1" s="14"/>
      <c r="I1" s="14"/>
      <c r="J1" s="14"/>
      <c r="K1" s="14"/>
      <c r="L1" s="14"/>
      <c r="M1" s="14"/>
    </row>
    <row r="2" customFormat="false" ht="13.5" hidden="false" customHeight="true" outlineLevel="0" collapsed="false">
      <c r="B2" s="15" t="s">
        <v>1040</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1041</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1042</v>
      </c>
      <c r="C6" s="17"/>
      <c r="D6" s="18" t="s">
        <v>1043</v>
      </c>
      <c r="E6" s="18" t="s">
        <v>1044</v>
      </c>
      <c r="F6" s="18" t="s">
        <v>1045</v>
      </c>
      <c r="G6" s="18" t="s">
        <v>1046</v>
      </c>
      <c r="H6" s="17" t="s">
        <v>1047</v>
      </c>
      <c r="I6" s="17"/>
      <c r="J6" s="18" t="s">
        <v>1048</v>
      </c>
      <c r="K6" s="18" t="s">
        <v>1049</v>
      </c>
      <c r="L6" s="18" t="s">
        <v>1050</v>
      </c>
      <c r="M6" s="18" t="s">
        <v>1051</v>
      </c>
    </row>
    <row r="7" customFormat="false" ht="30" hidden="false" customHeight="true" outlineLevel="0" collapsed="false">
      <c r="B7" s="19" t="n">
        <f aca="false">COUNTA('Coffee Audit'!A2:A2000)</f>
        <v>96</v>
      </c>
      <c r="C7" s="19"/>
      <c r="D7" s="20" t="n">
        <f aca="false">SUMPRODUCT(('Coffee Audit'!C2:C2000&lt;&gt;"")/COUNTIF('Coffee Audit'!C2:C2000,'Coffee Audit'!C2:C2000&amp;""))</f>
        <v>46</v>
      </c>
      <c r="E7" s="20" t="n">
        <f aca="false">SUMPRODUCT(('Coffee Audit'!B2:B2000&lt;&gt;"")/COUNTIF('Coffee Audit'!B2:B2000,'Coffee Audit'!B2:B2000&amp;""))</f>
        <v>4</v>
      </c>
      <c r="F7" s="20" t="n">
        <f aca="false">COUNTIF('Coffee Audit'!W2:W2000,"⭐ GESHA")</f>
        <v>30</v>
      </c>
      <c r="G7" s="20" t="str">
        <f aca="false">TEXT(COUNTIF('Coffee Audit'!H2:H2000,"*Washed*")/COUNTA('Coffee Audit'!A2:A2000),"0%")</f>
        <v>54%</v>
      </c>
      <c r="H7" s="19" t="n">
        <f aca="false">SUM('Coffee Audit'!Q2:Q2000)</f>
        <v>942.13</v>
      </c>
      <c r="I7" s="19"/>
      <c r="J7" s="21" t="n">
        <f aca="false">AVERAGEIFS('Coffee Audit'!Q2:Q2000,'Coffee Audit'!Q2:Q2000,"&gt;0")</f>
        <v>11.776625</v>
      </c>
      <c r="K7" s="21" t="n">
        <f aca="false">AVERAGEIFS('Coffee Audit'!Q2:Q2000,'Coffee Audit'!W2:W2000,"⭐ GESHA",'Coffee Audit'!Q2:Q2000,"&gt;0")</f>
        <v>15.551</v>
      </c>
      <c r="L7" s="21" t="n">
        <f aca="false">MAX('Coffee Audit'!Q2:Q2000)</f>
        <v>60</v>
      </c>
      <c r="M7" s="22" t="n">
        <f aca="false">SUMPRODUCT(('Coffee Audit'!F2:F2000&lt;&gt;"")/COUNTIF('Coffee Audit'!F2:F2000,'Coffee Audit'!F2:F2000&amp;""))</f>
        <v>60</v>
      </c>
    </row>
    <row r="8" customFormat="false" ht="12" hidden="false" customHeight="true" outlineLevel="0" collapsed="false">
      <c r="B8" s="23" t="s">
        <v>1052</v>
      </c>
      <c r="C8" s="23"/>
      <c r="D8" s="24" t="s">
        <v>1053</v>
      </c>
      <c r="E8" s="24" t="s">
        <v>1054</v>
      </c>
      <c r="F8" s="24" t="str">
        <f aca="false">TEXT(COUNTIF('Coffee Audit'!W2:W2000,"⭐ GESHA")/COUNTA('Coffee Audit'!A2:A2000),"0%")&amp;" of archive"</f>
        <v>31% of archive</v>
      </c>
      <c r="G8" s="24" t="s">
        <v>1055</v>
      </c>
      <c r="H8" s="23" t="s">
        <v>1056</v>
      </c>
      <c r="I8" s="23"/>
      <c r="J8" s="24" t="s">
        <v>1057</v>
      </c>
      <c r="K8" s="24" t="s">
        <v>1057</v>
      </c>
      <c r="L8" s="24" t="s">
        <v>1057</v>
      </c>
      <c r="M8" s="24" t="s">
        <v>1057</v>
      </c>
    </row>
    <row r="9" customFormat="false" ht="6.75" hidden="false" customHeight="true" outlineLevel="0" collapsed="false"/>
    <row r="10" customFormat="false" ht="16.5" hidden="false" customHeight="true" outlineLevel="0" collapsed="false">
      <c r="B10" s="25" t="s">
        <v>1058</v>
      </c>
      <c r="C10" s="25"/>
      <c r="D10" s="25"/>
      <c r="E10" s="25"/>
      <c r="F10" s="25"/>
      <c r="G10" s="25"/>
      <c r="H10" s="25"/>
      <c r="I10" s="25"/>
      <c r="J10" s="25"/>
      <c r="K10" s="25"/>
      <c r="L10" s="25"/>
      <c r="M10" s="25"/>
    </row>
    <row r="11" customFormat="false" ht="12" hidden="false" customHeight="true" outlineLevel="0" collapsed="false">
      <c r="B11" s="26" t="s">
        <v>1059</v>
      </c>
      <c r="C11" s="26"/>
      <c r="D11" s="27" t="s">
        <v>1060</v>
      </c>
      <c r="E11" s="27" t="s">
        <v>1061</v>
      </c>
      <c r="F11" s="27" t="s">
        <v>1062</v>
      </c>
      <c r="G11" s="27" t="s">
        <v>1063</v>
      </c>
      <c r="H11" s="27" t="s">
        <v>1064</v>
      </c>
      <c r="I11" s="27" t="s">
        <v>1065</v>
      </c>
      <c r="J11" s="26" t="s">
        <v>1066</v>
      </c>
      <c r="K11" s="26"/>
      <c r="L11" s="26" t="s">
        <v>1067</v>
      </c>
      <c r="M11" s="26"/>
    </row>
    <row r="12" customFormat="false" ht="24" hidden="false" customHeight="true" outlineLevel="0" collapsed="false">
      <c r="B12" s="28" t="n">
        <f aca="false">INDEX('Coffee Audit'!A2:A2000,COUNTA('Coffee Audit'!A2:A2000))</f>
        <v>46267</v>
      </c>
      <c r="C12" s="28"/>
      <c r="D12" s="29" t="str">
        <f aca="false">INDEX('Coffee Audit'!C2:C2000,COUNTA('Coffee Audit'!A2:A2000))</f>
        <v>Hiritsu Coffee Roastery</v>
      </c>
      <c r="E12" s="29" t="str">
        <f aca="false">INDEX('Coffee Audit'!D2:D2000,COUNTA('Coffee Audit'!A2:A2000))</f>
        <v>Bolivia Don Carlos Geisha Washed</v>
      </c>
      <c r="F12" s="29" t="str">
        <f aca="false">INDEX('Coffee Audit'!F2:F2000,COUNTA('Coffee Audit'!A2:A2000))</f>
        <v>Caranavi, La Paz, Bolivia</v>
      </c>
      <c r="G12" s="29" t="str">
        <f aca="false">INDEX('Coffee Audit'!G2:G2000,COUNTA('Coffee Audit'!A2:A2000))</f>
        <v>Geisha</v>
      </c>
      <c r="H12" s="29" t="str">
        <f aca="false">INDEX('Coffee Audit'!H2:H2000,COUNTA('Coffee Audit'!A2:A2000))</f>
        <v>Washed</v>
      </c>
      <c r="I12" s="29" t="str">
        <f aca="false">INDEX('Coffee Audit'!M2:M2000,COUNTA('Coffee Audit'!A2:A2000))</f>
        <v>1:11.9 (16g : 190g water)</v>
      </c>
      <c r="J12" s="30" t="n">
        <f aca="false">INDEX('Coffee Audit'!N2:N2000,COUNTA('Coffee Audit'!A2:A2000))</f>
        <v>92</v>
      </c>
      <c r="K12" s="30"/>
      <c r="L12" s="31" t="n">
        <f aca="false">INDEX('Coffee Audit'!Q2:Q2000,COUNTA('Coffee Audit'!A2:A2000))</f>
        <v>12.18</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30 apex-varietal cups, ranked by price paid</v>
      </c>
      <c r="C14" s="25"/>
      <c r="D14" s="25"/>
      <c r="E14" s="25"/>
      <c r="F14" s="25"/>
      <c r="G14" s="25"/>
      <c r="H14" s="25"/>
      <c r="I14" s="25"/>
      <c r="J14" s="25"/>
      <c r="K14" s="25"/>
      <c r="L14" s="25"/>
      <c r="M14" s="25"/>
    </row>
    <row r="15" customFormat="false" ht="15" hidden="false" customHeight="true" outlineLevel="0" collapsed="false">
      <c r="B15" s="32" t="s">
        <v>1068</v>
      </c>
      <c r="C15" s="32" t="s">
        <v>1069</v>
      </c>
      <c r="D15" s="32" t="s">
        <v>1070</v>
      </c>
      <c r="E15" s="32" t="s">
        <v>7</v>
      </c>
      <c r="F15" s="32" t="s">
        <v>1071</v>
      </c>
      <c r="G15" s="33" t="s">
        <v>1072</v>
      </c>
      <c r="H15" s="33"/>
    </row>
    <row r="16" customFormat="false" ht="12.75" hidden="false" customHeight="true" outlineLevel="0" collapsed="false">
      <c r="B16" s="34" t="n">
        <v>1</v>
      </c>
      <c r="C16" s="35" t="s">
        <v>667</v>
      </c>
      <c r="D16" s="35" t="s">
        <v>1073</v>
      </c>
      <c r="E16" s="36" t="s">
        <v>58</v>
      </c>
      <c r="F16" s="37" t="n">
        <v>60</v>
      </c>
      <c r="G16" s="38" t="s">
        <v>1074</v>
      </c>
      <c r="H16" s="38"/>
    </row>
    <row r="17" customFormat="false" ht="12.75" hidden="false" customHeight="true" outlineLevel="0" collapsed="false">
      <c r="B17" s="39" t="n">
        <v>2</v>
      </c>
      <c r="C17" s="40" t="s">
        <v>322</v>
      </c>
      <c r="D17" s="40" t="s">
        <v>1075</v>
      </c>
      <c r="E17" s="41" t="s">
        <v>29</v>
      </c>
      <c r="F17" s="42" t="n">
        <v>32</v>
      </c>
      <c r="G17" s="43"/>
    </row>
    <row r="18" customFormat="false" ht="12.75" hidden="false" customHeight="true" outlineLevel="0" collapsed="false">
      <c r="B18" s="44" t="n">
        <v>3</v>
      </c>
      <c r="C18" s="45" t="s">
        <v>646</v>
      </c>
      <c r="D18" s="45" t="s">
        <v>1076</v>
      </c>
      <c r="E18" s="46" t="s">
        <v>58</v>
      </c>
      <c r="F18" s="47" t="n">
        <v>21</v>
      </c>
      <c r="G18" s="48"/>
      <c r="H18" s="48"/>
    </row>
    <row r="19" customFormat="false" ht="12.75" hidden="false" customHeight="true" outlineLevel="0" collapsed="false">
      <c r="B19" s="49" t="n">
        <v>4</v>
      </c>
      <c r="C19" s="50" t="s">
        <v>555</v>
      </c>
      <c r="D19" s="50" t="s">
        <v>1077</v>
      </c>
      <c r="E19" s="51" t="s">
        <v>29</v>
      </c>
      <c r="F19" s="52" t="n">
        <v>19</v>
      </c>
      <c r="G19" s="53"/>
      <c r="H19" s="53"/>
    </row>
    <row r="20" customFormat="false" ht="12.75" hidden="false" customHeight="true" outlineLevel="0" collapsed="false">
      <c r="B20" s="44" t="n">
        <v>5</v>
      </c>
      <c r="C20" s="45" t="s">
        <v>1078</v>
      </c>
      <c r="D20" s="45" t="s">
        <v>1079</v>
      </c>
      <c r="E20" s="46" t="s">
        <v>58</v>
      </c>
      <c r="F20" s="47" t="n">
        <v>18</v>
      </c>
      <c r="G20" s="48" t="s">
        <v>1080</v>
      </c>
      <c r="H20" s="48"/>
    </row>
    <row r="21" customFormat="false" ht="12.75" hidden="false" customHeight="true" outlineLevel="0" collapsed="false">
      <c r="B21" s="49" t="n">
        <v>6</v>
      </c>
      <c r="C21" s="50" t="s">
        <v>332</v>
      </c>
      <c r="D21" s="50" t="s">
        <v>1081</v>
      </c>
      <c r="E21" s="51" t="s">
        <v>58</v>
      </c>
      <c r="F21" s="52" t="n">
        <v>18</v>
      </c>
      <c r="G21" s="53"/>
      <c r="H21" s="53"/>
    </row>
    <row r="22" customFormat="false" ht="12.75" hidden="false" customHeight="true" outlineLevel="0" collapsed="false">
      <c r="B22" s="44" t="n">
        <v>7</v>
      </c>
      <c r="C22" s="45" t="s">
        <v>1082</v>
      </c>
      <c r="D22" s="45" t="s">
        <v>1083</v>
      </c>
      <c r="E22" s="46" t="s">
        <v>197</v>
      </c>
      <c r="F22" s="47" t="n">
        <v>16.2</v>
      </c>
      <c r="G22" s="48" t="s">
        <v>1084</v>
      </c>
      <c r="H22" s="48"/>
    </row>
    <row r="23" customFormat="false" ht="12.75" hidden="false" customHeight="true" outlineLevel="0" collapsed="false">
      <c r="B23" s="49" t="n">
        <v>8</v>
      </c>
      <c r="C23" s="50" t="s">
        <v>622</v>
      </c>
      <c r="D23" s="50" t="s">
        <v>1085</v>
      </c>
      <c r="E23" s="51" t="s">
        <v>29</v>
      </c>
      <c r="F23" s="52" t="n">
        <v>16</v>
      </c>
      <c r="G23" s="53"/>
      <c r="H23" s="53"/>
    </row>
    <row r="24" customFormat="false" ht="12.75" hidden="false" customHeight="true" outlineLevel="0" collapsed="false">
      <c r="B24" s="44" t="n">
        <v>9</v>
      </c>
      <c r="C24" s="45" t="s">
        <v>712</v>
      </c>
      <c r="D24" s="45" t="s">
        <v>1086</v>
      </c>
      <c r="E24" s="46" t="s">
        <v>58</v>
      </c>
      <c r="F24" s="47" t="n">
        <v>16</v>
      </c>
      <c r="G24" s="48"/>
      <c r="H24" s="48"/>
    </row>
    <row r="25" customFormat="false" ht="12.75" hidden="false" customHeight="true" outlineLevel="0" collapsed="false">
      <c r="B25" s="49" t="n">
        <v>10</v>
      </c>
      <c r="C25" s="50" t="s">
        <v>1082</v>
      </c>
      <c r="D25" s="50" t="s">
        <v>1087</v>
      </c>
      <c r="E25" s="51" t="s">
        <v>58</v>
      </c>
      <c r="F25" s="52" t="n">
        <v>16</v>
      </c>
      <c r="G25" s="53" t="s">
        <v>1088</v>
      </c>
      <c r="H25" s="53"/>
    </row>
    <row r="26" customFormat="false" ht="12.75" hidden="false" customHeight="true" outlineLevel="0" collapsed="false">
      <c r="B26" s="44" t="n">
        <v>11</v>
      </c>
      <c r="C26" s="45" t="s">
        <v>401</v>
      </c>
      <c r="D26" s="45" t="s">
        <v>1089</v>
      </c>
      <c r="E26" s="46" t="s">
        <v>404</v>
      </c>
      <c r="F26" s="47" t="n">
        <v>15</v>
      </c>
      <c r="G26" s="48"/>
      <c r="H26" s="48"/>
    </row>
    <row r="27" customFormat="false" ht="12.75" hidden="false" customHeight="true" outlineLevel="0" collapsed="false">
      <c r="B27" s="39" t="n">
        <v>12</v>
      </c>
      <c r="C27" s="40" t="s">
        <v>607</v>
      </c>
      <c r="D27" s="40" t="s">
        <v>1090</v>
      </c>
      <c r="E27" s="41" t="s">
        <v>404</v>
      </c>
      <c r="F27" s="42" t="n">
        <v>15</v>
      </c>
      <c r="G27" s="43"/>
    </row>
    <row r="28" customFormat="false" ht="12.75" hidden="false" customHeight="true" outlineLevel="0" collapsed="false">
      <c r="B28" s="49" t="n">
        <v>13</v>
      </c>
      <c r="C28" s="50" t="s">
        <v>322</v>
      </c>
      <c r="D28" s="50" t="s">
        <v>1091</v>
      </c>
      <c r="E28" s="51" t="s">
        <v>58</v>
      </c>
      <c r="F28" s="52" t="n">
        <v>14</v>
      </c>
      <c r="G28" s="53" t="s">
        <v>1092</v>
      </c>
      <c r="H28" s="53"/>
    </row>
    <row r="29" customFormat="false" ht="12.75" hidden="false" customHeight="true" outlineLevel="0" collapsed="false">
      <c r="B29" s="44" t="n">
        <v>14</v>
      </c>
      <c r="C29" s="45" t="s">
        <v>431</v>
      </c>
      <c r="D29" s="45" t="s">
        <v>1090</v>
      </c>
      <c r="E29" s="46" t="s">
        <v>58</v>
      </c>
      <c r="F29" s="47" t="n">
        <v>13</v>
      </c>
      <c r="G29" s="48"/>
      <c r="H29" s="48"/>
    </row>
    <row r="30" customFormat="false" ht="12.75" hidden="false" customHeight="true" outlineLevel="0" collapsed="false">
      <c r="B30" s="49" t="n">
        <v>15</v>
      </c>
      <c r="C30" s="50" t="s">
        <v>876</v>
      </c>
      <c r="D30" s="50" t="s">
        <v>1093</v>
      </c>
      <c r="E30" s="51" t="s">
        <v>1094</v>
      </c>
      <c r="F30" s="52" t="n">
        <v>13</v>
      </c>
      <c r="G30" s="53"/>
      <c r="H30" s="53"/>
    </row>
    <row r="31" customFormat="false" ht="12.75" hidden="false" customHeight="true" outlineLevel="0" collapsed="false">
      <c r="B31" s="44" t="n">
        <v>16</v>
      </c>
      <c r="C31" s="45" t="s">
        <v>167</v>
      </c>
      <c r="D31" s="45" t="s">
        <v>1095</v>
      </c>
      <c r="E31" s="46" t="s">
        <v>58</v>
      </c>
      <c r="F31" s="47" t="n">
        <v>12.5</v>
      </c>
      <c r="G31" s="48"/>
      <c r="H31" s="48"/>
    </row>
    <row r="32" customFormat="false" ht="12.75" hidden="false" customHeight="true" outlineLevel="0" collapsed="false">
      <c r="B32" s="39" t="n">
        <v>17</v>
      </c>
      <c r="C32" s="40" t="s">
        <v>1024</v>
      </c>
      <c r="D32" s="40" t="s">
        <v>1096</v>
      </c>
      <c r="E32" s="41" t="s">
        <v>58</v>
      </c>
      <c r="F32" s="42" t="n">
        <v>12.18</v>
      </c>
      <c r="G32" s="43" t="s">
        <v>1097</v>
      </c>
    </row>
    <row r="33" customFormat="false" ht="12.75" hidden="false" customHeight="true" outlineLevel="0" collapsed="false">
      <c r="B33" s="49" t="n">
        <v>18</v>
      </c>
      <c r="C33" s="50" t="s">
        <v>431</v>
      </c>
      <c r="D33" s="50" t="s">
        <v>1098</v>
      </c>
      <c r="E33" s="51" t="s">
        <v>58</v>
      </c>
      <c r="F33" s="52" t="n">
        <v>12</v>
      </c>
      <c r="G33" s="53"/>
      <c r="H33" s="53"/>
    </row>
    <row r="34" customFormat="false" ht="12.75" hidden="false" customHeight="true" outlineLevel="0" collapsed="false">
      <c r="B34" s="54" t="n">
        <v>19</v>
      </c>
      <c r="C34" s="55" t="s">
        <v>192</v>
      </c>
      <c r="D34" s="55" t="s">
        <v>1099</v>
      </c>
      <c r="E34" s="56" t="s">
        <v>197</v>
      </c>
      <c r="F34" s="57" t="n">
        <v>12</v>
      </c>
      <c r="G34" s="58"/>
      <c r="H34" s="58"/>
    </row>
    <row r="35" customFormat="false" ht="12.75" hidden="false" customHeight="true" outlineLevel="0" collapsed="false">
      <c r="B35" s="49" t="n">
        <v>20</v>
      </c>
      <c r="C35" s="50" t="s">
        <v>332</v>
      </c>
      <c r="D35" s="50" t="s">
        <v>1100</v>
      </c>
      <c r="E35" s="51" t="s">
        <v>58</v>
      </c>
      <c r="F35" s="52" t="n">
        <v>12</v>
      </c>
      <c r="G35" s="53" t="s">
        <v>1101</v>
      </c>
      <c r="H35" s="53"/>
    </row>
    <row r="36" customFormat="false" ht="12.75" hidden="false" customHeight="true" outlineLevel="0" collapsed="false">
      <c r="B36" s="44" t="n">
        <v>21</v>
      </c>
      <c r="C36" s="45" t="s">
        <v>747</v>
      </c>
      <c r="D36" s="45" t="s">
        <v>1102</v>
      </c>
      <c r="E36" s="46" t="s">
        <v>29</v>
      </c>
      <c r="F36" s="47" t="n">
        <v>12</v>
      </c>
      <c r="G36" s="48"/>
      <c r="H36" s="48"/>
    </row>
    <row r="37" customFormat="false" ht="12.75" hidden="false" customHeight="true" outlineLevel="0" collapsed="false">
      <c r="B37" s="49" t="n">
        <v>22</v>
      </c>
      <c r="C37" s="50" t="s">
        <v>919</v>
      </c>
      <c r="D37" s="50" t="s">
        <v>1103</v>
      </c>
      <c r="E37" s="51" t="s">
        <v>1094</v>
      </c>
      <c r="F37" s="52" t="n">
        <v>11.75</v>
      </c>
      <c r="G37" s="53" t="s">
        <v>1104</v>
      </c>
      <c r="H37" s="53"/>
    </row>
    <row r="38" customFormat="false" ht="12.75" hidden="false" customHeight="true" outlineLevel="0" collapsed="false">
      <c r="B38" s="49" t="n">
        <v>23</v>
      </c>
      <c r="C38" s="50" t="s">
        <v>167</v>
      </c>
      <c r="D38" s="50" t="s">
        <v>1098</v>
      </c>
      <c r="E38" s="51" t="s">
        <v>58</v>
      </c>
      <c r="F38" s="49" t="n">
        <v>11</v>
      </c>
      <c r="G38" s="59"/>
    </row>
    <row r="39" customFormat="false" ht="12.75" hidden="false" customHeight="true" outlineLevel="0" collapsed="false">
      <c r="B39" s="49" t="n">
        <v>24</v>
      </c>
      <c r="C39" s="50" t="s">
        <v>783</v>
      </c>
      <c r="D39" s="50" t="s">
        <v>1105</v>
      </c>
      <c r="E39" s="51" t="s">
        <v>404</v>
      </c>
      <c r="F39" s="49" t="n">
        <v>10.5</v>
      </c>
      <c r="G39" s="59" t="s">
        <v>1106</v>
      </c>
    </row>
    <row r="40" customFormat="false" ht="12.75" hidden="false" customHeight="true" outlineLevel="0" collapsed="false">
      <c r="B40" s="49" t="n">
        <v>25</v>
      </c>
      <c r="C40" s="50" t="s">
        <v>167</v>
      </c>
      <c r="D40" s="50" t="s">
        <v>1100</v>
      </c>
      <c r="E40" s="51" t="s">
        <v>58</v>
      </c>
      <c r="F40" s="49" t="n">
        <v>10</v>
      </c>
      <c r="G40" s="59" t="s">
        <v>1107</v>
      </c>
    </row>
    <row r="41" customFormat="false" ht="12.75" hidden="false" customHeight="true" outlineLevel="0" collapsed="false">
      <c r="B41" s="49" t="n">
        <v>26</v>
      </c>
      <c r="C41" s="50" t="s">
        <v>251</v>
      </c>
      <c r="D41" s="50" t="s">
        <v>1100</v>
      </c>
      <c r="E41" s="51" t="s">
        <v>58</v>
      </c>
      <c r="F41" s="49" t="n">
        <v>10</v>
      </c>
      <c r="G41" s="59"/>
    </row>
    <row r="42" customFormat="false" ht="12.75" hidden="false" customHeight="true" outlineLevel="0" collapsed="false">
      <c r="B42" s="49" t="n">
        <v>27</v>
      </c>
      <c r="C42" s="50" t="s">
        <v>667</v>
      </c>
      <c r="D42" s="50" t="s">
        <v>1108</v>
      </c>
      <c r="E42" s="51" t="s">
        <v>1094</v>
      </c>
      <c r="F42" s="49" t="n">
        <v>10</v>
      </c>
      <c r="G42" s="53"/>
      <c r="H42" s="53"/>
    </row>
    <row r="43" customFormat="false" ht="12.75" hidden="false" customHeight="true" outlineLevel="0" collapsed="false">
      <c r="B43" s="49" t="n">
        <v>28</v>
      </c>
      <c r="C43" s="50" t="s">
        <v>577</v>
      </c>
      <c r="D43" s="50" t="s">
        <v>1109</v>
      </c>
      <c r="E43" s="51" t="s">
        <v>29</v>
      </c>
      <c r="F43" s="49" t="n">
        <v>9.9</v>
      </c>
      <c r="G43" s="53"/>
      <c r="H43" s="53"/>
    </row>
    <row r="44" customFormat="false" ht="12.75" hidden="false" customHeight="true" outlineLevel="0" collapsed="false">
      <c r="B44" s="49" t="n">
        <v>29</v>
      </c>
      <c r="C44" s="50" t="s">
        <v>115</v>
      </c>
      <c r="D44" s="50" t="s">
        <v>1110</v>
      </c>
      <c r="E44" s="51" t="s">
        <v>58</v>
      </c>
      <c r="F44" s="49" t="n">
        <v>9.5</v>
      </c>
      <c r="G44" s="53"/>
      <c r="H44" s="53"/>
    </row>
    <row r="45" customFormat="false" ht="12.75" hidden="false" customHeight="true" outlineLevel="0" collapsed="false">
      <c r="B45" s="49" t="n">
        <v>30</v>
      </c>
      <c r="C45" s="50" t="s">
        <v>322</v>
      </c>
      <c r="D45" s="50" t="s">
        <v>1111</v>
      </c>
      <c r="E45" s="51" t="s">
        <v>58</v>
      </c>
      <c r="F45" s="49" t="n">
        <v>9</v>
      </c>
      <c r="G45" s="53" t="s">
        <v>1112</v>
      </c>
      <c r="H45" s="53"/>
    </row>
    <row r="46" customFormat="false" ht="15" hidden="false" customHeight="true" outlineLevel="0" collapsed="false">
      <c r="B46" s="60"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S$15.55   vs   non-Gesha S$9.51   =   +63% premium   ·   30 of 96 cups (31%) are the apex varietal</v>
      </c>
      <c r="C46" s="60"/>
      <c r="D46" s="60"/>
      <c r="E46" s="60"/>
      <c r="F46" s="60"/>
      <c r="G46" s="60"/>
      <c r="H46" s="60"/>
      <c r="I46" s="60"/>
      <c r="J46" s="60"/>
      <c r="K46" s="60"/>
      <c r="L46" s="60"/>
      <c r="M46" s="60"/>
    </row>
    <row r="47" customFormat="false" ht="12.75" hidden="false" customHeight="true" outlineLevel="0" collapsed="false">
      <c r="F47" s="61"/>
      <c r="G47" s="61"/>
      <c r="H47" s="61"/>
      <c r="I47" s="61"/>
      <c r="J47" s="61"/>
      <c r="K47" s="61"/>
      <c r="L47" s="61"/>
      <c r="M47" s="61"/>
    </row>
    <row r="48" customFormat="false" ht="12.75" hidden="false" customHeight="true" outlineLevel="0" collapsed="false">
      <c r="B48" s="62" t="s">
        <v>1113</v>
      </c>
      <c r="F48" s="61"/>
      <c r="G48" s="61"/>
      <c r="H48" s="61"/>
      <c r="I48" s="61"/>
      <c r="J48" s="61"/>
      <c r="K48" s="61"/>
      <c r="L48" s="61"/>
      <c r="M48" s="61"/>
    </row>
    <row r="49" customFormat="false" ht="12.75" hidden="false" customHeight="true" outlineLevel="0" collapsed="false">
      <c r="B49" s="32" t="s">
        <v>1114</v>
      </c>
      <c r="C49" s="32" t="s">
        <v>1115</v>
      </c>
      <c r="D49" s="32" t="s">
        <v>1116</v>
      </c>
      <c r="E49" s="32" t="s">
        <v>1117</v>
      </c>
      <c r="F49" s="33" t="s">
        <v>1118</v>
      </c>
      <c r="G49" s="33"/>
      <c r="H49" s="33"/>
      <c r="I49" s="33"/>
      <c r="J49" s="33"/>
      <c r="K49" s="33"/>
      <c r="L49" s="33"/>
      <c r="M49" s="33"/>
    </row>
    <row r="50" customFormat="false" ht="12.75" hidden="false" customHeight="true" outlineLevel="0" collapsed="false">
      <c r="B50" s="63" t="s">
        <v>1119</v>
      </c>
      <c r="C50" s="49" t="n">
        <f aca="false">COUNTIF('Coffee Audit'!H2:H2000,"*Washed*")</f>
        <v>52</v>
      </c>
      <c r="D50" s="51" t="str">
        <f aca="false">TEXT(COUNTIF('Coffee Audit'!H2:H2000,"*Washed*")/COUNTA('Coffee Audit'!A2:A2000),"0%")</f>
        <v>54%</v>
      </c>
      <c r="E50" s="64" t="s">
        <v>1120</v>
      </c>
      <c r="F50" s="65" t="s">
        <v>1121</v>
      </c>
      <c r="G50" s="65"/>
      <c r="H50" s="65"/>
      <c r="I50" s="65"/>
      <c r="J50" s="65"/>
      <c r="K50" s="65"/>
      <c r="L50" s="65"/>
      <c r="M50" s="65"/>
    </row>
    <row r="51" customFormat="false" ht="12.75" hidden="false" customHeight="true" outlineLevel="0" collapsed="false">
      <c r="B51" s="66" t="s">
        <v>1122</v>
      </c>
      <c r="C51" s="44" t="n">
        <f aca="false">COUNTIF('Coffee Audit'!H2:H2000,"*Natural*")</f>
        <v>32</v>
      </c>
      <c r="D51" s="46" t="str">
        <f aca="false">TEXT(COUNTIF('Coffee Audit'!H2:H2000,"*Natural*")/COUNTA('Coffee Audit'!A2:A2000),"0%")</f>
        <v>33%</v>
      </c>
      <c r="E51" s="67" t="s">
        <v>1123</v>
      </c>
      <c r="F51" s="68" t="s">
        <v>1124</v>
      </c>
      <c r="G51" s="68"/>
      <c r="H51" s="68"/>
      <c r="I51" s="68"/>
      <c r="J51" s="68"/>
      <c r="K51" s="68"/>
      <c r="L51" s="68"/>
      <c r="M51" s="68"/>
    </row>
    <row r="52" customFormat="false" ht="12.75" hidden="false" customHeight="true" outlineLevel="0" collapsed="false">
      <c r="B52" s="63" t="s">
        <v>1125</v>
      </c>
      <c r="C52" s="49" t="n">
        <f aca="false">COUNTIF('Coffee Audit'!H2:H2000,"*Honey*")</f>
        <v>8</v>
      </c>
      <c r="D52" s="51" t="str">
        <f aca="false">TEXT(COUNTIF('Coffee Audit'!H2:H2000,"*Honey*")/COUNTA('Coffee Audit'!A2:A2000),"0%")</f>
        <v>8%</v>
      </c>
      <c r="E52" s="64" t="s">
        <v>1126</v>
      </c>
      <c r="F52" s="65" t="s">
        <v>1127</v>
      </c>
      <c r="G52" s="65"/>
      <c r="H52" s="65"/>
      <c r="I52" s="65"/>
      <c r="J52" s="65"/>
      <c r="K52" s="65"/>
      <c r="L52" s="65"/>
      <c r="M52" s="65"/>
    </row>
    <row r="53" customFormat="false" ht="15" hidden="false" customHeight="true" outlineLevel="0" collapsed="false">
      <c r="B53" s="66" t="s">
        <v>1128</v>
      </c>
      <c r="C53" s="44" t="n">
        <f aca="false">COUNTIF('Coffee Audit'!H2:H2000,"*Anaerobic*")</f>
        <v>14</v>
      </c>
      <c r="D53" s="46" t="str">
        <f aca="false">TEXT(COUNTIF('Coffee Audit'!H2:H2000,"*Anaerobic*")/COUNTA('Coffee Audit'!A2:A2000),"0%")</f>
        <v>15%</v>
      </c>
      <c r="E53" s="67" t="s">
        <v>1129</v>
      </c>
      <c r="F53" s="68" t="s">
        <v>1130</v>
      </c>
      <c r="G53" s="68"/>
      <c r="H53" s="68"/>
      <c r="I53" s="68"/>
      <c r="J53" s="68"/>
      <c r="K53" s="68"/>
      <c r="L53" s="68"/>
      <c r="M53" s="68"/>
    </row>
    <row r="54" customFormat="false" ht="16.5" hidden="false" customHeight="true" outlineLevel="0" collapsed="false">
      <c r="B54" s="63" t="s">
        <v>1131</v>
      </c>
      <c r="C54" s="49" t="n">
        <f aca="false">COUNTIF('Coffee Audit'!H2:H2000,"*Ferment*")</f>
        <v>9</v>
      </c>
      <c r="D54" s="51" t="str">
        <f aca="false">TEXT(COUNTIF('Coffee Audit'!H2:H2000,"*Ferment*")/COUNTA('Coffee Audit'!A2:A2000),"0%")</f>
        <v>9%</v>
      </c>
      <c r="E54" s="64" t="s">
        <v>1132</v>
      </c>
      <c r="F54" s="69" t="s">
        <v>1133</v>
      </c>
    </row>
    <row r="55" customFormat="false" ht="15" hidden="false" customHeight="true" outlineLevel="0" collapsed="false">
      <c r="B55" s="66" t="s">
        <v>1134</v>
      </c>
      <c r="C55" s="1" t="n">
        <f aca="false">COUNTIF('Coffee Audit'!H2:H2000,"*Hulled*")</f>
        <v>1</v>
      </c>
      <c r="D55" s="1" t="str">
        <f aca="false">TEXT(COUNTIF('Coffee Audit'!H2:H2000,"*Hulled*")/COUNTA('Coffee Audit'!A2:A2000),"0%")</f>
        <v>1%</v>
      </c>
      <c r="E55" s="1" t="s">
        <v>1135</v>
      </c>
      <c r="F55" s="1" t="s">
        <v>1136</v>
      </c>
    </row>
    <row r="56" customFormat="false" ht="12.75" hidden="false" customHeight="true" outlineLevel="0" collapsed="false">
      <c r="G56" s="61"/>
      <c r="H56" s="61"/>
      <c r="I56" s="61"/>
      <c r="J56" s="61"/>
      <c r="K56" s="61"/>
      <c r="L56" s="61"/>
      <c r="M56" s="61"/>
    </row>
    <row r="57" customFormat="false" ht="12.75" hidden="false" customHeight="true" outlineLevel="0" collapsed="false">
      <c r="B57" s="62" t="s">
        <v>1137</v>
      </c>
      <c r="G57" s="61"/>
      <c r="H57" s="61"/>
      <c r="I57" s="61"/>
      <c r="J57" s="61"/>
      <c r="K57" s="61"/>
      <c r="L57" s="61"/>
      <c r="M57" s="61"/>
    </row>
    <row r="58" customFormat="false" ht="12.75" hidden="false" customHeight="true" outlineLevel="0" collapsed="false">
      <c r="B58" s="32" t="s">
        <v>5</v>
      </c>
      <c r="C58" s="32" t="s">
        <v>1115</v>
      </c>
      <c r="D58" s="32" t="s">
        <v>1138</v>
      </c>
      <c r="E58" s="32" t="s">
        <v>171</v>
      </c>
      <c r="F58" s="32" t="s">
        <v>1139</v>
      </c>
      <c r="G58" s="33" t="s">
        <v>1140</v>
      </c>
      <c r="H58" s="33"/>
      <c r="I58" s="33"/>
      <c r="J58" s="33"/>
      <c r="K58" s="33"/>
      <c r="L58" s="33"/>
      <c r="M58" s="33"/>
    </row>
    <row r="59" customFormat="false" ht="12.75" hidden="false" customHeight="true" outlineLevel="0" collapsed="false">
      <c r="B59" s="63" t="s">
        <v>118</v>
      </c>
      <c r="C59" s="49" t="n">
        <f aca="false">COUNTIF('Coffee Audit'!F2:F2000,"*Colombia*")</f>
        <v>23</v>
      </c>
      <c r="D59" s="51" t="str">
        <f aca="false">TEXT(COUNTIF('Coffee Audit'!F2:F2000,"*Colombia*")/COUNTA('Coffee Audit'!A2:A2000),"0%")</f>
        <v>24%</v>
      </c>
      <c r="E59" s="70" t="n">
        <f aca="false">SUMPRODUCT(ISNUMBER(SEARCH("Colombia",'Coffee Audit'!F2:F2000))*('Coffee Audit'!W2:W2000="⭐ GESHA"))</f>
        <v>10</v>
      </c>
      <c r="F59" s="71" t="str">
        <f aca="false">REPT("█",COUNTIF('Coffee Audit'!F2:F2000,"*Colombia*"))</f>
        <v>███████████████████████</v>
      </c>
      <c r="G59" s="72" t="s">
        <v>1141</v>
      </c>
      <c r="H59" s="72"/>
      <c r="I59" s="72"/>
      <c r="J59" s="72"/>
      <c r="K59" s="72"/>
      <c r="L59" s="72"/>
      <c r="M59" s="72"/>
    </row>
    <row r="60" customFormat="false" ht="12.75" hidden="false" customHeight="true" outlineLevel="0" collapsed="false">
      <c r="B60" s="66" t="s">
        <v>266</v>
      </c>
      <c r="C60" s="44" t="n">
        <f aca="false">COUNTIF('Coffee Audit'!F2:F2000,"*Ethiopia*")</f>
        <v>10</v>
      </c>
      <c r="D60" s="46" t="str">
        <f aca="false">TEXT(COUNTIF('Coffee Audit'!F2:F2000,"*Ethiopia*")/COUNTA('Coffee Audit'!A2:A2000),"0%")</f>
        <v>10%</v>
      </c>
      <c r="E60" s="73" t="n">
        <f aca="false">SUMPRODUCT(ISNUMBER(SEARCH("Ethiopia",'Coffee Audit'!F2:F2000))*('Coffee Audit'!W2:W2000="⭐ GESHA"))</f>
        <v>0</v>
      </c>
      <c r="F60" s="74" t="str">
        <f aca="false">REPT("█",COUNTIF('Coffee Audit'!F2:F2000,"*Ethiopia*"))</f>
        <v>██████████</v>
      </c>
      <c r="G60" s="75" t="s">
        <v>1142</v>
      </c>
      <c r="H60" s="75"/>
      <c r="I60" s="75"/>
      <c r="J60" s="75"/>
      <c r="K60" s="75"/>
      <c r="L60" s="75"/>
      <c r="M60" s="75"/>
    </row>
    <row r="61" customFormat="false" ht="12.75" hidden="false" customHeight="true" outlineLevel="0" collapsed="false">
      <c r="B61" s="63" t="s">
        <v>639</v>
      </c>
      <c r="C61" s="49" t="n">
        <f aca="false">COUNTIF('Coffee Audit'!F2:F2000,"*Peru*")</f>
        <v>10</v>
      </c>
      <c r="D61" s="51" t="str">
        <f aca="false">TEXT(COUNTIF('Coffee Audit'!F2:F2000,"*Peru*")/COUNTA('Coffee Audit'!A2:A2000),"0%")</f>
        <v>10%</v>
      </c>
      <c r="E61" s="70" t="n">
        <f aca="false">SUMPRODUCT(ISNUMBER(SEARCH("Peru",'Coffee Audit'!F2:F2000))*('Coffee Audit'!W2:W2000="⭐ GESHA"))</f>
        <v>8</v>
      </c>
      <c r="F61" s="71" t="str">
        <f aca="false">REPT("█",COUNTIF('Coffee Audit'!F2:F2000,"*Peru*"))</f>
        <v>██████████</v>
      </c>
      <c r="G61" s="72" t="s">
        <v>1143</v>
      </c>
      <c r="H61" s="72"/>
      <c r="I61" s="72"/>
      <c r="J61" s="72"/>
      <c r="K61" s="72"/>
      <c r="L61" s="72"/>
      <c r="M61" s="72"/>
    </row>
    <row r="62" customFormat="false" ht="12.75" hidden="false" customHeight="true" outlineLevel="0" collapsed="false">
      <c r="B62" s="66" t="s">
        <v>127</v>
      </c>
      <c r="C62" s="44" t="n">
        <f aca="false">COUNTIF('Coffee Audit'!F2:F2000,"*Kenya*")</f>
        <v>5</v>
      </c>
      <c r="D62" s="46" t="str">
        <f aca="false">TEXT(COUNTIF('Coffee Audit'!F2:F2000,"*Kenya*")/COUNTA('Coffee Audit'!A2:A2000),"0%")</f>
        <v>5%</v>
      </c>
      <c r="E62" s="73" t="n">
        <f aca="false">SUMPRODUCT(ISNUMBER(SEARCH("Kenya",'Coffee Audit'!F2:F2000))*('Coffee Audit'!W2:W2000="⭐ GESHA"))</f>
        <v>0</v>
      </c>
      <c r="F62" s="74" t="str">
        <f aca="false">REPT("█",COUNTIF('Coffee Audit'!F2:F2000,"*Kenya*"))</f>
        <v>█████</v>
      </c>
      <c r="G62" s="75" t="s">
        <v>1144</v>
      </c>
      <c r="H62" s="75"/>
      <c r="I62" s="75"/>
      <c r="J62" s="75"/>
      <c r="K62" s="75"/>
      <c r="L62" s="75"/>
      <c r="M62" s="75"/>
    </row>
    <row r="63" customFormat="false" ht="12.75" hidden="false" customHeight="true" outlineLevel="0" collapsed="false">
      <c r="B63" s="63" t="s">
        <v>253</v>
      </c>
      <c r="C63" s="49" t="n">
        <f aca="false">COUNTIF('Coffee Audit'!F2:F2000,"*Brazil*")</f>
        <v>5</v>
      </c>
      <c r="D63" s="51" t="str">
        <f aca="false">TEXT(COUNTIF('Coffee Audit'!F2:F2000,"*Brazil*")/COUNTA('Coffee Audit'!A2:A2000),"0%")</f>
        <v>5%</v>
      </c>
      <c r="E63" s="70" t="n">
        <f aca="false">SUMPRODUCT(ISNUMBER(SEARCH("Brazil",'Coffee Audit'!F2:F2000))*('Coffee Audit'!W2:W2000="⭐ GESHA"))</f>
        <v>0</v>
      </c>
      <c r="F63" s="71" t="str">
        <f aca="false">REPT("█",COUNTIF('Coffee Audit'!F2:F2000,"*Brazil*"))</f>
        <v>█████</v>
      </c>
      <c r="G63" s="72" t="s">
        <v>1145</v>
      </c>
      <c r="H63" s="72"/>
      <c r="I63" s="72"/>
      <c r="J63" s="72"/>
      <c r="K63" s="72"/>
      <c r="L63" s="72"/>
      <c r="M63" s="72"/>
    </row>
    <row r="64" customFormat="false" ht="12.75" hidden="false" customHeight="true" outlineLevel="0" collapsed="false">
      <c r="B64" s="66" t="s">
        <v>693</v>
      </c>
      <c r="C64" s="44" t="n">
        <f aca="false">COUNTIF('Coffee Audit'!F2:F2000,"*Panama*")</f>
        <v>8</v>
      </c>
      <c r="D64" s="46" t="str">
        <f aca="false">TEXT(COUNTIF('Coffee Audit'!F2:F2000,"*Panama*")/COUNTA('Coffee Audit'!A2:A2000),"0%")</f>
        <v>8%</v>
      </c>
      <c r="E64" s="73" t="n">
        <f aca="false">SUMPRODUCT(ISNUMBER(SEARCH("Panama",'Coffee Audit'!F2:F2000))*('Coffee Audit'!W2:W2000="⭐ GESHA"))</f>
        <v>8</v>
      </c>
      <c r="F64" s="74" t="str">
        <f aca="false">REPT("█",COUNTIF('Coffee Audit'!F2:F2000,"*Panama*"))</f>
        <v>████████</v>
      </c>
      <c r="G64" s="75" t="s">
        <v>1146</v>
      </c>
      <c r="H64" s="75"/>
      <c r="I64" s="75"/>
      <c r="J64" s="75"/>
      <c r="K64" s="75"/>
      <c r="L64" s="75"/>
      <c r="M64" s="75"/>
    </row>
    <row r="65" customFormat="false" ht="12.75" hidden="false" customHeight="true" outlineLevel="0" collapsed="false">
      <c r="B65" s="63" t="s">
        <v>996</v>
      </c>
      <c r="C65" s="49" t="n">
        <f aca="false">COUNTIF('Coffee Audit'!F2:F2000,"*Indonesia*")</f>
        <v>5</v>
      </c>
      <c r="D65" s="51" t="str">
        <f aca="false">TEXT(COUNTIF('Coffee Audit'!F2:F2000,"*Indonesia*")/COUNTA('Coffee Audit'!A2:A2000),"0%")</f>
        <v>5%</v>
      </c>
      <c r="E65" s="70" t="n">
        <f aca="false">SUMPRODUCT(ISNUMBER(SEARCH("Indonesia",'Coffee Audit'!F2:F2000))*('Coffee Audit'!W2:W2000="⭐ GESHA"))</f>
        <v>0</v>
      </c>
      <c r="F65" s="71" t="str">
        <f aca="false">REPT("█",COUNTIF('Coffee Audit'!F2:F2000,"*Indonesia*"))</f>
        <v>█████</v>
      </c>
      <c r="G65" s="72" t="s">
        <v>1147</v>
      </c>
      <c r="H65" s="72"/>
      <c r="I65" s="72"/>
      <c r="J65" s="72"/>
      <c r="K65" s="72"/>
      <c r="L65" s="72"/>
      <c r="M65" s="72"/>
    </row>
    <row r="66" customFormat="false" ht="15" hidden="false" customHeight="true" outlineLevel="0" collapsed="false">
      <c r="B66" s="66" t="s">
        <v>98</v>
      </c>
      <c r="C66" s="44" t="n">
        <f aca="false">COUNTIF('Coffee Audit'!F2:F2000,"*Honduras*")</f>
        <v>3</v>
      </c>
      <c r="D66" s="46" t="str">
        <f aca="false">TEXT(COUNTIF('Coffee Audit'!F2:F2000,"*Honduras*")/COUNTA('Coffee Audit'!A2:A2000),"0%")</f>
        <v>3%</v>
      </c>
      <c r="E66" s="73" t="n">
        <f aca="false">SUMPRODUCT(ISNUMBER(SEARCH("Honduras",'Coffee Audit'!F2:F2000))*('Coffee Audit'!W2:W2000="⭐ GESHA"))</f>
        <v>0</v>
      </c>
      <c r="F66" s="74" t="str">
        <f aca="false">REPT("█",COUNTIF('Coffee Audit'!F2:F2000,"*Honduras*"))</f>
        <v>███</v>
      </c>
      <c r="G66" s="75" t="s">
        <v>1148</v>
      </c>
      <c r="H66" s="75"/>
      <c r="I66" s="75"/>
      <c r="J66" s="75"/>
      <c r="K66" s="75"/>
      <c r="L66" s="75"/>
      <c r="M66" s="75"/>
    </row>
    <row r="67" customFormat="false" ht="16.5" hidden="false" customHeight="true" outlineLevel="0" collapsed="false">
      <c r="B67" s="63" t="s">
        <v>1149</v>
      </c>
      <c r="C67" s="49" t="n">
        <f aca="false">COUNTIF('Coffee Audit'!F2:F2000,"*Thailand*")</f>
        <v>3</v>
      </c>
      <c r="D67" s="51" t="str">
        <f aca="false">TEXT(COUNTIF('Coffee Audit'!F2:F2000,"*Thailand*")/COUNTA('Coffee Audit'!A2:A2000),"0%")</f>
        <v>3%</v>
      </c>
      <c r="E67" s="70" t="n">
        <f aca="false">SUMPRODUCT(ISNUMBER(SEARCH("Thailand",'Coffee Audit'!F2:F2000))*('Coffee Audit'!W2:W2000="⭐ GESHA"))</f>
        <v>1</v>
      </c>
      <c r="F67" s="71" t="str">
        <f aca="false">REPT("█",COUNTIF('Coffee Audit'!F2:F2000,"*Thailand*"))</f>
        <v>███</v>
      </c>
      <c r="G67" s="64" t="s">
        <v>1150</v>
      </c>
    </row>
    <row r="68" customFormat="false" ht="15" hidden="false" customHeight="true" outlineLevel="0" collapsed="false">
      <c r="B68" s="66" t="s">
        <v>1151</v>
      </c>
      <c r="C68" s="1" t="n">
        <f aca="false">COUNTIF('Coffee Audit'!F2:F2000,"*Guatemala*")</f>
        <v>2</v>
      </c>
      <c r="D68" s="1" t="str">
        <f aca="false">TEXT(COUNTIF('Coffee Audit'!F2:F2000,"*Guatemala*")/COUNTA('Coffee Audit'!A2:A2000),"0%")</f>
        <v>2%</v>
      </c>
      <c r="E68" s="1" t="n">
        <f aca="false">SUMPRODUCT(ISNUMBER(SEARCH("Guatemala",'Coffee Audit'!F2:F2000))*('Coffee Audit'!W2:W2000="⭐ GESHA"))</f>
        <v>1</v>
      </c>
      <c r="F68" s="1" t="str">
        <f aca="false">REPT("█",COUNTIF('Coffee Audit'!F2:F2000,"*Guatemala*"))</f>
        <v>██</v>
      </c>
      <c r="G68" s="1" t="s">
        <v>1152</v>
      </c>
    </row>
    <row r="69" customFormat="false" ht="12.75" hidden="false" customHeight="true" outlineLevel="0" collapsed="false">
      <c r="F69" s="61"/>
      <c r="G69" s="61"/>
      <c r="H69" s="61"/>
      <c r="I69" s="61"/>
      <c r="J69" s="61"/>
      <c r="K69" s="61"/>
      <c r="L69" s="61"/>
      <c r="M69" s="61"/>
    </row>
    <row r="70" customFormat="false" ht="12.75" hidden="false" customHeight="true" outlineLevel="0" collapsed="false">
      <c r="B70" s="62" t="s">
        <v>1153</v>
      </c>
      <c r="F70" s="61"/>
      <c r="G70" s="61"/>
      <c r="H70" s="61"/>
      <c r="I70" s="61"/>
      <c r="J70" s="61"/>
      <c r="K70" s="61"/>
      <c r="L70" s="61"/>
      <c r="M70" s="61"/>
    </row>
    <row r="71" customFormat="false" ht="12.75" hidden="false" customHeight="true" outlineLevel="0" collapsed="false">
      <c r="B71" s="32" t="s">
        <v>1154</v>
      </c>
      <c r="C71" s="32" t="s">
        <v>1115</v>
      </c>
      <c r="D71" s="32" t="s">
        <v>1138</v>
      </c>
      <c r="E71" s="32" t="s">
        <v>1155</v>
      </c>
      <c r="F71" s="33" t="s">
        <v>1156</v>
      </c>
      <c r="G71" s="33"/>
      <c r="H71" s="33"/>
      <c r="I71" s="33"/>
      <c r="J71" s="33"/>
      <c r="K71" s="33"/>
      <c r="L71" s="33"/>
      <c r="M71" s="33"/>
    </row>
    <row r="72" customFormat="false" ht="12.75" hidden="false" customHeight="true" outlineLevel="0" collapsed="false">
      <c r="B72" s="63" t="s">
        <v>1157</v>
      </c>
      <c r="C72" s="49" t="n">
        <f aca="false">SUM(COUNTIF('Coffee Audit'!M2:M2000,{"1:13*","1:14*"}))</f>
        <v>12</v>
      </c>
      <c r="D72" s="51" t="str">
        <f aca="false">TEXT(SUM(COUNTIF('Coffee Audit'!M2:M2000,{"1:13*","1:14*"}))/COUNTA('Coffee Audit'!A2:A2000),"0%")</f>
        <v>13%</v>
      </c>
      <c r="E72" s="76" t="s">
        <v>1158</v>
      </c>
      <c r="F72" s="72" t="s">
        <v>1159</v>
      </c>
      <c r="G72" s="72"/>
      <c r="H72" s="72"/>
      <c r="I72" s="72"/>
      <c r="J72" s="72"/>
      <c r="K72" s="72"/>
      <c r="L72" s="72"/>
      <c r="M72" s="72"/>
    </row>
    <row r="73" customFormat="false" ht="13.5" hidden="false" customHeight="true" outlineLevel="0" collapsed="false">
      <c r="B73" s="66" t="s">
        <v>1160</v>
      </c>
      <c r="C73" s="44" t="n">
        <f aca="false">SUM(COUNTIF('Coffee Audit'!M2:M2000,{"1:15*"}))</f>
        <v>27</v>
      </c>
      <c r="D73" s="46" t="str">
        <f aca="false">TEXT(SUM(COUNTIF('Coffee Audit'!M2:M2000,{"1:15*"}))/COUNTA('Coffee Audit'!A2:A2000),"0%")</f>
        <v>28%</v>
      </c>
      <c r="E73" s="77" t="s">
        <v>1161</v>
      </c>
      <c r="F73" s="75" t="s">
        <v>1162</v>
      </c>
      <c r="G73" s="75"/>
      <c r="H73" s="75"/>
      <c r="I73" s="75"/>
      <c r="J73" s="75"/>
      <c r="K73" s="75"/>
      <c r="L73" s="75"/>
      <c r="M73" s="75"/>
    </row>
    <row r="74" customFormat="false" ht="15" hidden="false" customHeight="true" outlineLevel="0" collapsed="false">
      <c r="B74" s="63" t="s">
        <v>1163</v>
      </c>
      <c r="C74" s="49" t="n">
        <f aca="false">SUM(COUNTIF('Coffee Audit'!M2:M2000,{"1:16*"}))</f>
        <v>21</v>
      </c>
      <c r="D74" s="51" t="str">
        <f aca="false">TEXT(SUM(COUNTIF('Coffee Audit'!M2:M2000,{"1:16*"}))/COUNTA('Coffee Audit'!A2:A2000),"0%")</f>
        <v>22%</v>
      </c>
      <c r="E74" s="76" t="s">
        <v>1161</v>
      </c>
      <c r="F74" s="72" t="s">
        <v>1164</v>
      </c>
      <c r="G74" s="72"/>
      <c r="H74" s="72"/>
      <c r="I74" s="72"/>
      <c r="J74" s="72"/>
      <c r="K74" s="72"/>
      <c r="L74" s="72"/>
      <c r="M74" s="72"/>
    </row>
    <row r="75" customFormat="false" ht="16.5" hidden="false" customHeight="true" outlineLevel="0" collapsed="false">
      <c r="B75" s="63" t="s">
        <v>1165</v>
      </c>
      <c r="C75" s="49" t="n">
        <f aca="false">SUM(COUNTIF('Coffee Audit'!M2:M2000,{"1:17*"}))</f>
        <v>8</v>
      </c>
      <c r="D75" s="51" t="str">
        <f aca="false">TEXT(SUM(COUNTIF('Coffee Audit'!M2:M2000,{"1:17*"}))/COUNTA('Coffee Audit'!A2:A2000),"0%")</f>
        <v>8%</v>
      </c>
      <c r="E75" s="76" t="s">
        <v>1161</v>
      </c>
      <c r="F75" s="64" t="s">
        <v>1166</v>
      </c>
    </row>
    <row r="76" customFormat="false" ht="15" hidden="false" customHeight="true" outlineLevel="0" collapsed="false">
      <c r="B76" s="78"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56 of 96 logged brews sit inside the 1:15–1:17 Palate DNA band (58% of all entries, including those logged Unknown)</v>
      </c>
      <c r="C76" s="78"/>
      <c r="D76" s="78"/>
      <c r="E76" s="78"/>
      <c r="F76" s="78"/>
      <c r="G76" s="78"/>
      <c r="H76" s="78"/>
      <c r="I76" s="78"/>
      <c r="J76" s="78"/>
      <c r="K76" s="78"/>
      <c r="L76" s="78"/>
      <c r="M76" s="78"/>
    </row>
    <row r="77" customFormat="false" ht="12.75" hidden="false" customHeight="true" outlineLevel="0" collapsed="false">
      <c r="E77" s="61"/>
      <c r="F77" s="61"/>
      <c r="G77" s="61"/>
      <c r="H77" s="61"/>
      <c r="I77" s="61"/>
      <c r="J77" s="61"/>
      <c r="K77" s="61"/>
      <c r="L77" s="61"/>
      <c r="M77" s="61"/>
    </row>
    <row r="78" customFormat="false" ht="12.75" hidden="false" customHeight="true" outlineLevel="0" collapsed="false">
      <c r="B78" s="62" t="s">
        <v>1167</v>
      </c>
      <c r="E78" s="61"/>
      <c r="F78" s="61"/>
      <c r="G78" s="61"/>
      <c r="H78" s="61"/>
      <c r="I78" s="61"/>
      <c r="J78" s="61"/>
      <c r="K78" s="61"/>
      <c r="L78" s="61"/>
      <c r="M78" s="61"/>
    </row>
    <row r="79" customFormat="false" ht="12.75" hidden="false" customHeight="true" outlineLevel="0" collapsed="false">
      <c r="B79" s="32" t="s">
        <v>1168</v>
      </c>
      <c r="C79" s="32" t="s">
        <v>1115</v>
      </c>
      <c r="D79" s="32" t="s">
        <v>1138</v>
      </c>
      <c r="E79" s="33" t="s">
        <v>1169</v>
      </c>
      <c r="F79" s="33"/>
      <c r="G79" s="33"/>
      <c r="H79" s="33"/>
      <c r="I79" s="33"/>
      <c r="J79" s="33"/>
      <c r="K79" s="33"/>
      <c r="L79" s="33"/>
      <c r="M79" s="33"/>
    </row>
    <row r="80" customFormat="false" ht="12.75" hidden="false" customHeight="true" outlineLevel="0" collapsed="false">
      <c r="B80" s="63" t="s">
        <v>1170</v>
      </c>
      <c r="C80" s="49" t="n">
        <f aca="false">COUNTIF('Coffee Audit'!P2:P2000,"*EK43*")</f>
        <v>35</v>
      </c>
      <c r="D80" s="51" t="str">
        <f aca="false">TEXT(COUNTIF('Coffee Audit'!P2:P2000,"*EK43*")/COUNTA('Coffee Audit'!A2:A2000),"0%")</f>
        <v>36%</v>
      </c>
      <c r="E80" s="72" t="s">
        <v>1171</v>
      </c>
      <c r="F80" s="72"/>
      <c r="G80" s="72"/>
      <c r="H80" s="72"/>
      <c r="I80" s="72"/>
      <c r="J80" s="72"/>
      <c r="K80" s="72"/>
      <c r="L80" s="72"/>
      <c r="M80" s="72"/>
    </row>
    <row r="81" customFormat="false" ht="12.75" hidden="false" customHeight="true" outlineLevel="0" collapsed="false">
      <c r="B81" s="66" t="s">
        <v>1172</v>
      </c>
      <c r="C81" s="44" t="n">
        <f aca="false">COUNTIF('Coffee Audit'!P2:P2000,"*Lagom*")</f>
        <v>16</v>
      </c>
      <c r="D81" s="46" t="str">
        <f aca="false">TEXT(COUNTIF('Coffee Audit'!P2:P2000,"*Lagom*")/COUNTA('Coffee Audit'!A2:A2000),"0%")</f>
        <v>17%</v>
      </c>
      <c r="E81" s="75" t="s">
        <v>1173</v>
      </c>
      <c r="F81" s="75"/>
      <c r="G81" s="75"/>
      <c r="H81" s="75"/>
      <c r="I81" s="75"/>
      <c r="J81" s="75"/>
      <c r="K81" s="75"/>
      <c r="L81" s="75"/>
      <c r="M81" s="75"/>
    </row>
    <row r="82" customFormat="false" ht="15" hidden="false" customHeight="true" outlineLevel="0" collapsed="false">
      <c r="B82" s="63" t="s">
        <v>1174</v>
      </c>
      <c r="C82" s="49" t="n">
        <f aca="false">SUMPRODUCT(--ISNUMBER(SEARCH("Flat-Bottom",'Coffee Audit'!J2:J2000)))</f>
        <v>37</v>
      </c>
      <c r="D82" s="51" t="str">
        <f aca="false">TEXT(SUMPRODUCT(--ISNUMBER(SEARCH("Flat-Bottom",'Coffee Audit'!J2:J2000)))/COUNTA('Coffee Audit'!A2:A2000),"0%")</f>
        <v>39%</v>
      </c>
      <c r="E82" s="72" t="s">
        <v>1175</v>
      </c>
      <c r="F82" s="72"/>
      <c r="G82" s="72"/>
      <c r="H82" s="72"/>
      <c r="I82" s="72"/>
      <c r="J82" s="72"/>
      <c r="K82" s="72"/>
      <c r="L82" s="72"/>
      <c r="M82" s="72"/>
    </row>
    <row r="83" customFormat="false" ht="12.75" hidden="false" customHeight="true" outlineLevel="0" collapsed="false">
      <c r="B83" s="66" t="s">
        <v>1176</v>
      </c>
      <c r="C83" s="44" t="n">
        <f aca="false">COUNTIF('Coffee Audit'!J2:J2000,"*V60*")</f>
        <v>21</v>
      </c>
      <c r="D83" s="46" t="str">
        <f aca="false">TEXT(COUNTIF('Coffee Audit'!J2:J2000,"*V60*")/COUNTA('Coffee Audit'!A2:A2000),"0%")</f>
        <v>22%</v>
      </c>
      <c r="E83" s="67" t="s">
        <v>1177</v>
      </c>
    </row>
    <row r="84" customFormat="false" ht="12.75" hidden="false" customHeight="true" outlineLevel="0" collapsed="false">
      <c r="B84" s="63" t="s">
        <v>1178</v>
      </c>
      <c r="C84" s="1" t="n">
        <f aca="false">SUMPRODUCT(--(ISNUMBER(SEARCH("Switch",'Coffee Audit'!J2:J2000))+ISNUMBER(SEARCH("IMMERSION",'Coffee Audit'!J2:J2000))&gt;0))</f>
        <v>13</v>
      </c>
      <c r="D84" s="1" t="str">
        <f aca="false">TEXT(SUMPRODUCT(--(ISNUMBER(SEARCH("Switch",'Coffee Audit'!J2:J2000))+ISNUMBER(SEARCH("IMMERSION",'Coffee Audit'!J2:J2000))&gt;0))/COUNTA('Coffee Audit'!A2:A2000),"0%")</f>
        <v>14%</v>
      </c>
      <c r="E84" s="1" t="s">
        <v>1179</v>
      </c>
    </row>
    <row r="85" customFormat="false" ht="12.75" hidden="false" customHeight="true" outlineLevel="0" collapsed="false"/>
  </sheetData>
  <mergeCells count="73">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8:H18"/>
    <mergeCell ref="G19:H19"/>
    <mergeCell ref="G20:H20"/>
    <mergeCell ref="G21:H21"/>
    <mergeCell ref="G22:H22"/>
    <mergeCell ref="G23:H23"/>
    <mergeCell ref="G24:H24"/>
    <mergeCell ref="G25:H25"/>
    <mergeCell ref="G26:H26"/>
    <mergeCell ref="G28:H28"/>
    <mergeCell ref="G29:H29"/>
    <mergeCell ref="G30:H30"/>
    <mergeCell ref="G31:H31"/>
    <mergeCell ref="G33:H33"/>
    <mergeCell ref="G34:H34"/>
    <mergeCell ref="G35:H35"/>
    <mergeCell ref="G36:H36"/>
    <mergeCell ref="G37:H37"/>
    <mergeCell ref="G42:H42"/>
    <mergeCell ref="G43:H43"/>
    <mergeCell ref="G44:H44"/>
    <mergeCell ref="G45:H45"/>
    <mergeCell ref="B46:M46"/>
    <mergeCell ref="F47:M47"/>
    <mergeCell ref="F48:M48"/>
    <mergeCell ref="F49:M49"/>
    <mergeCell ref="F50:M50"/>
    <mergeCell ref="F51:M51"/>
    <mergeCell ref="F52:M52"/>
    <mergeCell ref="F53:M53"/>
    <mergeCell ref="G56:M56"/>
    <mergeCell ref="G57:M57"/>
    <mergeCell ref="G58:M58"/>
    <mergeCell ref="G59:M59"/>
    <mergeCell ref="G60:M60"/>
    <mergeCell ref="G61:M61"/>
    <mergeCell ref="G62:M62"/>
    <mergeCell ref="G63:M63"/>
    <mergeCell ref="G64:M64"/>
    <mergeCell ref="G65:M65"/>
    <mergeCell ref="G66:M66"/>
    <mergeCell ref="F69:M69"/>
    <mergeCell ref="F70:M70"/>
    <mergeCell ref="F71:M71"/>
    <mergeCell ref="F72:M72"/>
    <mergeCell ref="F73:M73"/>
    <mergeCell ref="F74:M74"/>
    <mergeCell ref="B76:M76"/>
    <mergeCell ref="E77:M77"/>
    <mergeCell ref="E78:M78"/>
    <mergeCell ref="E79:M79"/>
    <mergeCell ref="E80:M80"/>
    <mergeCell ref="E81:M81"/>
    <mergeCell ref="E82:M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9" t="s">
        <v>1180</v>
      </c>
      <c r="C1" s="79"/>
      <c r="D1" s="79"/>
      <c r="E1" s="79"/>
      <c r="F1" s="79"/>
      <c r="G1" s="79"/>
      <c r="H1" s="79"/>
      <c r="I1" s="79"/>
      <c r="J1" s="79"/>
      <c r="K1" s="79"/>
      <c r="L1" s="79"/>
    </row>
    <row r="2" customFormat="false" ht="13.5" hidden="false" customHeight="true" outlineLevel="0" collapsed="false">
      <c r="B2" s="80" t="str">
        <f aca="false">"What "&amp;COUNTA('Coffee Audit'!A2:A2000)&amp;" cups reveal about one palate — malic acid · linalool · flat-bottom geometry · washed clarity"</f>
        <v>What 96 cups reveal about one palate — malic acid · linalool · flat-bottom geometry · washed clarity</v>
      </c>
      <c r="C2" s="80"/>
      <c r="D2" s="80"/>
      <c r="E2" s="80"/>
      <c r="F2" s="80"/>
      <c r="G2" s="80"/>
      <c r="H2" s="80"/>
      <c r="I2" s="80"/>
      <c r="J2" s="80"/>
      <c r="K2" s="80"/>
      <c r="L2" s="80"/>
    </row>
    <row r="3" customFormat="false" ht="6" hidden="false" customHeight="true" outlineLevel="0" collapsed="false"/>
    <row r="4" customFormat="false" ht="15.75" hidden="false" customHeight="true" outlineLevel="0" collapsed="false">
      <c r="B4" s="81" t="s">
        <v>1181</v>
      </c>
      <c r="C4" s="81"/>
      <c r="D4" s="81"/>
      <c r="E4" s="81"/>
      <c r="F4" s="81"/>
      <c r="G4" s="81"/>
      <c r="H4" s="81"/>
      <c r="I4" s="81"/>
      <c r="J4" s="81"/>
      <c r="K4" s="81"/>
      <c r="L4" s="81"/>
    </row>
    <row r="5" customFormat="false" ht="13.5" hidden="false" customHeight="true" outlineLevel="0" collapsed="false">
      <c r="B5" s="82"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96 cups and seven months, one pattern dominates: 54%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30 cups (31%), commanding a 63% premium over everything else.</v>
      </c>
      <c r="C5" s="82"/>
      <c r="D5" s="82"/>
      <c r="E5" s="82"/>
      <c r="F5" s="82"/>
      <c r="G5" s="82"/>
      <c r="H5" s="82"/>
      <c r="I5" s="82"/>
      <c r="J5" s="82"/>
      <c r="K5" s="82"/>
      <c r="L5" s="82"/>
    </row>
    <row r="6" customFormat="false" ht="13.5" hidden="false" customHeight="true" outlineLevel="0" collapsed="false">
      <c r="B6" s="82"/>
      <c r="C6" s="82"/>
      <c r="D6" s="82"/>
      <c r="E6" s="82"/>
      <c r="F6" s="82"/>
      <c r="G6" s="82"/>
      <c r="H6" s="82"/>
      <c r="I6" s="82"/>
      <c r="J6" s="82"/>
      <c r="K6" s="82"/>
      <c r="L6" s="82"/>
    </row>
    <row r="7" customFormat="false" ht="13.5" hidden="false" customHeight="true" outlineLevel="0" collapsed="false">
      <c r="B7" s="82"/>
      <c r="C7" s="82"/>
      <c r="D7" s="82"/>
      <c r="E7" s="82"/>
      <c r="F7" s="82"/>
      <c r="G7" s="82"/>
      <c r="H7" s="82"/>
      <c r="I7" s="82"/>
      <c r="J7" s="82"/>
      <c r="K7" s="82"/>
      <c r="L7" s="82"/>
    </row>
    <row r="9" customFormat="false" ht="6" hidden="false" customHeight="true" outlineLevel="0" collapsed="false"/>
    <row r="10" customFormat="false" ht="15.75" hidden="false" customHeight="true" outlineLevel="0" collapsed="false">
      <c r="B10" s="81" t="str">
        <f aca="false">"  🍯  PROCESS PREFERENCE SPECTRUM   —   live across "&amp;COUNTA('Coffee Audit'!A2:A2000)&amp;" entries"</f>
        <v>  🍯  PROCESS PREFERENCE SPECTRUM   —   live across 96 entries</v>
      </c>
      <c r="C10" s="81"/>
      <c r="D10" s="81"/>
      <c r="E10" s="81"/>
      <c r="F10" s="81"/>
      <c r="G10" s="81"/>
      <c r="H10" s="81" t="s">
        <v>1182</v>
      </c>
      <c r="I10" s="81"/>
      <c r="J10" s="81"/>
      <c r="K10" s="81"/>
      <c r="L10" s="81"/>
    </row>
    <row r="11" customFormat="false" ht="15.75" hidden="false" customHeight="true" outlineLevel="0" collapsed="false">
      <c r="B11" s="83" t="s">
        <v>7</v>
      </c>
      <c r="C11" s="83" t="s">
        <v>1183</v>
      </c>
      <c r="D11" s="83" t="s">
        <v>1184</v>
      </c>
      <c r="E11" s="83" t="s">
        <v>1117</v>
      </c>
      <c r="F11" s="83" t="s">
        <v>1185</v>
      </c>
      <c r="H11" s="83" t="s">
        <v>1186</v>
      </c>
      <c r="I11" s="83" t="s">
        <v>1183</v>
      </c>
      <c r="J11" s="83" t="s">
        <v>1187</v>
      </c>
    </row>
    <row r="12" customFormat="false" ht="12.75" hidden="false" customHeight="true" outlineLevel="0" collapsed="false">
      <c r="B12" s="84" t="s">
        <v>58</v>
      </c>
      <c r="C12" s="84" t="n">
        <f aca="false">COUNTIF('Coffee Audit'!H2:H2000,"*Washed*")</f>
        <v>52</v>
      </c>
      <c r="D12" s="85" t="str">
        <f aca="false">TEXT(COUNTIF('Coffee Audit'!H2:H2000,"*Washed*")/COUNTA('Coffee Audit'!A2:A2000),"0%")</f>
        <v>54%</v>
      </c>
      <c r="E12" s="86" t="s">
        <v>1188</v>
      </c>
      <c r="F12" s="87" t="s">
        <v>1189</v>
      </c>
      <c r="H12" s="88" t="s">
        <v>1190</v>
      </c>
      <c r="I12" s="89" t="n">
        <f aca="false">SUMPRODUCT(('Coffee Audit'!A2:A2000&lt;&gt;"")*((ISNUMBER(SEARCH("85",'Coffee Audit'!N2:N2000))+ISNUMBER(SEARCH("86",'Coffee Audit'!N2:N2000))+ISNUMBER(SEARCH("87",'Coffee Audit'!N2:N2000))+ISNUMBER(SEARCH("88",'Coffee Audit'!N2:N2000))+ISNUMBER(SEARCH("89",'Coffee Audit'!N2:N2000)))&gt;0))</f>
        <v>5</v>
      </c>
      <c r="J12" s="89" t="s">
        <v>1191</v>
      </c>
    </row>
    <row r="13" customFormat="false" ht="12.75" hidden="false" customHeight="true" outlineLevel="0" collapsed="false">
      <c r="B13" s="90" t="s">
        <v>29</v>
      </c>
      <c r="C13" s="90" t="n">
        <f aca="false">COUNTIF('Coffee Audit'!H2:H2000,"*Natural*")</f>
        <v>32</v>
      </c>
      <c r="D13" s="91" t="str">
        <f aca="false">TEXT(COUNTIF('Coffee Audit'!H2:H2000,"*Natural*")/COUNTA('Coffee Audit'!A2:A2000),"0%")</f>
        <v>33%</v>
      </c>
      <c r="E13" s="92" t="s">
        <v>1192</v>
      </c>
      <c r="F13" s="93" t="s">
        <v>1193</v>
      </c>
      <c r="H13" s="94" t="s">
        <v>1194</v>
      </c>
      <c r="I13" s="95" t="n">
        <f aca="false">SUMPRODUCT(('Coffee Audit'!A2:A2000&lt;&gt;"")*((ISNUMBER(SEARCH("90",'Coffee Audit'!N2:N2000))+ISNUMBER(SEARCH("91",'Coffee Audit'!N2:N2000)))&gt;0))</f>
        <v>22</v>
      </c>
      <c r="J13" s="95" t="s">
        <v>1195</v>
      </c>
    </row>
    <row r="14" customFormat="false" ht="12.75" hidden="false" customHeight="true" outlineLevel="0" collapsed="false">
      <c r="B14" s="84" t="s">
        <v>404</v>
      </c>
      <c r="C14" s="84" t="n">
        <f aca="false">COUNTIF('Coffee Audit'!H2:H2000,"*Honey*")</f>
        <v>8</v>
      </c>
      <c r="D14" s="85" t="str">
        <f aca="false">TEXT(COUNTIF('Coffee Audit'!H2:H2000,"*Honey*")/COUNTA('Coffee Audit'!A2:A2000),"0%")</f>
        <v>8%</v>
      </c>
      <c r="E14" s="86" t="s">
        <v>1196</v>
      </c>
      <c r="F14" s="87" t="s">
        <v>1197</v>
      </c>
      <c r="H14" s="88" t="s">
        <v>1198</v>
      </c>
      <c r="I14" s="89" t="n">
        <f aca="false">SUMPRODUCT(('Coffee Audit'!A2:A2000&lt;&gt;"")*((ISNUMBER(SEARCH("92",'Coffee Audit'!N2:N2000))+ISNUMBER(SEARCH("93",'Coffee Audit'!N2:N2000))+ISNUMBER(SEARCH("94",'Coffee Audit'!N2:N2000)))&gt;0))</f>
        <v>33</v>
      </c>
      <c r="J14" s="89" t="s">
        <v>1199</v>
      </c>
    </row>
    <row r="15" customFormat="false" ht="12.75" hidden="false" customHeight="true" outlineLevel="0" collapsed="false">
      <c r="B15" s="90" t="s">
        <v>1200</v>
      </c>
      <c r="C15" s="90" t="n">
        <f aca="false">COUNTIF('Coffee Audit'!H2:H2000,"*Anaerobic*")</f>
        <v>14</v>
      </c>
      <c r="D15" s="91" t="str">
        <f aca="false">TEXT(COUNTIF('Coffee Audit'!H2:H2000,"*Anaerobic*")/COUNTA('Coffee Audit'!A2:A2000),"0%")</f>
        <v>15%</v>
      </c>
      <c r="E15" s="92" t="s">
        <v>1201</v>
      </c>
      <c r="F15" s="93" t="s">
        <v>1202</v>
      </c>
      <c r="H15" s="94" t="s">
        <v>1203</v>
      </c>
      <c r="I15" s="95" t="n">
        <f aca="false">SUMPRODUCT(('Coffee Audit'!A2:A2000&lt;&gt;"")*((ISNUMBER(SEARCH("95",'Coffee Audit'!N2:N2000)))&gt;0))</f>
        <v>6</v>
      </c>
      <c r="J15" s="95" t="s">
        <v>1204</v>
      </c>
    </row>
    <row r="16" customFormat="false" ht="12.75" hidden="false" customHeight="true" outlineLevel="0" collapsed="false">
      <c r="B16" s="84" t="s">
        <v>1205</v>
      </c>
      <c r="C16" s="84" t="n">
        <f aca="false">COUNTIF('Coffee Audit'!H2:H2000,"*Ferment*")</f>
        <v>9</v>
      </c>
      <c r="D16" s="85" t="str">
        <f aca="false">TEXT(COUNTIF('Coffee Audit'!H2:H2000,"*Ferment*")/COUNTA('Coffee Audit'!A2:A2000),"0%")</f>
        <v>9%</v>
      </c>
      <c r="E16" s="86" t="s">
        <v>1206</v>
      </c>
      <c r="F16" s="87" t="s">
        <v>1207</v>
      </c>
      <c r="H16" s="88" t="s">
        <v>1208</v>
      </c>
      <c r="I16" s="89" t="s">
        <v>1209</v>
      </c>
      <c r="J16" s="89" t="s">
        <v>1210</v>
      </c>
    </row>
    <row r="17" customFormat="false" ht="12.75" hidden="false" customHeight="true" outlineLevel="0" collapsed="false">
      <c r="B17" s="90" t="s">
        <v>40</v>
      </c>
      <c r="C17" s="90" t="n">
        <f aca="false">COUNTIF('Coffee Audit'!H2:H2000,"*Hulled*")</f>
        <v>1</v>
      </c>
      <c r="D17" s="91" t="str">
        <f aca="false">TEXT(COUNTIF('Coffee Audit'!H2:H2000,"*Hulled*")/COUNTA('Coffee Audit'!A2:A2000),"0%")</f>
        <v>1%</v>
      </c>
      <c r="E17" s="92" t="s">
        <v>1211</v>
      </c>
      <c r="F17" s="93" t="s">
        <v>1212</v>
      </c>
      <c r="H17" s="94" t="s">
        <v>1213</v>
      </c>
      <c r="I17" s="95" t="s">
        <v>1214</v>
      </c>
      <c r="J17" s="95" t="s">
        <v>1215</v>
      </c>
    </row>
    <row r="18" customFormat="false" ht="12.75" hidden="false" customHeight="true" outlineLevel="0" collapsed="false">
      <c r="B18" s="96"/>
      <c r="C18" s="4"/>
      <c r="D18" s="4"/>
      <c r="E18" s="4"/>
      <c r="F18" s="4"/>
      <c r="H18" s="88" t="s">
        <v>1216</v>
      </c>
      <c r="I18" s="89" t="s">
        <v>1217</v>
      </c>
      <c r="J18" s="89" t="s">
        <v>1218</v>
      </c>
    </row>
    <row r="19" customFormat="false" ht="12.75" hidden="false" customHeight="true" outlineLevel="0" collapsed="false">
      <c r="B19" s="96"/>
      <c r="C19" s="4"/>
      <c r="D19" s="4"/>
      <c r="E19" s="4"/>
      <c r="F19" s="4"/>
      <c r="H19" s="94" t="s">
        <v>1219</v>
      </c>
      <c r="I19" s="95" t="s">
        <v>1217</v>
      </c>
      <c r="J19" s="95" t="s">
        <v>1220</v>
      </c>
    </row>
    <row r="20" customFormat="false" ht="7.5" hidden="false" customHeight="true" outlineLevel="0" collapsed="false">
      <c r="H20" s="94" t="s">
        <v>1221</v>
      </c>
      <c r="I20" s="95" t="n">
        <v>1</v>
      </c>
      <c r="J20" s="95" t="s">
        <v>1222</v>
      </c>
    </row>
    <row r="21" customFormat="false" ht="15.75" hidden="false" customHeight="true" outlineLevel="0" collapsed="false">
      <c r="B21" s="81" t="s">
        <v>1223</v>
      </c>
      <c r="C21" s="81"/>
      <c r="D21" s="81"/>
      <c r="E21" s="81"/>
      <c r="F21" s="81"/>
      <c r="G21" s="81"/>
      <c r="H21" s="81" t="s">
        <v>1224</v>
      </c>
      <c r="I21" s="81"/>
      <c r="J21" s="81"/>
      <c r="K21" s="81"/>
      <c r="L21" s="81"/>
    </row>
    <row r="22" customFormat="false" ht="15.75" hidden="false" customHeight="true" outlineLevel="0" collapsed="false">
      <c r="B22" s="83" t="s">
        <v>7</v>
      </c>
      <c r="C22" s="83" t="s">
        <v>1069</v>
      </c>
      <c r="D22" s="83" t="s">
        <v>1225</v>
      </c>
      <c r="E22" s="83" t="s">
        <v>1226</v>
      </c>
      <c r="H22" s="83" t="s">
        <v>1227</v>
      </c>
      <c r="I22" s="83" t="s">
        <v>1228</v>
      </c>
      <c r="J22" s="83" t="s">
        <v>1229</v>
      </c>
      <c r="K22" s="83" t="s">
        <v>1230</v>
      </c>
    </row>
    <row r="23" customFormat="false" ht="12.75" hidden="false" customHeight="true" outlineLevel="0" collapsed="false">
      <c r="B23" s="94" t="s">
        <v>1231</v>
      </c>
      <c r="C23" s="95" t="s">
        <v>1232</v>
      </c>
      <c r="D23" s="95" t="s">
        <v>1233</v>
      </c>
      <c r="E23" s="95" t="s">
        <v>1234</v>
      </c>
      <c r="H23" s="94" t="s">
        <v>1235</v>
      </c>
      <c r="I23" s="95" t="n">
        <f aca="false">SUMPRODUCT(('Coffee Audit'!A2:A2000&lt;&gt;"")*((ISNUMBER(SEARCH("1:10",'Coffee Audit'!M2:M2000))+ISNUMBER(SEARCH("1:11",'Coffee Audit'!M2:M2000))+ISNUMBER(SEARCH("1:12",'Coffee Audit'!M2:M2000))+ISNUMBER(SEARCH("1:2",'Coffee Audit'!M2:M2000))+ISNUMBER(SEARCH("1:1 ",'Coffee Audit'!M2:M2000)))&gt;0))</f>
        <v>5</v>
      </c>
      <c r="J23" s="95" t="s">
        <v>1236</v>
      </c>
      <c r="K23" s="95" t="s">
        <v>1237</v>
      </c>
    </row>
    <row r="24" customFormat="false" ht="12.75" hidden="false" customHeight="true" outlineLevel="0" collapsed="false">
      <c r="B24" s="88" t="s">
        <v>404</v>
      </c>
      <c r="C24" s="89" t="s">
        <v>1238</v>
      </c>
      <c r="D24" s="89" t="s">
        <v>1239</v>
      </c>
      <c r="E24" s="89" t="s">
        <v>1240</v>
      </c>
      <c r="H24" s="88" t="s">
        <v>1241</v>
      </c>
      <c r="I24" s="89" t="n">
        <f aca="false">SUMPRODUCT(('Coffee Audit'!A2:A2000&lt;&gt;"")*((ISNUMBER(SEARCH("1:13",'Coffee Audit'!M2:M2000)))&gt;0))</f>
        <v>5</v>
      </c>
      <c r="J24" s="89" t="s">
        <v>1242</v>
      </c>
      <c r="K24" s="89" t="s">
        <v>1243</v>
      </c>
    </row>
    <row r="25" customFormat="false" ht="12.75" hidden="false" customHeight="true" outlineLevel="0" collapsed="false">
      <c r="B25" s="94" t="s">
        <v>404</v>
      </c>
      <c r="C25" s="95" t="s">
        <v>1244</v>
      </c>
      <c r="D25" s="95" t="s">
        <v>1245</v>
      </c>
      <c r="E25" s="95" t="s">
        <v>1246</v>
      </c>
      <c r="H25" s="94" t="s">
        <v>1247</v>
      </c>
      <c r="I25" s="95" t="n">
        <f aca="false">SUMPRODUCT(('Coffee Audit'!A2:A2000&lt;&gt;"")*((ISNUMBER(SEARCH("1:14",'Coffee Audit'!M2:M2000)))&gt;0))</f>
        <v>9</v>
      </c>
      <c r="J25" s="95" t="s">
        <v>1248</v>
      </c>
      <c r="K25" s="95" t="s">
        <v>1249</v>
      </c>
    </row>
    <row r="26" customFormat="false" ht="12.75" hidden="false" customHeight="true" outlineLevel="0" collapsed="false">
      <c r="B26" s="88" t="s">
        <v>29</v>
      </c>
      <c r="C26" s="89" t="s">
        <v>1250</v>
      </c>
      <c r="D26" s="89" t="s">
        <v>1251</v>
      </c>
      <c r="E26" s="89" t="s">
        <v>1240</v>
      </c>
      <c r="H26" s="88" t="s">
        <v>1252</v>
      </c>
      <c r="I26" s="89" t="n">
        <f aca="false">SUMPRODUCT(('Coffee Audit'!A2:A2000&lt;&gt;"")*((ISNUMBER(SEARCH("1:15",'Coffee Audit'!M2:M2000))+ISNUMBER(SEARCH("1:16",'Coffee Audit'!M2:M2000))+ISNUMBER(SEARCH("1:17",'Coffee Audit'!M2:M2000)))&gt;0))</f>
        <v>58</v>
      </c>
      <c r="J26" s="89" t="s">
        <v>1253</v>
      </c>
      <c r="K26" s="89" t="str">
        <f aca="false">"Core extraction philosophy — "&amp;TEXT(I26/COUNTA('Coffee Audit'!A2:A2000),"0%")&amp;" of all logged entries"</f>
        <v>Core extraction philosophy — 60% of all logged entries</v>
      </c>
    </row>
    <row r="27" customFormat="false" ht="12.75" hidden="false" customHeight="true" outlineLevel="0" collapsed="false">
      <c r="B27" s="94" t="s">
        <v>29</v>
      </c>
      <c r="C27" s="95" t="s">
        <v>1254</v>
      </c>
      <c r="D27" s="95" t="s">
        <v>1255</v>
      </c>
      <c r="E27" s="95" t="s">
        <v>1256</v>
      </c>
      <c r="H27" s="94" t="s">
        <v>1257</v>
      </c>
      <c r="I27" s="95" t="n">
        <f aca="false">SUMPRODUCT(('Coffee Audit'!A2:A2000&lt;&gt;"")*((ISNUMBER(SEARCH("1:18",'Coffee Audit'!M2:M2000))+ISNUMBER(SEARCH("1:19",'Coffee Audit'!M2:M2000)))&gt;0))</f>
        <v>0</v>
      </c>
      <c r="J27" s="95" t="s">
        <v>1258</v>
      </c>
      <c r="K27" s="95" t="s">
        <v>1259</v>
      </c>
    </row>
    <row r="28" customFormat="false" ht="12.75" hidden="false" customHeight="true" outlineLevel="0" collapsed="false">
      <c r="B28" s="97" t="s">
        <v>1260</v>
      </c>
      <c r="C28" s="97"/>
      <c r="D28" s="97"/>
      <c r="E28" s="97"/>
      <c r="F28" s="97"/>
      <c r="H28" s="88" t="s">
        <v>27</v>
      </c>
      <c r="I28" s="89" t="n">
        <f aca="false">COUNTA('Coffee Audit'!A2:A2000)-SUM(I23:I27)</f>
        <v>19</v>
      </c>
      <c r="J28" s="89" t="s">
        <v>1258</v>
      </c>
      <c r="K28" s="89" t="s">
        <v>1261</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9" t="s">
        <v>1262</v>
      </c>
      <c r="C1" s="79"/>
      <c r="D1" s="79"/>
      <c r="E1" s="79"/>
      <c r="F1" s="79"/>
      <c r="G1" s="79"/>
      <c r="H1" s="79"/>
      <c r="I1" s="79"/>
      <c r="J1" s="79"/>
      <c r="K1" s="79"/>
      <c r="L1" s="79"/>
    </row>
    <row r="2" customFormat="false" ht="13.5" hidden="false" customHeight="true" outlineLevel="0" collapsed="false">
      <c r="B2" s="80"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60 distinct origin strings · Colombia leads at 24% · 30 Gesha entries</v>
      </c>
      <c r="C2" s="80"/>
      <c r="D2" s="80"/>
      <c r="E2" s="80"/>
      <c r="F2" s="80"/>
      <c r="G2" s="80"/>
      <c r="H2" s="80"/>
      <c r="I2" s="80"/>
      <c r="J2" s="80"/>
      <c r="K2" s="80"/>
      <c r="L2" s="80"/>
    </row>
    <row r="3" customFormat="false" ht="6" hidden="false" customHeight="true" outlineLevel="0" collapsed="false"/>
    <row r="4" customFormat="false" ht="15.75" hidden="false" customHeight="true" outlineLevel="0" collapsed="false">
      <c r="B4" s="81" t="s">
        <v>1263</v>
      </c>
      <c r="C4" s="81"/>
      <c r="D4" s="81"/>
      <c r="E4" s="81"/>
      <c r="F4" s="81"/>
      <c r="G4" s="81"/>
      <c r="H4" s="81" t="str">
        <f aca="false">"  ⭐  GESHA REGISTER  —  The Apex Varietal · "&amp;COUNTIF('Coffee Audit'!W2:W2000,"⭐ GESHA")&amp;" archive entries"</f>
        <v>  ⭐  GESHA REGISTER  —  The Apex Varietal · 30 archive entries</v>
      </c>
      <c r="I4" s="81"/>
      <c r="J4" s="81"/>
      <c r="K4" s="81"/>
      <c r="L4" s="81"/>
    </row>
    <row r="5" customFormat="false" ht="15.75" hidden="false" customHeight="true" outlineLevel="0" collapsed="false">
      <c r="B5" s="83" t="s">
        <v>5</v>
      </c>
      <c r="C5" s="83" t="s">
        <v>1183</v>
      </c>
      <c r="D5" s="83" t="s">
        <v>1138</v>
      </c>
      <c r="E5" s="83" t="s">
        <v>1264</v>
      </c>
      <c r="F5" s="83" t="s">
        <v>1265</v>
      </c>
      <c r="H5" s="83" t="s">
        <v>1266</v>
      </c>
      <c r="I5" s="83" t="s">
        <v>1267</v>
      </c>
    </row>
    <row r="6" customFormat="false" ht="12.75" hidden="false" customHeight="true" outlineLevel="0" collapsed="false">
      <c r="B6" s="88" t="s">
        <v>118</v>
      </c>
      <c r="C6" s="89" t="n">
        <f aca="false">COUNTIF('Coffee Audit'!F2:F2000,"*Colombia*")</f>
        <v>23</v>
      </c>
      <c r="D6" s="89" t="str">
        <f aca="false">TEXT(COUNTIF('Coffee Audit'!F2:F2000,"*Colombia*")/COUNTA('Coffee Audit'!A2:A2000),"0%")</f>
        <v>24%</v>
      </c>
      <c r="E6" s="89" t="str">
        <f aca="false">IF(SUMPRODUCT(ISNUMBER(SEARCH("Colombia",'Coffee Audit'!F2:F2000))*('Coffee Audit'!W2:W2000="⭐ GESHA"))=0,"—","⭐ ×"&amp;SUMPRODUCT(ISNUMBER(SEARCH("Colombia",'Coffee Audit'!F2:F2000))*('Coffee Audit'!W2:W2000="⭐ GESHA")))</f>
        <v>⭐ ×10</v>
      </c>
      <c r="F6" s="89" t="s">
        <v>1268</v>
      </c>
      <c r="H6" s="88" t="s">
        <v>1269</v>
      </c>
      <c r="I6" s="98" t="n">
        <f aca="false">COUNTIF('Coffee Audit'!W2:W2000,"⭐ GESHA")</f>
        <v>30</v>
      </c>
    </row>
    <row r="7" customFormat="false" ht="12.75" hidden="false" customHeight="true" outlineLevel="0" collapsed="false">
      <c r="B7" s="94" t="s">
        <v>266</v>
      </c>
      <c r="C7" s="95" t="n">
        <f aca="false">COUNTIF('Coffee Audit'!F2:F2000,"*Ethiopia*")</f>
        <v>10</v>
      </c>
      <c r="D7" s="95" t="str">
        <f aca="false">TEXT(COUNTIF('Coffee Audit'!F2:F2000,"*Ethiopia*")/COUNTA('Coffee Audit'!A2:A2000),"0%")</f>
        <v>10%</v>
      </c>
      <c r="E7" s="95" t="str">
        <f aca="false">IF(SUMPRODUCT(ISNUMBER(SEARCH("Ethiopia",'Coffee Audit'!F2:F2000))*('Coffee Audit'!W2:W2000="⭐ GESHA"))=0,"—","⭐ ×"&amp;SUMPRODUCT(ISNUMBER(SEARCH("Ethiopia",'Coffee Audit'!F2:F2000))*('Coffee Audit'!W2:W2000="⭐ GESHA")))</f>
        <v>—</v>
      </c>
      <c r="F7" s="95" t="s">
        <v>1270</v>
      </c>
      <c r="H7" s="94" t="s">
        <v>1271</v>
      </c>
      <c r="I7" s="99" t="n">
        <f aca="false">SUMPRODUCT(('Coffee Audit'!W2:W2000="⭐ GESHA")*(ISNUMBER(SEARCH("washed",'Coffee Audit'!H2:H2000))))</f>
        <v>17</v>
      </c>
    </row>
    <row r="8" customFormat="false" ht="12.75" hidden="false" customHeight="true" outlineLevel="0" collapsed="false">
      <c r="B8" s="88" t="s">
        <v>253</v>
      </c>
      <c r="C8" s="89" t="n">
        <f aca="false">COUNTIF('Coffee Audit'!F2:F2000,"*Brazil*")</f>
        <v>5</v>
      </c>
      <c r="D8" s="89" t="str">
        <f aca="false">TEXT(COUNTIF('Coffee Audit'!F2:F2000,"*Brazil*")/COUNTA('Coffee Audit'!A2:A2000),"0%")</f>
        <v>5%</v>
      </c>
      <c r="E8" s="89" t="str">
        <f aca="false">IF(SUMPRODUCT(ISNUMBER(SEARCH("Brazil",'Coffee Audit'!F2:F2000))*('Coffee Audit'!W2:W2000="⭐ GESHA"))=0,"—","⭐ ×"&amp;SUMPRODUCT(ISNUMBER(SEARCH("Brazil",'Coffee Audit'!F2:F2000))*('Coffee Audit'!W2:W2000="⭐ GESHA")))</f>
        <v>—</v>
      </c>
      <c r="F8" s="89" t="s">
        <v>1272</v>
      </c>
      <c r="H8" s="88" t="s">
        <v>1273</v>
      </c>
      <c r="I8" s="98" t="n">
        <f aca="false">SUMPRODUCT(('Coffee Audit'!W2:W2000="⭐ GESHA")*(ISNUMBER(SEARCH("honey",'Coffee Audit'!H2:H2000))))</f>
        <v>5</v>
      </c>
    </row>
    <row r="9" customFormat="false" ht="12.75" hidden="false" customHeight="true" outlineLevel="0" collapsed="false">
      <c r="B9" s="94" t="s">
        <v>98</v>
      </c>
      <c r="C9" s="95" t="n">
        <f aca="false">COUNTIF('Coffee Audit'!F2:F2000,"*Honduras*")</f>
        <v>3</v>
      </c>
      <c r="D9" s="95" t="str">
        <f aca="false">TEXT(COUNTIF('Coffee Audit'!F2:F2000,"*Honduras*")/COUNTA('Coffee Audit'!A2:A2000),"0%")</f>
        <v>3%</v>
      </c>
      <c r="E9" s="95" t="str">
        <f aca="false">IF(SUMPRODUCT(ISNUMBER(SEARCH("Honduras",'Coffee Audit'!F2:F2000))*('Coffee Audit'!W2:W2000="⭐ GESHA"))=0,"—","⭐ ×"&amp;SUMPRODUCT(ISNUMBER(SEARCH("Honduras",'Coffee Audit'!F2:F2000))*('Coffee Audit'!W2:W2000="⭐ GESHA")))</f>
        <v>—</v>
      </c>
      <c r="F9" s="95" t="s">
        <v>1148</v>
      </c>
      <c r="H9" s="94" t="s">
        <v>1274</v>
      </c>
      <c r="I9" s="99" t="n">
        <f aca="false">SUMPRODUCT(('Coffee Audit'!W2:W2000="⭐ GESHA")*(ISNUMBER(SEARCH("natural",'Coffee Audit'!H2:H2000))))</f>
        <v>8</v>
      </c>
    </row>
    <row r="10" customFormat="false" ht="12.75" hidden="false" customHeight="true" outlineLevel="0" collapsed="false">
      <c r="B10" s="88" t="s">
        <v>996</v>
      </c>
      <c r="C10" s="89" t="n">
        <f aca="false">COUNTIF('Coffee Audit'!F2:F2000,"*Indonesia*")</f>
        <v>5</v>
      </c>
      <c r="D10" s="89" t="str">
        <f aca="false">TEXT(COUNTIF('Coffee Audit'!F2:F2000,"*Indonesia*")/COUNTA('Coffee Audit'!A2:A2000),"0%")</f>
        <v>5%</v>
      </c>
      <c r="E10" s="89" t="str">
        <f aca="false">IF(SUMPRODUCT(ISNUMBER(SEARCH("Indonesia",'Coffee Audit'!F2:F2000))*('Coffee Audit'!W2:W2000="⭐ GESHA"))=0,"—","⭐ ×"&amp;SUMPRODUCT(ISNUMBER(SEARCH("Indonesia",'Coffee Audit'!F2:F2000))*('Coffee Audit'!W2:W2000="⭐ GESHA")))</f>
        <v>—</v>
      </c>
      <c r="F10" s="89" t="s">
        <v>1275</v>
      </c>
      <c r="H10" s="88" t="s">
        <v>1276</v>
      </c>
      <c r="I10" s="98" t="str">
        <f aca="false">"S$"&amp;TEXT(AVERAGEIFS('Coffee Audit'!Q2:Q2000,'Coffee Audit'!W2:W2000,"⭐ GESHA",'Coffee Audit'!Q2:Q2000,"&gt;0"),"0.00")</f>
        <v>S$15.55</v>
      </c>
    </row>
    <row r="11" customFormat="false" ht="12.75" hidden="false" customHeight="true" outlineLevel="0" collapsed="false">
      <c r="B11" s="94" t="s">
        <v>639</v>
      </c>
      <c r="C11" s="95" t="n">
        <f aca="false">COUNTIF('Coffee Audit'!F2:F2000,"*Peru*")</f>
        <v>10</v>
      </c>
      <c r="D11" s="95" t="str">
        <f aca="false">TEXT(COUNTIF('Coffee Audit'!F2:F2000,"*Peru*")/COUNTA('Coffee Audit'!A2:A2000),"0%")</f>
        <v>10%</v>
      </c>
      <c r="E11" s="95" t="str">
        <f aca="false">IF(SUMPRODUCT(ISNUMBER(SEARCH("Peru",'Coffee Audit'!F2:F2000))*('Coffee Audit'!W2:W2000="⭐ GESHA"))=0,"—","⭐ ×"&amp;SUMPRODUCT(ISNUMBER(SEARCH("Peru",'Coffee Audit'!F2:F2000))*('Coffee Audit'!W2:W2000="⭐ GESHA")))</f>
        <v>⭐ ×8</v>
      </c>
      <c r="F11" s="95" t="s">
        <v>1277</v>
      </c>
      <c r="H11" s="94" t="s">
        <v>1278</v>
      </c>
      <c r="I11" s="99" t="str">
        <f aca="false">"S$"&amp;TEXT(AVERAGEIFS('Coffee Audit'!Q2:Q2000,'Coffee Audit'!W2:W2000,"&lt;&gt;⭐ GESHA",'Coffee Audit'!Q2:Q2000,"&gt;0"),"0.00")</f>
        <v>S$9.51</v>
      </c>
    </row>
    <row r="12" customFormat="false" ht="12.75" hidden="false" customHeight="true" outlineLevel="0" collapsed="false">
      <c r="B12" s="88" t="s">
        <v>127</v>
      </c>
      <c r="C12" s="89" t="n">
        <f aca="false">COUNTIF('Coffee Audit'!F2:F2000,"*Kenya*")</f>
        <v>5</v>
      </c>
      <c r="D12" s="89" t="str">
        <f aca="false">TEXT(COUNTIF('Coffee Audit'!F2:F2000,"*Kenya*")/COUNTA('Coffee Audit'!A2:A2000),"0%")</f>
        <v>5%</v>
      </c>
      <c r="E12" s="89" t="str">
        <f aca="false">IF(SUMPRODUCT(ISNUMBER(SEARCH("Kenya",'Coffee Audit'!F2:F2000))*('Coffee Audit'!W2:W2000="⭐ GESHA"))=0,"—","⭐ ×"&amp;SUMPRODUCT(ISNUMBER(SEARCH("Kenya",'Coffee Audit'!F2:F2000))*('Coffee Audit'!W2:W2000="⭐ GESHA")))</f>
        <v>—</v>
      </c>
      <c r="F12" s="89" t="s">
        <v>1144</v>
      </c>
      <c r="H12" s="88" t="s">
        <v>1279</v>
      </c>
      <c r="I12" s="98" t="str">
        <f aca="false">"+"&amp;TEXT(AVERAGEIFS('Coffee Audit'!Q2:Q2000,'Coffee Audit'!W2:W2000,"⭐ GESHA",'Coffee Audit'!Q2:Q2000,"&gt;0")/AVERAGEIFS('Coffee Audit'!Q2:Q2000,'Coffee Audit'!W2:W2000,"&lt;&gt;⭐ GESHA",'Coffee Audit'!Q2:Q2000,"&gt;0")-1,"0%")</f>
        <v>+63%</v>
      </c>
    </row>
    <row r="13" customFormat="false" ht="12.75" hidden="false" customHeight="true" outlineLevel="0" collapsed="false">
      <c r="B13" s="94" t="s">
        <v>693</v>
      </c>
      <c r="C13" s="95" t="n">
        <f aca="false">COUNTIF('Coffee Audit'!F2:F2000,"*Panama*")</f>
        <v>8</v>
      </c>
      <c r="D13" s="95" t="str">
        <f aca="false">TEXT(COUNTIF('Coffee Audit'!F2:F2000,"*Panama*")/COUNTA('Coffee Audit'!A2:A2000),"0%")</f>
        <v>8%</v>
      </c>
      <c r="E13" s="95" t="s">
        <v>1280</v>
      </c>
      <c r="F13" s="95" t="s">
        <v>1280</v>
      </c>
      <c r="H13" s="94" t="s">
        <v>1281</v>
      </c>
      <c r="I13" s="99" t="s">
        <v>1282</v>
      </c>
    </row>
    <row r="14" customFormat="false" ht="12.75" hidden="false" customHeight="true" outlineLevel="0" collapsed="false">
      <c r="B14" s="88" t="s">
        <v>135</v>
      </c>
      <c r="C14" s="89" t="n">
        <f aca="false">COUNTIF('Coffee Audit'!F2:F2000,"*Nicaragua*")</f>
        <v>3</v>
      </c>
      <c r="D14" s="89" t="str">
        <f aca="false">TEXT(COUNTIF('Coffee Audit'!F2:F2000,"*Nicaragua*")/COUNTA('Coffee Audit'!A2:A2000),"0%")</f>
        <v>3%</v>
      </c>
      <c r="E14" s="89" t="str">
        <f aca="false">IF(SUMPRODUCT(ISNUMBER(SEARCH("Nicaragua",'Coffee Audit'!F2:F2000))*('Coffee Audit'!W2:W2000="⭐ GESHA"))=0,"—","⭐ ×"&amp;SUMPRODUCT(ISNUMBER(SEARCH("Nicaragua",'Coffee Audit'!F2:F2000))*('Coffee Audit'!W2:W2000="⭐ GESHA")))</f>
        <v>—</v>
      </c>
      <c r="F14" s="89" t="s">
        <v>1283</v>
      </c>
      <c r="H14" s="88" t="s">
        <v>1284</v>
      </c>
      <c r="I14" s="98"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94" t="s">
        <v>543</v>
      </c>
      <c r="C15" s="95" t="n">
        <f aca="false">COUNTIF('Coffee Audit'!F2:F2000,"*Bolivia*")</f>
        <v>3</v>
      </c>
      <c r="D15" s="95" t="str">
        <f aca="false">TEXT(COUNTIF('Coffee Audit'!F2:F2000,"*Bolivia*")/COUNTA('Coffee Audit'!A2:A2000),"0%")</f>
        <v>3%</v>
      </c>
      <c r="E15" s="95" t="str">
        <f aca="false">IF(SUMPRODUCT(ISNUMBER(SEARCH("Bolivia",'Coffee Audit'!F2:F2000))*('Coffee Audit'!W2:W2000="⭐ GESHA"))=0,"—","⭐ ×"&amp;SUMPRODUCT(ISNUMBER(SEARCH("Bolivia",'Coffee Audit'!F2:F2000))*('Coffee Audit'!W2:W2000="⭐ GESHA")))</f>
        <v>⭐ ×1</v>
      </c>
      <c r="F15" s="95" t="s">
        <v>1285</v>
      </c>
      <c r="H15" s="94" t="s">
        <v>1286</v>
      </c>
      <c r="I15" s="99"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S$9.00 — Berlina — Washed Panama Geisha (Fluid Collective)</v>
      </c>
    </row>
    <row r="16" customFormat="false" ht="12.75" hidden="false" customHeight="true" outlineLevel="0" collapsed="false">
      <c r="B16" s="88" t="s">
        <v>1287</v>
      </c>
      <c r="C16" s="89" t="n">
        <f aca="false">COUNTIF('Coffee Audit'!F2:F2000,"*Ecuador*")</f>
        <v>2</v>
      </c>
      <c r="D16" s="89" t="str">
        <f aca="false">TEXT(COUNTIF('Coffee Audit'!F2:F2000,"*Ecuador*")/COUNTA('Coffee Audit'!A2:A2000),"0%")</f>
        <v>2%</v>
      </c>
      <c r="E16" s="89" t="str">
        <f aca="false">IF(SUMPRODUCT(ISNUMBER(SEARCH("Ecuador",'Coffee Audit'!F2:F2000))*('Coffee Audit'!W2:W2000="⭐ GESHA"))=0,"—","⭐ ×"&amp;SUMPRODUCT(ISNUMBER(SEARCH("Ecuador",'Coffee Audit'!F2:F2000))*('Coffee Audit'!W2:W2000="⭐ GESHA")))</f>
        <v>⭐ ×1</v>
      </c>
      <c r="F16" s="89" t="s">
        <v>1288</v>
      </c>
      <c r="H16" s="88" t="s">
        <v>1289</v>
      </c>
      <c r="I16" s="98" t="s">
        <v>1290</v>
      </c>
    </row>
    <row r="17" customFormat="false" ht="12.75" hidden="false" customHeight="true" outlineLevel="0" collapsed="false">
      <c r="B17" s="94" t="s">
        <v>73</v>
      </c>
      <c r="C17" s="95" t="n">
        <f aca="false">COUNTIF('Coffee Audit'!F2:F2000,"*India*")</f>
        <v>3</v>
      </c>
      <c r="D17" s="95" t="str">
        <f aca="false">TEXT(COUNTIF('Coffee Audit'!F2:F2000,"*India*")/COUNTA('Coffee Audit'!A2:A2000),"0%")</f>
        <v>3%</v>
      </c>
      <c r="E17" s="95" t="str">
        <f aca="false">IF(SUMPRODUCT(ISNUMBER(SEARCH("India",'Coffee Audit'!F2:F2000))*('Coffee Audit'!W2:W2000="⭐ GESHA"))=0,"—","⭐ ×"&amp;SUMPRODUCT(ISNUMBER(SEARCH("India",'Coffee Audit'!F2:F2000))*('Coffee Audit'!W2:W2000="⭐ GESHA")))</f>
        <v>—</v>
      </c>
      <c r="F17" s="95" t="s">
        <v>1291</v>
      </c>
    </row>
    <row r="18" customFormat="false" ht="12.75" hidden="false" customHeight="true" outlineLevel="0" collapsed="false">
      <c r="B18" s="88" t="s">
        <v>1292</v>
      </c>
      <c r="C18" s="89" t="n">
        <f aca="false">COUNTIF('Coffee Audit'!F2:F2000,"*Malaysia*")</f>
        <v>1</v>
      </c>
      <c r="D18" s="89" t="str">
        <f aca="false">TEXT(COUNTIF('Coffee Audit'!F2:F2000,"*Malaysia*")/COUNTA('Coffee Audit'!A2:A2000),"0%")</f>
        <v>1%</v>
      </c>
      <c r="E18" s="89" t="str">
        <f aca="false">IF(SUMPRODUCT(ISNUMBER(SEARCH("Malaysia",'Coffee Audit'!F2:F2000))*('Coffee Audit'!W2:W2000="⭐ GESHA"))=0,"—","⭐ ×"&amp;SUMPRODUCT(ISNUMBER(SEARCH("Malaysia",'Coffee Audit'!F2:F2000))*('Coffee Audit'!W2:W2000="⭐ GESHA")))</f>
        <v>—</v>
      </c>
      <c r="F18" s="89" t="s">
        <v>1293</v>
      </c>
    </row>
    <row r="19" customFormat="false" ht="12.75" hidden="false" customHeight="true" outlineLevel="0" collapsed="false">
      <c r="B19" s="94" t="s">
        <v>1294</v>
      </c>
      <c r="C19" s="95" t="n">
        <f aca="false">COUNTIF('Coffee Audit'!F2:F2000,"*China*")</f>
        <v>1</v>
      </c>
      <c r="D19" s="95" t="str">
        <f aca="false">TEXT(COUNTIF('Coffee Audit'!F2:F2000,"*China*")/COUNTA('Coffee Audit'!A2:A2000),"0%")</f>
        <v>1%</v>
      </c>
      <c r="E19" s="95" t="str">
        <f aca="false">IF(SUMPRODUCT(ISNUMBER(SEARCH("China",'Coffee Audit'!F2:F2000))*('Coffee Audit'!W2:W2000="⭐ GESHA"))=0,"—","⭐ ×"&amp;SUMPRODUCT(ISNUMBER(SEARCH("China",'Coffee Audit'!F2:F2000))*('Coffee Audit'!W2:W2000="⭐ GESHA")))</f>
        <v>—</v>
      </c>
      <c r="F19" s="95" t="s">
        <v>1295</v>
      </c>
    </row>
    <row r="20" customFormat="false" ht="12.75" hidden="false" customHeight="true" outlineLevel="0" collapsed="false">
      <c r="B20" s="88" t="s">
        <v>395</v>
      </c>
      <c r="C20" s="89" t="n">
        <f aca="false">COUNTIF('Coffee Audit'!F2:F2000,"*Rwanda*")</f>
        <v>3</v>
      </c>
      <c r="D20" s="89" t="str">
        <f aca="false">TEXT(COUNTIF('Coffee Audit'!F2:F2000,"*Rwanda*")/COUNTA('Coffee Audit'!A2:A2000),"0%")</f>
        <v>3%</v>
      </c>
      <c r="E20" s="89" t="str">
        <f aca="false">IF(SUMPRODUCT(ISNUMBER(SEARCH("Rwanda",'Coffee Audit'!F2:F2000))*('Coffee Audit'!W2:W2000="⭐ GESHA"))=0,"—","⭐ ×"&amp;SUMPRODUCT(ISNUMBER(SEARCH("Rwanda",'Coffee Audit'!F2:F2000))*('Coffee Audit'!W2:W2000="⭐ GESHA")))</f>
        <v>—</v>
      </c>
      <c r="F20" s="89" t="s">
        <v>1296</v>
      </c>
    </row>
    <row r="21" customFormat="false" ht="12.75" hidden="false" customHeight="true" outlineLevel="0" collapsed="false">
      <c r="B21" s="94" t="s">
        <v>1297</v>
      </c>
      <c r="C21" s="95" t="n">
        <f aca="false">COUNTIF('Coffee Audit'!F2:F2000,"*Myanmar*")</f>
        <v>1</v>
      </c>
      <c r="D21" s="95" t="str">
        <f aca="false">TEXT(COUNTIF('Coffee Audit'!F2:F2000,"*Myanmar*")/COUNTA('Coffee Audit'!A2:A2000),"0%")</f>
        <v>1%</v>
      </c>
      <c r="E21" s="95" t="str">
        <f aca="false">IF(SUMPRODUCT(ISNUMBER(SEARCH("Myanmar",'Coffee Audit'!F2:F2000))*('Coffee Audit'!W2:W2000="⭐ GESHA"))=0,"—","⭐ ×"&amp;SUMPRODUCT(ISNUMBER(SEARCH("Myanmar",'Coffee Audit'!F2:F2000))*('Coffee Audit'!W2:W2000="⭐ GESHA")))</f>
        <v>—</v>
      </c>
      <c r="F21" s="95" t="s">
        <v>1298</v>
      </c>
    </row>
    <row r="22" customFormat="false" ht="12.75" hidden="false" customHeight="true" outlineLevel="0" collapsed="false">
      <c r="B22" s="88" t="s">
        <v>90</v>
      </c>
      <c r="C22" s="89" t="n">
        <f aca="false">COUNTIF('Coffee Audit'!F2:F2000,"*El Salvador*")</f>
        <v>1</v>
      </c>
      <c r="D22" s="89" t="str">
        <f aca="false">TEXT(COUNTIF('Coffee Audit'!F2:F2000,"*El Salvador*")/COUNTA('Coffee Audit'!A2:A2000),"0%")</f>
        <v>1%</v>
      </c>
      <c r="E22" s="89" t="str">
        <f aca="false">IF(SUMPRODUCT(ISNUMBER(SEARCH("El Salvador",'Coffee Audit'!F2:F2000))*('Coffee Audit'!W2:W2000="⭐ GESHA"))=0,"—","⭐ ×"&amp;SUMPRODUCT(ISNUMBER(SEARCH("El Salvador",'Coffee Audit'!F2:F2000))*('Coffee Audit'!W2:W2000="⭐ GESHA")))</f>
        <v>—</v>
      </c>
      <c r="F22" s="89" t="s">
        <v>1299</v>
      </c>
    </row>
    <row r="23" customFormat="false" ht="12.75" hidden="false" customHeight="true" outlineLevel="0" collapsed="false">
      <c r="B23" s="63" t="s">
        <v>1149</v>
      </c>
      <c r="C23" s="51" t="n">
        <f aca="false">COUNTIF('Coffee Audit'!F2:F2000,"*Thailand*")</f>
        <v>3</v>
      </c>
      <c r="D23" s="51" t="str">
        <f aca="false">TEXT(COUNTIF('Coffee Audit'!F2:F2000,"*Thailand*")/COUNTA('Coffee Audit'!A2:A2000),"0%")</f>
        <v>3%</v>
      </c>
      <c r="E23" s="51" t="str">
        <f aca="false">IF(SUMPRODUCT(ISNUMBER(SEARCH("Thailand",'Coffee Audit'!F2:F2000))*('Coffee Audit'!W2:W2000="⭐ GESHA"))=0,"—","⭐ ×"&amp;SUMPRODUCT(ISNUMBER(SEARCH("Thailand",'Coffee Audit'!F2:F2000))*('Coffee Audit'!W2:W2000="⭐ GESHA")))</f>
        <v>⭐ ×1</v>
      </c>
      <c r="F23" s="100" t="s">
        <v>1300</v>
      </c>
    </row>
    <row r="24" customFormat="false" ht="12.75" hidden="false" customHeight="true" outlineLevel="0" collapsed="false">
      <c r="B24" s="63" t="s">
        <v>1151</v>
      </c>
      <c r="C24" s="51" t="n">
        <f aca="false">COUNTIF('Coffee Audit'!F2:F2000,"*Guatemala*")</f>
        <v>2</v>
      </c>
      <c r="D24" s="51" t="str">
        <f aca="false">TEXT(COUNTIF('Coffee Audit'!F2:F2000,"*Guatemala*")/COUNTA('Coffee Audit'!A2:A2000),"0%")</f>
        <v>2%</v>
      </c>
      <c r="E24" s="51" t="str">
        <f aca="false">IF(SUMPRODUCT(ISNUMBER(SEARCH("Guatemala",'Coffee Audit'!F2:F2000))*('Coffee Audit'!W2:W2000="⭐ GESHA"))=0,"—","⭐ ×"&amp;SUMPRODUCT(ISNUMBER(SEARCH("Guatemala",'Coffee Audit'!F2:F2000))*('Coffee Audit'!W2:W2000="⭐ GESHA")))</f>
        <v>⭐ ×1</v>
      </c>
      <c r="F24" s="100" t="s">
        <v>1301</v>
      </c>
    </row>
    <row r="25" customFormat="false" ht="12.75" hidden="false" customHeight="true" outlineLevel="0" collapsed="false">
      <c r="B25" s="63" t="s">
        <v>1302</v>
      </c>
      <c r="C25" s="51" t="n">
        <f aca="false">COUNTIF('Coffee Audit'!F2:F2000,"*Uganda*")</f>
        <v>1</v>
      </c>
      <c r="D25" s="51" t="str">
        <f aca="false">TEXT(COUNTIF('Coffee Audit'!F2:F2000,"*Uganda*")/COUNTA('Coffee Audit'!A2:A2000),"0%")</f>
        <v>1%</v>
      </c>
      <c r="E25" s="51" t="str">
        <f aca="false">IF(SUMPRODUCT(ISNUMBER(SEARCH("Uganda",'Coffee Audit'!F2:F2000))*('Coffee Audit'!W2:W2000="⭐ GESHA"))=0,"—","⭐ ×"&amp;SUMPRODUCT(ISNUMBER(SEARCH("Uganda",'Coffee Audit'!F2:F2000))*('Coffee Audit'!W2:W2000="⭐ GESHA")))</f>
        <v>—</v>
      </c>
      <c r="F25" s="100" t="s">
        <v>1303</v>
      </c>
    </row>
    <row r="26" customFormat="false" ht="12.75" hidden="false" customHeight="true" outlineLevel="0" collapsed="false"/>
    <row r="27" customFormat="false" ht="12.75" hidden="false" customHeight="true" outlineLevel="0" collapsed="false">
      <c r="B27" s="101" t="s">
        <v>1304</v>
      </c>
    </row>
    <row r="28" customFormat="false" ht="12.75" hidden="false" customHeight="true" outlineLevel="0" collapsed="false">
      <c r="B28" s="83" t="s">
        <v>6</v>
      </c>
      <c r="C28" s="83" t="s">
        <v>1229</v>
      </c>
      <c r="D28" s="83" t="s">
        <v>1305</v>
      </c>
      <c r="E28" s="83" t="s">
        <v>1306</v>
      </c>
      <c r="F28" s="83" t="s">
        <v>1307</v>
      </c>
    </row>
    <row r="29" customFormat="false" ht="12.75" hidden="false" customHeight="true" outlineLevel="0" collapsed="false">
      <c r="B29" s="102" t="s">
        <v>1308</v>
      </c>
      <c r="C29" s="103" t="s">
        <v>1309</v>
      </c>
      <c r="D29" s="103" t="s">
        <v>1310</v>
      </c>
      <c r="E29" s="103" t="s">
        <v>1311</v>
      </c>
      <c r="F29" s="103" t="str">
        <f aca="false">"Apex varietal · "&amp;COUNTIF('Coffee Audit'!W2:W2000,"⭐ GESHA")&amp;" entries"</f>
        <v>Apex varietal · 30 entries</v>
      </c>
    </row>
    <row r="30" customFormat="false" ht="12.75" hidden="false" customHeight="true" outlineLevel="0" collapsed="false">
      <c r="B30" s="102" t="s">
        <v>91</v>
      </c>
      <c r="C30" s="103" t="s">
        <v>1309</v>
      </c>
      <c r="D30" s="103" t="s">
        <v>1312</v>
      </c>
      <c r="E30" s="103" t="s">
        <v>1313</v>
      </c>
      <c r="F30" s="103" t="s">
        <v>1314</v>
      </c>
    </row>
    <row r="31" customFormat="false" ht="12.75" hidden="false" customHeight="true" outlineLevel="0" collapsed="false">
      <c r="B31" s="102" t="s">
        <v>661</v>
      </c>
      <c r="C31" s="103" t="s">
        <v>1309</v>
      </c>
      <c r="D31" s="103" t="s">
        <v>1315</v>
      </c>
      <c r="E31" s="103" t="s">
        <v>662</v>
      </c>
      <c r="F31" s="103" t="s">
        <v>1316</v>
      </c>
    </row>
    <row r="32" customFormat="false" ht="12.75" hidden="false" customHeight="true" outlineLevel="0" collapsed="false">
      <c r="B32" s="102" t="s">
        <v>183</v>
      </c>
      <c r="C32" s="103" t="s">
        <v>1309</v>
      </c>
      <c r="D32" s="103" t="s">
        <v>1317</v>
      </c>
      <c r="E32" s="103" t="s">
        <v>58</v>
      </c>
      <c r="F32" s="103" t="s">
        <v>1318</v>
      </c>
    </row>
    <row r="33" customFormat="false" ht="12.75" hidden="false" customHeight="true" outlineLevel="0" collapsed="false">
      <c r="B33" s="102" t="s">
        <v>530</v>
      </c>
      <c r="C33" s="103" t="s">
        <v>1309</v>
      </c>
      <c r="D33" s="103" t="s">
        <v>1319</v>
      </c>
      <c r="E33" s="103" t="s">
        <v>58</v>
      </c>
      <c r="F33" s="103" t="s">
        <v>1320</v>
      </c>
    </row>
    <row r="34" customFormat="false" ht="12.75" hidden="false" customHeight="true" outlineLevel="0" collapsed="false">
      <c r="B34" s="102" t="s">
        <v>119</v>
      </c>
      <c r="C34" s="103" t="s">
        <v>1309</v>
      </c>
      <c r="D34" s="103" t="s">
        <v>1321</v>
      </c>
      <c r="E34" s="103" t="s">
        <v>58</v>
      </c>
      <c r="F34" s="103" t="s">
        <v>1322</v>
      </c>
    </row>
    <row r="35" customFormat="false" ht="12.75" hidden="false" customHeight="true" outlineLevel="0" collapsed="false">
      <c r="B35" s="102" t="s">
        <v>316</v>
      </c>
      <c r="C35" s="103" t="s">
        <v>1309</v>
      </c>
      <c r="D35" s="103" t="s">
        <v>1323</v>
      </c>
      <c r="E35" s="103" t="s">
        <v>74</v>
      </c>
      <c r="F35" s="103" t="s">
        <v>1324</v>
      </c>
    </row>
    <row r="36" customFormat="false" ht="12.75" hidden="false" customHeight="true" outlineLevel="0" collapsed="false">
      <c r="B36" s="102" t="s">
        <v>373</v>
      </c>
      <c r="C36" s="103" t="s">
        <v>1309</v>
      </c>
      <c r="D36" s="103" t="s">
        <v>1325</v>
      </c>
      <c r="E36" s="103" t="s">
        <v>374</v>
      </c>
      <c r="F36" s="103" t="s">
        <v>1326</v>
      </c>
    </row>
    <row r="37" customFormat="false" ht="12.75" hidden="false" customHeight="true" outlineLevel="0" collapsed="false">
      <c r="B37" s="102" t="s">
        <v>1327</v>
      </c>
      <c r="C37" s="103" t="s">
        <v>1309</v>
      </c>
      <c r="D37" s="103" t="s">
        <v>1328</v>
      </c>
      <c r="E37" s="103" t="s">
        <v>1329</v>
      </c>
      <c r="F37" s="103" t="s">
        <v>1330</v>
      </c>
    </row>
    <row r="38" customFormat="false" ht="12.75" hidden="false" customHeight="true" outlineLevel="0" collapsed="false">
      <c r="B38" s="102" t="s">
        <v>997</v>
      </c>
      <c r="C38" s="103" t="s">
        <v>1309</v>
      </c>
      <c r="D38" s="103" t="s">
        <v>1331</v>
      </c>
      <c r="E38" s="103" t="s">
        <v>998</v>
      </c>
      <c r="F38" s="103" t="s">
        <v>1332</v>
      </c>
    </row>
    <row r="39" customFormat="false" ht="12.75" hidden="false" customHeight="true" outlineLevel="0" collapsed="false">
      <c r="B39" s="102" t="s">
        <v>472</v>
      </c>
      <c r="C39" s="103" t="s">
        <v>1309</v>
      </c>
      <c r="D39" s="103" t="s">
        <v>1333</v>
      </c>
      <c r="E39" s="103" t="s">
        <v>473</v>
      </c>
      <c r="F39" s="103" t="s">
        <v>1334</v>
      </c>
    </row>
    <row r="40" customFormat="false" ht="12.75" hidden="false" customHeight="true" outlineLevel="0" collapsed="false">
      <c r="B40" s="102" t="s">
        <v>230</v>
      </c>
      <c r="C40" s="103" t="s">
        <v>1309</v>
      </c>
      <c r="D40" s="103" t="s">
        <v>1335</v>
      </c>
      <c r="E40" s="103" t="s">
        <v>1336</v>
      </c>
      <c r="F40" s="103" t="s">
        <v>1337</v>
      </c>
    </row>
    <row r="41" customFormat="false" ht="12.75" hidden="false" customHeight="true" outlineLevel="0" collapsed="false">
      <c r="B41" s="102" t="s">
        <v>1338</v>
      </c>
      <c r="C41" s="103" t="s">
        <v>1309</v>
      </c>
      <c r="D41" s="103" t="s">
        <v>1339</v>
      </c>
      <c r="E41" s="103" t="s">
        <v>29</v>
      </c>
      <c r="F41" s="103" t="s">
        <v>1340</v>
      </c>
    </row>
    <row r="42" customFormat="false" ht="15" hidden="false" customHeight="true" outlineLevel="0" collapsed="false">
      <c r="B42" s="104" t="s">
        <v>1341</v>
      </c>
      <c r="C42" s="8" t="s">
        <v>1309</v>
      </c>
      <c r="D42" s="8" t="s">
        <v>1342</v>
      </c>
      <c r="E42" s="8" t="s">
        <v>58</v>
      </c>
      <c r="F42" s="8" t="s">
        <v>1343</v>
      </c>
    </row>
    <row r="43" customFormat="false" ht="20.25" hidden="false" customHeight="true" outlineLevel="0" collapsed="false">
      <c r="B43" s="105" t="s">
        <v>1344</v>
      </c>
      <c r="C43" s="106" t="s">
        <v>1345</v>
      </c>
      <c r="D43" s="106" t="s">
        <v>1258</v>
      </c>
      <c r="E43" s="106" t="s">
        <v>1258</v>
      </c>
      <c r="F43" s="106" t="s">
        <v>1346</v>
      </c>
    </row>
    <row r="44" customFormat="false" ht="15" hidden="false" customHeight="true" outlineLevel="0" collapsed="false">
      <c r="B44" s="105" t="s">
        <v>1347</v>
      </c>
      <c r="C44" s="106" t="s">
        <v>1345</v>
      </c>
      <c r="D44" s="106" t="s">
        <v>1258</v>
      </c>
      <c r="E44" s="106" t="s">
        <v>1258</v>
      </c>
      <c r="F44" s="106" t="s">
        <v>1348</v>
      </c>
    </row>
    <row r="45" customFormat="false" ht="15" hidden="false" customHeight="true" outlineLevel="0" collapsed="false">
      <c r="B45" s="105" t="s">
        <v>1349</v>
      </c>
      <c r="C45" s="106" t="s">
        <v>1345</v>
      </c>
      <c r="D45" s="106" t="s">
        <v>1258</v>
      </c>
      <c r="E45" s="106" t="s">
        <v>1258</v>
      </c>
      <c r="F45" s="106" t="s">
        <v>1350</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9" t="s">
        <v>1351</v>
      </c>
      <c r="C1" s="79"/>
      <c r="D1" s="79"/>
      <c r="E1" s="79"/>
      <c r="F1" s="79"/>
      <c r="G1" s="79"/>
      <c r="H1" s="79"/>
      <c r="I1" s="79"/>
      <c r="J1" s="79"/>
      <c r="K1" s="79"/>
    </row>
    <row r="2" customFormat="false" ht="13.5" hidden="false" customHeight="true" outlineLevel="0" collapsed="false">
      <c r="B2" s="80" t="str">
        <f aca="false">"Flat burrs · flat beds · the physics of clarity   ·   measured live across "&amp;COUNTA('Coffee Audit'!A2:A2000)&amp;" field audits"</f>
        <v>Flat burrs · flat beds · the physics of clarity   ·   measured live across 96 field audits</v>
      </c>
      <c r="C2" s="80"/>
      <c r="D2" s="80"/>
      <c r="E2" s="80"/>
      <c r="F2" s="80"/>
      <c r="G2" s="80"/>
      <c r="H2" s="80"/>
      <c r="I2" s="80"/>
      <c r="J2" s="80"/>
      <c r="K2" s="80"/>
    </row>
    <row r="3" customFormat="false" ht="6" hidden="false" customHeight="true" outlineLevel="0" collapsed="false"/>
    <row r="4" customFormat="false" ht="15.75" hidden="false" customHeight="true" outlineLevel="0" collapsed="false">
      <c r="B4" s="81" t="s">
        <v>1352</v>
      </c>
      <c r="C4" s="81"/>
      <c r="D4" s="81"/>
      <c r="E4" s="81"/>
      <c r="F4" s="81"/>
      <c r="G4" s="81"/>
      <c r="H4" s="81"/>
      <c r="I4" s="81"/>
      <c r="J4" s="81"/>
      <c r="K4" s="81"/>
    </row>
    <row r="5" customFormat="false" ht="15.75" hidden="false" customHeight="true" outlineLevel="0" collapsed="false">
      <c r="B5" s="83" t="s">
        <v>1353</v>
      </c>
      <c r="C5" s="83" t="s">
        <v>1183</v>
      </c>
      <c r="D5" s="83" t="s">
        <v>1354</v>
      </c>
      <c r="E5" s="83" t="s">
        <v>1355</v>
      </c>
      <c r="F5" s="83" t="s">
        <v>1356</v>
      </c>
    </row>
    <row r="6" customFormat="false" ht="12.75" hidden="false" customHeight="true" outlineLevel="0" collapsed="false">
      <c r="B6" s="88" t="s">
        <v>1357</v>
      </c>
      <c r="C6" s="89" t="n">
        <f aca="false">COUNTIF('Coffee Audit'!P2:P2000,"*LAGOM 01*")</f>
        <v>1</v>
      </c>
      <c r="D6" s="89" t="s">
        <v>1358</v>
      </c>
      <c r="E6" s="89" t="s">
        <v>1359</v>
      </c>
      <c r="F6" s="89" t="s">
        <v>1360</v>
      </c>
    </row>
    <row r="7" customFormat="false" ht="12.75" hidden="false" customHeight="true" outlineLevel="0" collapsed="false">
      <c r="B7" s="88" t="s">
        <v>1361</v>
      </c>
      <c r="C7" s="89" t="n">
        <f aca="false">COUNTIF('Coffee Audit'!P2:P2000,"*P80*")</f>
        <v>3</v>
      </c>
      <c r="D7" s="89" t="s">
        <v>1362</v>
      </c>
      <c r="E7" s="89" t="s">
        <v>1363</v>
      </c>
      <c r="F7" s="89" t="s">
        <v>1364</v>
      </c>
    </row>
    <row r="8" customFormat="false" ht="12.75" hidden="false" customHeight="true" outlineLevel="0" collapsed="false">
      <c r="B8" s="94" t="s">
        <v>174</v>
      </c>
      <c r="C8" s="95" t="n">
        <f aca="false">COUNTIF('Coffee Audit'!P2:P2000,"*P64*")</f>
        <v>12</v>
      </c>
      <c r="D8" s="95" t="s">
        <v>1365</v>
      </c>
      <c r="E8" s="95" t="s">
        <v>1366</v>
      </c>
      <c r="F8" s="95" t="s">
        <v>1367</v>
      </c>
    </row>
    <row r="9" customFormat="false" ht="12.75" hidden="false" customHeight="true" outlineLevel="0" collapsed="false">
      <c r="B9" s="88" t="s">
        <v>1368</v>
      </c>
      <c r="C9" s="89" t="n">
        <f aca="false">COUNTIF('Coffee Audit'!P2:P2000,"*EK43*")</f>
        <v>35</v>
      </c>
      <c r="D9" s="89" t="s">
        <v>1369</v>
      </c>
      <c r="E9" s="89" t="s">
        <v>1370</v>
      </c>
      <c r="F9" s="89" t="s">
        <v>1371</v>
      </c>
    </row>
    <row r="10" customFormat="false" ht="12.75" hidden="false" customHeight="true" outlineLevel="0" collapsed="false">
      <c r="B10" s="94" t="s">
        <v>235</v>
      </c>
      <c r="C10" s="95" t="n">
        <f aca="false">COUNTIF('Coffee Audit'!P2:P2000,"*Omnia*")</f>
        <v>7</v>
      </c>
      <c r="D10" s="95" t="s">
        <v>1369</v>
      </c>
      <c r="E10" s="95" t="s">
        <v>1372</v>
      </c>
      <c r="F10" s="95" t="s">
        <v>1373</v>
      </c>
    </row>
    <row r="11" customFormat="false" ht="12.75" hidden="false" customHeight="true" outlineLevel="0" collapsed="false">
      <c r="B11" s="88" t="s">
        <v>1374</v>
      </c>
      <c r="C11" s="89" t="n">
        <f aca="false">COUNTIF('Coffee Audit'!P2:P2000,"*Ditting*")</f>
        <v>5</v>
      </c>
      <c r="D11" s="89" t="s">
        <v>1375</v>
      </c>
      <c r="E11" s="89" t="s">
        <v>1376</v>
      </c>
      <c r="F11" s="89" t="s">
        <v>1377</v>
      </c>
    </row>
    <row r="12" customFormat="false" ht="12.75" hidden="false" customHeight="true" outlineLevel="0" collapsed="false">
      <c r="B12" s="94" t="s">
        <v>1378</v>
      </c>
      <c r="C12" s="95" t="n">
        <f aca="false">COUNTIF('Coffee Audit'!P2:P2000,"*DF83*")</f>
        <v>2</v>
      </c>
      <c r="D12" s="95" t="s">
        <v>1379</v>
      </c>
      <c r="E12" s="95" t="s">
        <v>1380</v>
      </c>
      <c r="F12" s="95" t="s">
        <v>370</v>
      </c>
    </row>
    <row r="13" customFormat="false" ht="12.75" hidden="false" customHeight="true" outlineLevel="0" collapsed="false">
      <c r="B13" s="88" t="s">
        <v>222</v>
      </c>
      <c r="C13" s="89" t="n">
        <f aca="false">COUNTIF('Coffee Audit'!P2:P2000,"*Sculptor*")</f>
        <v>3</v>
      </c>
      <c r="D13" s="89" t="s">
        <v>1381</v>
      </c>
      <c r="E13" s="89" t="s">
        <v>1382</v>
      </c>
      <c r="F13" s="89" t="s">
        <v>1383</v>
      </c>
    </row>
    <row r="14" customFormat="false" ht="12.75" hidden="false" customHeight="true" outlineLevel="0" collapsed="false">
      <c r="B14" s="94" t="s">
        <v>1384</v>
      </c>
      <c r="C14" s="95" t="n">
        <f aca="false">COUNTIF('Coffee Audit'!P2:P2000,"*FM 120*")</f>
        <v>0</v>
      </c>
      <c r="D14" s="95" t="s">
        <v>1385</v>
      </c>
      <c r="E14" s="95" t="s">
        <v>1386</v>
      </c>
      <c r="F14" s="95" t="s">
        <v>1387</v>
      </c>
    </row>
    <row r="15" customFormat="false" ht="12.75" hidden="false" customHeight="true" outlineLevel="0" collapsed="false">
      <c r="B15" s="88" t="s">
        <v>1388</v>
      </c>
      <c r="C15" s="89" t="n">
        <f aca="false">COUNTIF('Coffee Audit'!P2:P2000,"*Mazzer*")</f>
        <v>1</v>
      </c>
      <c r="D15" s="89" t="s">
        <v>1379</v>
      </c>
      <c r="E15" s="89" t="s">
        <v>1389</v>
      </c>
      <c r="F15" s="89" t="s">
        <v>456</v>
      </c>
    </row>
    <row r="16" customFormat="false" ht="7.5" hidden="false" customHeight="true" outlineLevel="0" collapsed="false">
      <c r="B16" s="94" t="s">
        <v>1390</v>
      </c>
      <c r="C16" s="95" t="n">
        <f aca="false">COUNTIF('Coffee Audit'!P2:P2000,"*Conical Gold*")</f>
        <v>1</v>
      </c>
      <c r="D16" s="95" t="s">
        <v>1391</v>
      </c>
      <c r="E16" s="95" t="s">
        <v>1392</v>
      </c>
      <c r="F16" s="95" t="s">
        <v>416</v>
      </c>
    </row>
    <row r="17" customFormat="false" ht="15.75" hidden="false" customHeight="true" outlineLevel="0" collapsed="false">
      <c r="B17" s="61"/>
      <c r="C17" s="61"/>
      <c r="D17" s="61"/>
      <c r="E17" s="61"/>
      <c r="F17" s="61"/>
      <c r="G17" s="61"/>
      <c r="H17" s="61"/>
      <c r="I17" s="61"/>
      <c r="J17" s="61"/>
      <c r="K17" s="61"/>
    </row>
    <row r="18" customFormat="false" ht="15.75" hidden="false" customHeight="true" outlineLevel="0" collapsed="false">
      <c r="B18" s="101" t="s">
        <v>1393</v>
      </c>
    </row>
    <row r="19" customFormat="false" ht="15.75" hidden="false" customHeight="true" outlineLevel="0" collapsed="false">
      <c r="B19" s="83" t="s">
        <v>1394</v>
      </c>
      <c r="C19" s="83" t="s">
        <v>1183</v>
      </c>
      <c r="D19" s="83" t="s">
        <v>1395</v>
      </c>
      <c r="E19" s="83" t="s">
        <v>1230</v>
      </c>
    </row>
    <row r="20" customFormat="false" ht="15.75" hidden="false" customHeight="true" outlineLevel="0" collapsed="false">
      <c r="B20" s="102" t="s">
        <v>1396</v>
      </c>
      <c r="C20" s="103" t="n">
        <f aca="false">SUMPRODUCT(--ISNUMBER(SEARCH("Flat-Bottom",'Coffee Audit'!J2:J2000)))</f>
        <v>37</v>
      </c>
      <c r="D20" s="103" t="s">
        <v>1397</v>
      </c>
      <c r="E20" s="103" t="s">
        <v>1398</v>
      </c>
    </row>
    <row r="21" customFormat="false" ht="15.75" hidden="false" customHeight="true" outlineLevel="0" collapsed="false">
      <c r="B21" s="102" t="s">
        <v>1399</v>
      </c>
      <c r="C21" s="103" t="n">
        <f aca="false">COUNTIF('Coffee Audit'!J2:J2000,"*CT62*")</f>
        <v>1</v>
      </c>
      <c r="D21" s="103" t="s">
        <v>1400</v>
      </c>
      <c r="E21" s="103" t="s">
        <v>1401</v>
      </c>
    </row>
    <row r="22" customFormat="false" ht="15.75" hidden="false" customHeight="true" outlineLevel="0" collapsed="false">
      <c r="B22" s="107" t="s">
        <v>1402</v>
      </c>
      <c r="C22" s="108" t="n">
        <f aca="false">COUNTIF('Coffee Audit'!J2:J2000,"*V60*")</f>
        <v>21</v>
      </c>
      <c r="D22" s="108" t="s">
        <v>1403</v>
      </c>
      <c r="E22" s="108" t="s">
        <v>1404</v>
      </c>
    </row>
    <row r="23" customFormat="false" ht="15.75" hidden="false" customHeight="true" outlineLevel="0" collapsed="false">
      <c r="B23" s="107" t="s">
        <v>1405</v>
      </c>
      <c r="C23" s="108" t="n">
        <f aca="false">COUNTIF('Coffee Audit'!J2:J2000,"*xBloom*")</f>
        <v>4</v>
      </c>
      <c r="D23" s="108" t="s">
        <v>1406</v>
      </c>
      <c r="E23" s="108" t="s">
        <v>1407</v>
      </c>
    </row>
    <row r="24" customFormat="false" ht="15.75" hidden="false" customHeight="true" outlineLevel="0" collapsed="false">
      <c r="B24" s="102" t="s">
        <v>1408</v>
      </c>
      <c r="C24" s="103" t="n">
        <f aca="false">COUNTIF('Coffee Audit'!J2:J2000,"*Switch*")</f>
        <v>12</v>
      </c>
      <c r="D24" s="103" t="s">
        <v>1409</v>
      </c>
      <c r="E24" s="103" t="s">
        <v>1410</v>
      </c>
    </row>
    <row r="25" customFormat="false" ht="15.75" hidden="false" customHeight="true" outlineLevel="0" collapsed="false">
      <c r="B25" s="105" t="s">
        <v>1411</v>
      </c>
      <c r="C25" s="106" t="n">
        <f aca="false">COUNTIF('Coffee Audit'!J2:J2000,"*Tap Dispenser*")</f>
        <v>1</v>
      </c>
      <c r="D25" s="106" t="s">
        <v>1412</v>
      </c>
      <c r="E25" s="106" t="s">
        <v>1413</v>
      </c>
    </row>
    <row r="26" customFormat="false" ht="15.75" hidden="false" customHeight="true" outlineLevel="0" collapsed="false">
      <c r="B26" s="105" t="s">
        <v>1414</v>
      </c>
      <c r="C26" s="106" t="n">
        <f aca="false">COUNTIF('Coffee Audit'!J2:J2000,"*Solo Dripper*")</f>
        <v>3</v>
      </c>
      <c r="D26" s="106" t="s">
        <v>1415</v>
      </c>
      <c r="E26" s="106" t="s">
        <v>1416</v>
      </c>
    </row>
    <row r="27" customFormat="false" ht="15.75" hidden="false" customHeight="true" outlineLevel="0" collapsed="false">
      <c r="B27" s="104" t="s">
        <v>1417</v>
      </c>
      <c r="C27" s="8" t="n">
        <f aca="false">COUNTIF('Coffee Audit'!J2:J2000,"*FOUR-HOLE*")</f>
        <v>2</v>
      </c>
      <c r="D27" s="8" t="s">
        <v>1418</v>
      </c>
      <c r="E27" s="8" t="s">
        <v>1419</v>
      </c>
    </row>
    <row r="28" customFormat="false" ht="19.5" hidden="false" customHeight="true" outlineLevel="0" collapsed="false">
      <c r="B28" s="104" t="s">
        <v>1420</v>
      </c>
      <c r="C28" s="1" t="n">
        <f aca="false">COUNTIF('Coffee Audit'!J2:J2000,"*UFO*")</f>
        <v>3</v>
      </c>
      <c r="D28" s="1" t="s">
        <v>1421</v>
      </c>
      <c r="E28" s="1" t="s">
        <v>1422</v>
      </c>
    </row>
    <row r="29" customFormat="false" ht="19.5" hidden="false" customHeight="true" outlineLevel="0" collapsed="false">
      <c r="B29" s="81" t="str">
        <f aca="false">"  📜  TEN EXTRACTION LAWS  —  empirically proven across "&amp;COUNTA('Coffee Audit'!A2:A2000)&amp;" audited cups"</f>
        <v>  📜  TEN EXTRACTION LAWS  —  empirically proven across 96 audited cups</v>
      </c>
      <c r="C29" s="81"/>
      <c r="D29" s="81"/>
      <c r="E29" s="81"/>
      <c r="F29" s="81"/>
      <c r="G29" s="81"/>
      <c r="H29" s="81"/>
      <c r="I29" s="81"/>
      <c r="J29" s="81"/>
    </row>
    <row r="30" customFormat="false" ht="19.5" hidden="false" customHeight="true" outlineLevel="0" collapsed="false">
      <c r="B30" s="109" t="s">
        <v>1423</v>
      </c>
      <c r="C30" s="109"/>
      <c r="D30" s="109"/>
      <c r="E30" s="109"/>
      <c r="F30" s="109"/>
      <c r="G30" s="109"/>
      <c r="H30" s="109"/>
      <c r="I30" s="109"/>
      <c r="J30" s="109"/>
    </row>
    <row r="31" customFormat="false" ht="19.5" hidden="false" customHeight="true" outlineLevel="0" collapsed="false">
      <c r="B31" s="110" t="s">
        <v>1424</v>
      </c>
      <c r="C31" s="110"/>
      <c r="D31" s="110"/>
      <c r="E31" s="110"/>
      <c r="F31" s="110"/>
      <c r="G31" s="110"/>
      <c r="H31" s="110"/>
      <c r="I31" s="110"/>
      <c r="J31" s="110"/>
    </row>
    <row r="32" customFormat="false" ht="19.5" hidden="false" customHeight="true" outlineLevel="0" collapsed="false">
      <c r="B32" s="111" t="s">
        <v>1425</v>
      </c>
      <c r="C32" s="111"/>
      <c r="D32" s="111"/>
      <c r="E32" s="111"/>
      <c r="F32" s="111"/>
      <c r="G32" s="111"/>
      <c r="H32" s="111"/>
      <c r="I32" s="111"/>
      <c r="J32" s="111"/>
    </row>
    <row r="33" customFormat="false" ht="19.5" hidden="false" customHeight="true" outlineLevel="0" collapsed="false">
      <c r="B33" s="110" t="s">
        <v>1426</v>
      </c>
      <c r="C33" s="110"/>
      <c r="D33" s="110"/>
      <c r="E33" s="110"/>
      <c r="F33" s="110"/>
      <c r="G33" s="110"/>
      <c r="H33" s="110"/>
      <c r="I33" s="110"/>
      <c r="J33" s="110"/>
    </row>
    <row r="34" customFormat="false" ht="24" hidden="false" customHeight="true" outlineLevel="0" collapsed="false">
      <c r="B34" s="111" t="s">
        <v>1427</v>
      </c>
      <c r="C34" s="111"/>
      <c r="D34" s="111"/>
      <c r="E34" s="111"/>
      <c r="F34" s="111"/>
      <c r="G34" s="111"/>
      <c r="H34" s="111"/>
      <c r="I34" s="111"/>
      <c r="J34" s="111"/>
    </row>
    <row r="35" customFormat="false" ht="24" hidden="false" customHeight="true" outlineLevel="0" collapsed="false">
      <c r="B35" s="110" t="s">
        <v>1428</v>
      </c>
      <c r="C35" s="110"/>
      <c r="D35" s="110"/>
      <c r="E35" s="110"/>
      <c r="F35" s="110"/>
      <c r="G35" s="110"/>
      <c r="H35" s="110"/>
      <c r="I35" s="110"/>
      <c r="J35" s="110"/>
      <c r="K35" s="110"/>
    </row>
    <row r="36" customFormat="false" ht="30" hidden="false" customHeight="true" outlineLevel="0" collapsed="false">
      <c r="B36" s="112" t="s">
        <v>1429</v>
      </c>
      <c r="C36" s="112"/>
      <c r="D36" s="112"/>
      <c r="E36" s="112"/>
      <c r="F36" s="112"/>
      <c r="G36" s="112"/>
      <c r="H36" s="112"/>
      <c r="I36" s="112"/>
      <c r="J36" s="112"/>
      <c r="K36" s="112"/>
    </row>
    <row r="37" customFormat="false" ht="30" hidden="false" customHeight="true" outlineLevel="0" collapsed="false">
      <c r="B37" s="112" t="s">
        <v>1430</v>
      </c>
      <c r="C37" s="112"/>
      <c r="D37" s="112"/>
      <c r="E37" s="112"/>
      <c r="F37" s="112"/>
      <c r="G37" s="112"/>
      <c r="H37" s="112"/>
      <c r="I37" s="112"/>
      <c r="J37" s="112"/>
      <c r="K37" s="112"/>
    </row>
    <row r="38" customFormat="false" ht="30" hidden="false" customHeight="true" outlineLevel="0" collapsed="false">
      <c r="B38" s="112" t="s">
        <v>1431</v>
      </c>
      <c r="C38" s="112"/>
      <c r="D38" s="112"/>
      <c r="E38" s="112"/>
      <c r="F38" s="112"/>
      <c r="G38" s="112"/>
      <c r="H38" s="112"/>
      <c r="I38" s="112"/>
      <c r="J38" s="112"/>
      <c r="K38" s="112"/>
    </row>
    <row r="39" customFormat="false" ht="137.25" hidden="false" customHeight="true" outlineLevel="0" collapsed="false">
      <c r="B39" s="113" t="s">
        <v>1432</v>
      </c>
    </row>
    <row r="41" customFormat="false" ht="137.25" hidden="false" customHeight="true" outlineLevel="0" collapsed="false">
      <c r="B41" s="113" t="s">
        <v>1433</v>
      </c>
    </row>
  </sheetData>
  <mergeCells count="14">
    <mergeCell ref="B1:K1"/>
    <mergeCell ref="B2:K2"/>
    <mergeCell ref="B4:K4"/>
    <mergeCell ref="B17:K17"/>
    <mergeCell ref="B29:J29"/>
    <mergeCell ref="B30:J30"/>
    <mergeCell ref="B31:J31"/>
    <mergeCell ref="B32:J32"/>
    <mergeCell ref="B33:J33"/>
    <mergeCell ref="B34:J34"/>
    <mergeCell ref="B35:K35"/>
    <mergeCell ref="B36:K36"/>
    <mergeCell ref="B37:K37"/>
    <mergeCell ref="B38:K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9" t="str">
        <f aca="false">"🏙️  CAFÉ DIRECTORY   —   "&amp;SUMPRODUCT(('Coffee Audit'!C2:C2000&lt;&gt;"")/COUNTIF('Coffee Audit'!C2:C2000,'Coffee Audit'!C2:C2000&amp;""))&amp;" VENUES · 4 CITIES"</f>
        <v>🏙️  CAFÉ DIRECTORY   —   46 VENUES · 4 CITIES</v>
      </c>
      <c r="C1" s="79"/>
      <c r="D1" s="79"/>
      <c r="E1" s="79"/>
      <c r="F1" s="79"/>
      <c r="G1" s="79"/>
      <c r="H1" s="79"/>
      <c r="I1" s="79"/>
      <c r="J1" s="79"/>
      <c r="K1" s="79"/>
      <c r="L1" s="79"/>
    </row>
    <row r="2" customFormat="false" ht="13.5" hidden="false" customHeight="true" outlineLevel="0" collapsed="false">
      <c r="B2" s="114" t="str">
        <f aca="false">"Live-verified July 2026  ·  four-tier confidence rating  ·  entry counts and averages are live formulas across "&amp;COUNTA('Coffee Audit'!A2:A2000)&amp;" audits"</f>
        <v>Live-verified July 2026  ·  four-tier confidence rating  ·  entry counts and averages are live formulas across 96 audits</v>
      </c>
      <c r="C2" s="114"/>
      <c r="D2" s="114"/>
      <c r="E2" s="114"/>
      <c r="F2" s="114"/>
      <c r="G2" s="114"/>
      <c r="H2" s="114"/>
      <c r="I2" s="114"/>
      <c r="J2" s="114"/>
      <c r="K2" s="114"/>
      <c r="L2" s="114"/>
    </row>
    <row r="3" customFormat="false" ht="6" hidden="false" customHeight="true" outlineLevel="0" collapsed="false"/>
    <row r="4" customFormat="false" ht="15.75" hidden="false" customHeight="true" outlineLevel="0" collapsed="false">
      <c r="B4" s="81" t="s">
        <v>1434</v>
      </c>
      <c r="C4" s="81"/>
      <c r="D4" s="81"/>
      <c r="E4" s="81"/>
      <c r="F4" s="81"/>
      <c r="G4" s="81"/>
      <c r="H4" s="81"/>
      <c r="I4" s="81"/>
      <c r="J4" s="81"/>
      <c r="K4" s="81"/>
      <c r="L4" s="81"/>
    </row>
    <row r="5" customFormat="false" ht="15.75" hidden="false" customHeight="true" outlineLevel="0" collapsed="false">
      <c r="B5" s="83" t="s">
        <v>1</v>
      </c>
      <c r="C5" s="83" t="s">
        <v>1183</v>
      </c>
      <c r="D5" s="83" t="s">
        <v>1435</v>
      </c>
      <c r="E5" s="83" t="s">
        <v>1436</v>
      </c>
      <c r="F5" s="83" t="s">
        <v>1437</v>
      </c>
    </row>
    <row r="6" customFormat="false" ht="12.75" hidden="false" customHeight="true" outlineLevel="0" collapsed="false">
      <c r="B6" s="88" t="s">
        <v>52</v>
      </c>
      <c r="C6" s="89" t="n">
        <f aca="false">COUNTIF('Coffee Audit'!B2:B2000,"*Singapore*")</f>
        <v>84</v>
      </c>
      <c r="D6" s="89" t="n">
        <f aca="false">SUMPRODUCT((ISNUMBER(SEARCH("Singapore",'Coffee Audit'!B2:B2000)))*('Coffee Audit'!C2:C2000&lt;&gt;"")/COUNTIF('Coffee Audit'!C2:C2000,'Coffee Audit'!C2:C2000&amp;""))</f>
        <v>39</v>
      </c>
      <c r="E6" s="89" t="str">
        <f aca="false">TEXT(COUNTIF('Coffee Audit'!B2:B2000,"*Singapore*")/COUNTA('Coffee Audit'!A2:A2000),"0%")</f>
        <v>88%</v>
      </c>
      <c r="F6" s="89" t="s">
        <v>1438</v>
      </c>
    </row>
    <row r="7" customFormat="false" ht="12.75" hidden="false" customHeight="true" outlineLevel="0" collapsed="false">
      <c r="B7" s="94" t="s">
        <v>24</v>
      </c>
      <c r="C7" s="95" t="n">
        <f aca="false">COUNTIF('Coffee Audit'!B2:B2000,"*Bali*")</f>
        <v>3</v>
      </c>
      <c r="D7" s="95" t="n">
        <f aca="false">SUMPRODUCT((ISNUMBER(SEARCH("Bali",'Coffee Audit'!B2:B2000)))*('Coffee Audit'!C2:C2000&lt;&gt;"")/COUNTIF('Coffee Audit'!C2:C2000,'Coffee Audit'!C2:C2000&amp;""))</f>
        <v>1</v>
      </c>
      <c r="E7" s="95" t="str">
        <f aca="false">TEXT(COUNTIF('Coffee Audit'!B2:B2000,"*Bali*")/COUNTA('Coffee Audit'!A2:A2000),"0%")</f>
        <v>3%</v>
      </c>
      <c r="F7" s="95" t="s">
        <v>1439</v>
      </c>
    </row>
    <row r="8" customFormat="false" ht="12.75" hidden="false" customHeight="true" outlineLevel="0" collapsed="false">
      <c r="B8" s="88" t="s">
        <v>69</v>
      </c>
      <c r="C8" s="89" t="n">
        <f aca="false">COUNTIF('Coffee Audit'!B2:B2000,"*Mumbai*")</f>
        <v>2</v>
      </c>
      <c r="D8" s="89" t="n">
        <f aca="false">SUMPRODUCT((ISNUMBER(SEARCH("Mumbai",'Coffee Audit'!B2:B2000)))*('Coffee Audit'!C2:C2000&lt;&gt;"")/COUNTIF('Coffee Audit'!C2:C2000,'Coffee Audit'!C2:C2000&amp;""))</f>
        <v>2</v>
      </c>
      <c r="E8" s="89" t="str">
        <f aca="false">TEXT(COUNTIF('Coffee Audit'!B2:B2000,"*Mumbai*")/COUNTA('Coffee Audit'!A2:A2000),"0%")</f>
        <v>2%</v>
      </c>
      <c r="F8" s="89" t="s">
        <v>1440</v>
      </c>
    </row>
    <row r="9" customFormat="false" ht="12.75" hidden="false" customHeight="true" outlineLevel="0" collapsed="false">
      <c r="B9" s="94" t="s">
        <v>227</v>
      </c>
      <c r="C9" s="95" t="n">
        <f aca="false">COUNTIF('Coffee Audit'!B2:B2000,"*Johor*")</f>
        <v>7</v>
      </c>
      <c r="D9" s="95" t="n">
        <f aca="false">SUMPRODUCT((ISNUMBER(SEARCH("Johor",'Coffee Audit'!B2:B2000)))*('Coffee Audit'!C2:C2000&lt;&gt;"")/COUNTIF('Coffee Audit'!C2:C2000,'Coffee Audit'!C2:C2000&amp;""))</f>
        <v>4</v>
      </c>
      <c r="E9" s="95" t="str">
        <f aca="false">TEXT(COUNTIF('Coffee Audit'!B2:B2000,"*Johor*")/COUNTA('Coffee Audit'!A2:A2000),"0%")</f>
        <v>7%</v>
      </c>
      <c r="F9" s="95" t="s">
        <v>1441</v>
      </c>
    </row>
    <row r="10" customFormat="false" ht="7.5" hidden="false" customHeight="true" outlineLevel="0" collapsed="false"/>
    <row r="11" customFormat="false" ht="15.75" hidden="false" customHeight="true" outlineLevel="0" collapsed="false">
      <c r="B11" s="81" t="s">
        <v>1442</v>
      </c>
      <c r="C11" s="81"/>
      <c r="D11" s="81"/>
      <c r="E11" s="81"/>
      <c r="F11" s="81"/>
      <c r="G11" s="81"/>
      <c r="H11" s="81"/>
      <c r="I11" s="81"/>
      <c r="J11" s="81"/>
      <c r="K11" s="81"/>
      <c r="L11" s="81"/>
    </row>
    <row r="12" customFormat="false" ht="15.75" hidden="false" customHeight="true" outlineLevel="0" collapsed="false">
      <c r="B12" s="83" t="s">
        <v>1069</v>
      </c>
      <c r="C12" s="83" t="s">
        <v>1</v>
      </c>
      <c r="D12" s="83" t="s">
        <v>1183</v>
      </c>
      <c r="E12" s="83" t="s">
        <v>171</v>
      </c>
      <c r="F12" s="83" t="s">
        <v>1443</v>
      </c>
      <c r="G12" s="83" t="s">
        <v>1444</v>
      </c>
      <c r="H12" s="83" t="s">
        <v>1445</v>
      </c>
      <c r="I12" s="83" t="s">
        <v>1446</v>
      </c>
      <c r="J12" s="83" t="s">
        <v>1447</v>
      </c>
      <c r="K12" s="83" t="s">
        <v>1448</v>
      </c>
    </row>
    <row r="13" customFormat="false" ht="13.5" hidden="false" customHeight="true" outlineLevel="0" collapsed="false">
      <c r="B13" s="115" t="s">
        <v>251</v>
      </c>
      <c r="C13" s="116" t="s">
        <v>52</v>
      </c>
      <c r="D13" s="116" t="n">
        <f aca="false">COUNTIF('Coffee Audit'!C2:C2000,B13)</f>
        <v>8</v>
      </c>
      <c r="E13" s="116" t="n">
        <f aca="false">SUMPRODUCT(('Coffee Audit'!C2:C2000=B13)*('Coffee Audit'!W2:W2000="⭐ GESHA"))</f>
        <v>1</v>
      </c>
      <c r="F13" s="116" t="str">
        <f aca="false">IFERROR("S$"&amp;TEXT(AVERAGEIFS('Coffee Audit'!Q2:Q2000,'Coffee Audit'!C2:C2000,B13,'Coffee Audit'!Q2:Q2000,"&gt;0"),"0.00"),"—")</f>
        <v>S$8.25</v>
      </c>
      <c r="G13" s="116" t="s">
        <v>1449</v>
      </c>
      <c r="H13" s="116" t="s">
        <v>1450</v>
      </c>
      <c r="I13" s="116" t="s">
        <v>1451</v>
      </c>
      <c r="J13" s="116" t="s">
        <v>1452</v>
      </c>
      <c r="K13" s="116" t="s">
        <v>1453</v>
      </c>
    </row>
    <row r="14" customFormat="false" ht="13.5" hidden="false" customHeight="true" outlineLevel="0" collapsed="false">
      <c r="B14" s="117" t="s">
        <v>322</v>
      </c>
      <c r="C14" s="118" t="s">
        <v>52</v>
      </c>
      <c r="D14" s="118" t="n">
        <f aca="false">COUNTIF('Coffee Audit'!C2:C2000,B14)</f>
        <v>8</v>
      </c>
      <c r="E14" s="118" t="n">
        <f aca="false">SUMPRODUCT(('Coffee Audit'!C2:C2000=B14)*('Coffee Audit'!W2:W2000="⭐ GESHA"))</f>
        <v>3</v>
      </c>
      <c r="F14" s="118" t="str">
        <f aca="false">IFERROR("S$"&amp;TEXT(AVERAGEIFS('Coffee Audit'!Q2:Q2000,'Coffee Audit'!C2:C2000,B14,'Coffee Audit'!Q2:Q2000,"&gt;0"),"0.00"),"—")</f>
        <v>S$14.57</v>
      </c>
      <c r="G14" s="118" t="s">
        <v>1454</v>
      </c>
      <c r="H14" s="118" t="s">
        <v>1455</v>
      </c>
      <c r="I14" s="118" t="s">
        <v>1258</v>
      </c>
      <c r="J14" s="118" t="s">
        <v>1452</v>
      </c>
      <c r="K14" s="118" t="s">
        <v>1456</v>
      </c>
    </row>
    <row r="15" customFormat="false" ht="13.5" hidden="false" customHeight="true" outlineLevel="0" collapsed="false">
      <c r="B15" s="115" t="s">
        <v>167</v>
      </c>
      <c r="C15" s="116" t="s">
        <v>52</v>
      </c>
      <c r="D15" s="116" t="n">
        <f aca="false">COUNTIF('Coffee Audit'!C2:C2000,B15)</f>
        <v>5</v>
      </c>
      <c r="E15" s="116" t="n">
        <f aca="false">SUMPRODUCT(('Coffee Audit'!C2:C2000=B15)*('Coffee Audit'!W2:W2000="⭐ GESHA"))</f>
        <v>3</v>
      </c>
      <c r="F15" s="116" t="str">
        <f aca="false">IFERROR("S$"&amp;TEXT(AVERAGEIFS('Coffee Audit'!Q2:Q2000,'Coffee Audit'!C2:C2000,B15,'Coffee Audit'!Q2:Q2000,"&gt;0"),"0.00"),"—")</f>
        <v>S$12.00</v>
      </c>
      <c r="G15" s="116" t="s">
        <v>1457</v>
      </c>
      <c r="H15" s="116" t="s">
        <v>1258</v>
      </c>
      <c r="I15" s="116" t="s">
        <v>1258</v>
      </c>
      <c r="J15" s="116" t="s">
        <v>1452</v>
      </c>
      <c r="K15" s="116" t="s">
        <v>1458</v>
      </c>
    </row>
    <row r="16" customFormat="false" ht="13.5" hidden="false" customHeight="true" outlineLevel="0" collapsed="false">
      <c r="B16" s="117" t="s">
        <v>370</v>
      </c>
      <c r="C16" s="118" t="s">
        <v>52</v>
      </c>
      <c r="D16" s="118" t="n">
        <f aca="false">COUNTIF('Coffee Audit'!C2:C2000,B16)</f>
        <v>2</v>
      </c>
      <c r="E16" s="118" t="n">
        <f aca="false">SUMPRODUCT(('Coffee Audit'!C2:C2000=B16)*('Coffee Audit'!W2:W2000="⭐ GESHA"))</f>
        <v>0</v>
      </c>
      <c r="F16" s="118" t="str">
        <f aca="false">IFERROR("S$"&amp;TEXT(AVERAGEIFS('Coffee Audit'!Q2:Q2000,'Coffee Audit'!C2:C2000,B16,'Coffee Audit'!Q2:Q2000,"&gt;0"),"0.00"),"—")</f>
        <v>S$10.50</v>
      </c>
      <c r="G16" s="118" t="s">
        <v>1459</v>
      </c>
      <c r="H16" s="118" t="s">
        <v>1460</v>
      </c>
      <c r="I16" s="118" t="s">
        <v>1461</v>
      </c>
      <c r="J16" s="118" t="s">
        <v>1452</v>
      </c>
      <c r="K16" s="118" t="s">
        <v>1462</v>
      </c>
    </row>
    <row r="17" customFormat="false" ht="13.5" hidden="false" customHeight="true" outlineLevel="0" collapsed="false">
      <c r="B17" s="115" t="s">
        <v>53</v>
      </c>
      <c r="C17" s="116" t="s">
        <v>52</v>
      </c>
      <c r="D17" s="116" t="n">
        <f aca="false">COUNTIF('Coffee Audit'!C2:C2000,B17)</f>
        <v>3</v>
      </c>
      <c r="E17" s="116" t="n">
        <f aca="false">SUMPRODUCT(('Coffee Audit'!C2:C2000=B17)*('Coffee Audit'!W2:W2000="⭐ GESHA"))</f>
        <v>0</v>
      </c>
      <c r="F17" s="116" t="str">
        <f aca="false">IFERROR("S$"&amp;TEXT(AVERAGEIFS('Coffee Audit'!Q2:Q2000,'Coffee Audit'!C2:C2000,B17,'Coffee Audit'!Q2:Q2000,"&gt;0"),"0.00"),"—")</f>
        <v>S$8.67</v>
      </c>
      <c r="G17" s="116" t="s">
        <v>1463</v>
      </c>
      <c r="H17" s="116" t="s">
        <v>1464</v>
      </c>
      <c r="I17" s="116" t="s">
        <v>1465</v>
      </c>
      <c r="J17" s="116" t="s">
        <v>1452</v>
      </c>
      <c r="K17" s="116" t="s">
        <v>1466</v>
      </c>
    </row>
    <row r="18" customFormat="false" ht="13.5" hidden="false" customHeight="true" outlineLevel="0" collapsed="false">
      <c r="B18" s="117" t="s">
        <v>646</v>
      </c>
      <c r="C18" s="118" t="s">
        <v>52</v>
      </c>
      <c r="D18" s="118" t="n">
        <f aca="false">COUNTIF('Coffee Audit'!C2:C2000,B18)</f>
        <v>1</v>
      </c>
      <c r="E18" s="118" t="n">
        <f aca="false">SUMPRODUCT(('Coffee Audit'!C2:C2000=B18)*('Coffee Audit'!W2:W2000="⭐ GESHA"))</f>
        <v>1</v>
      </c>
      <c r="F18" s="118" t="str">
        <f aca="false">IFERROR("S$"&amp;TEXT(AVERAGEIFS('Coffee Audit'!Q2:Q2000,'Coffee Audit'!C2:C2000,B18,'Coffee Audit'!Q2:Q2000,"&gt;0"),"0.00"),"—")</f>
        <v>S$21.00</v>
      </c>
      <c r="G18" s="118" t="s">
        <v>1467</v>
      </c>
      <c r="H18" s="118" t="s">
        <v>1468</v>
      </c>
      <c r="I18" s="118" t="s">
        <v>1469</v>
      </c>
      <c r="J18" s="118" t="s">
        <v>1452</v>
      </c>
      <c r="K18" s="118" t="s">
        <v>1470</v>
      </c>
    </row>
    <row r="19" customFormat="false" ht="13.5" hidden="false" customHeight="true" outlineLevel="0" collapsed="false">
      <c r="B19" s="119" t="s">
        <v>540</v>
      </c>
      <c r="C19" s="120" t="s">
        <v>52</v>
      </c>
      <c r="D19" s="120" t="n">
        <f aca="false">COUNTIF('Coffee Audit'!C2:C2000,B19)</f>
        <v>3</v>
      </c>
      <c r="E19" s="120" t="n">
        <f aca="false">SUMPRODUCT(('Coffee Audit'!C2:C2000=B19)*('Coffee Audit'!W2:W2000="⭐ GESHA"))</f>
        <v>0</v>
      </c>
      <c r="F19" s="120" t="str">
        <f aca="false">IFERROR("S$"&amp;TEXT(AVERAGEIFS('Coffee Audit'!Q2:Q2000,'Coffee Audit'!C2:C2000,B19,'Coffee Audit'!Q2:Q2000,"&gt;0"),"0.00"),"—")</f>
        <v>S$9.00</v>
      </c>
      <c r="G19" s="120" t="s">
        <v>1471</v>
      </c>
      <c r="H19" s="120" t="s">
        <v>1472</v>
      </c>
      <c r="I19" s="120" t="s">
        <v>1473</v>
      </c>
      <c r="J19" s="120" t="s">
        <v>1474</v>
      </c>
      <c r="K19" s="120" t="s">
        <v>1475</v>
      </c>
    </row>
    <row r="20" customFormat="false" ht="13.5" hidden="false" customHeight="true" outlineLevel="0" collapsed="false">
      <c r="B20" s="117" t="s">
        <v>555</v>
      </c>
      <c r="C20" s="118" t="s">
        <v>52</v>
      </c>
      <c r="D20" s="118" t="n">
        <f aca="false">COUNTIF('Coffee Audit'!C2:C2000,B20)</f>
        <v>2</v>
      </c>
      <c r="E20" s="118" t="n">
        <f aca="false">SUMPRODUCT(('Coffee Audit'!C2:C2000=B20)*('Coffee Audit'!W2:W2000="⭐ GESHA"))</f>
        <v>1</v>
      </c>
      <c r="F20" s="118" t="str">
        <f aca="false">IFERROR("S$"&amp;TEXT(AVERAGEIFS('Coffee Audit'!Q2:Q2000,'Coffee Audit'!C2:C2000,B20,'Coffee Audit'!Q2:Q2000,"&gt;0"),"0.00"),"—")</f>
        <v>S$14.50</v>
      </c>
      <c r="G20" s="118" t="s">
        <v>1476</v>
      </c>
      <c r="H20" s="118" t="s">
        <v>1477</v>
      </c>
      <c r="I20" s="118" t="s">
        <v>1478</v>
      </c>
      <c r="J20" s="118" t="s">
        <v>1452</v>
      </c>
      <c r="K20" s="118" t="s">
        <v>1479</v>
      </c>
    </row>
    <row r="21" customFormat="false" ht="13.5" hidden="false" customHeight="true" outlineLevel="0" collapsed="false">
      <c r="B21" s="115" t="s">
        <v>607</v>
      </c>
      <c r="C21" s="116" t="s">
        <v>52</v>
      </c>
      <c r="D21" s="116" t="n">
        <f aca="false">COUNTIF('Coffee Audit'!C2:C2000,B21)</f>
        <v>1</v>
      </c>
      <c r="E21" s="116" t="n">
        <f aca="false">SUMPRODUCT(('Coffee Audit'!C2:C2000=B21)*('Coffee Audit'!W2:W2000="⭐ GESHA"))</f>
        <v>1</v>
      </c>
      <c r="F21" s="116" t="str">
        <f aca="false">IFERROR("S$"&amp;TEXT(AVERAGEIFS('Coffee Audit'!Q2:Q2000,'Coffee Audit'!C2:C2000,B21,'Coffee Audit'!Q2:Q2000,"&gt;0"),"0.00"),"—")</f>
        <v>S$15.00</v>
      </c>
      <c r="G21" s="116" t="s">
        <v>1480</v>
      </c>
      <c r="H21" s="116" t="s">
        <v>1481</v>
      </c>
      <c r="I21" s="116" t="s">
        <v>1482</v>
      </c>
      <c r="J21" s="116" t="s">
        <v>1452</v>
      </c>
      <c r="K21" s="116"/>
    </row>
    <row r="22" customFormat="false" ht="13.5" hidden="false" customHeight="true" outlineLevel="0" collapsed="false">
      <c r="B22" s="117" t="s">
        <v>622</v>
      </c>
      <c r="C22" s="118" t="s">
        <v>52</v>
      </c>
      <c r="D22" s="118" t="n">
        <f aca="false">COUNTIF('Coffee Audit'!C2:C2000,B22)</f>
        <v>1</v>
      </c>
      <c r="E22" s="118" t="n">
        <f aca="false">SUMPRODUCT(('Coffee Audit'!C2:C2000=B22)*('Coffee Audit'!W2:W2000="⭐ GESHA"))</f>
        <v>1</v>
      </c>
      <c r="F22" s="118" t="str">
        <f aca="false">IFERROR("S$"&amp;TEXT(AVERAGEIFS('Coffee Audit'!Q2:Q2000,'Coffee Audit'!C2:C2000,B22,'Coffee Audit'!Q2:Q2000,"&gt;0"),"0.00"),"—")</f>
        <v>S$16.00</v>
      </c>
      <c r="G22" s="118" t="s">
        <v>1483</v>
      </c>
      <c r="H22" s="118" t="s">
        <v>1258</v>
      </c>
      <c r="I22" s="118" t="s">
        <v>1484</v>
      </c>
      <c r="J22" s="118" t="s">
        <v>1452</v>
      </c>
      <c r="K22" s="118" t="s">
        <v>1485</v>
      </c>
    </row>
    <row r="23" customFormat="false" ht="13.5" hidden="false" customHeight="true" outlineLevel="0" collapsed="false">
      <c r="B23" s="115" t="s">
        <v>115</v>
      </c>
      <c r="C23" s="116" t="s">
        <v>52</v>
      </c>
      <c r="D23" s="116" t="n">
        <f aca="false">COUNTIF('Coffee Audit'!C2:C2000,B23)</f>
        <v>3</v>
      </c>
      <c r="E23" s="116" t="n">
        <f aca="false">SUMPRODUCT(('Coffee Audit'!C2:C2000=B23)*('Coffee Audit'!W2:W2000="⭐ GESHA"))</f>
        <v>1</v>
      </c>
      <c r="F23" s="116" t="str">
        <f aca="false">IFERROR("S$"&amp;TEXT(AVERAGEIFS('Coffee Audit'!Q2:Q2000,'Coffee Audit'!C2:C2000,B23,'Coffee Audit'!Q2:Q2000,"&gt;0"),"0.00"),"—")</f>
        <v>S$9.25</v>
      </c>
      <c r="G23" s="116" t="s">
        <v>1486</v>
      </c>
      <c r="H23" s="116" t="s">
        <v>1487</v>
      </c>
      <c r="I23" s="116" t="s">
        <v>1488</v>
      </c>
      <c r="J23" s="116" t="s">
        <v>1452</v>
      </c>
      <c r="K23" s="116" t="s">
        <v>1489</v>
      </c>
    </row>
    <row r="24" customFormat="false" ht="13.5" hidden="false" customHeight="true" outlineLevel="0" collapsed="false">
      <c r="B24" s="117" t="s">
        <v>443</v>
      </c>
      <c r="C24" s="118" t="s">
        <v>52</v>
      </c>
      <c r="D24" s="118" t="n">
        <f aca="false">COUNTIF('Coffee Audit'!C2:C2000,B24)</f>
        <v>2</v>
      </c>
      <c r="E24" s="118" t="n">
        <f aca="false">SUMPRODUCT(('Coffee Audit'!C2:C2000=B24)*('Coffee Audit'!W2:W2000="⭐ GESHA"))</f>
        <v>0</v>
      </c>
      <c r="F24" s="118" t="str">
        <f aca="false">IFERROR("S$"&amp;TEXT(AVERAGEIFS('Coffee Audit'!Q2:Q2000,'Coffee Audit'!C2:C2000,B24,'Coffee Audit'!Q2:Q2000,"&gt;0"),"0.00"),"—")</f>
        <v>S$9.50</v>
      </c>
      <c r="G24" s="118" t="s">
        <v>455</v>
      </c>
      <c r="H24" s="118" t="s">
        <v>1487</v>
      </c>
      <c r="I24" s="118" t="s">
        <v>1488</v>
      </c>
      <c r="J24" s="118" t="s">
        <v>1474</v>
      </c>
      <c r="K24" s="118" t="s">
        <v>1490</v>
      </c>
    </row>
    <row r="25" customFormat="false" ht="13.5" hidden="false" customHeight="true" outlineLevel="0" collapsed="false">
      <c r="B25" s="115" t="s">
        <v>401</v>
      </c>
      <c r="C25" s="116" t="s">
        <v>52</v>
      </c>
      <c r="D25" s="116" t="n">
        <f aca="false">COUNTIF('Coffee Audit'!C2:C2000,B25)</f>
        <v>2</v>
      </c>
      <c r="E25" s="116" t="n">
        <f aca="false">SUMPRODUCT(('Coffee Audit'!C2:C2000=B25)*('Coffee Audit'!W2:W2000="⭐ GESHA"))</f>
        <v>1</v>
      </c>
      <c r="F25" s="116" t="str">
        <f aca="false">IFERROR("S$"&amp;TEXT(AVERAGEIFS('Coffee Audit'!Q2:Q2000,'Coffee Audit'!C2:C2000,B25,'Coffee Audit'!Q2:Q2000,"&gt;0"),"0.00"),"—")</f>
        <v>S$14.00</v>
      </c>
      <c r="G25" s="116" t="s">
        <v>1491</v>
      </c>
      <c r="H25" s="116" t="s">
        <v>1492</v>
      </c>
      <c r="I25" s="116" t="s">
        <v>1493</v>
      </c>
      <c r="J25" s="116" t="s">
        <v>1452</v>
      </c>
      <c r="K25" s="116" t="s">
        <v>1494</v>
      </c>
    </row>
    <row r="26" customFormat="false" ht="13.5" hidden="false" customHeight="true" outlineLevel="0" collapsed="false">
      <c r="B26" s="117" t="s">
        <v>179</v>
      </c>
      <c r="C26" s="118" t="s">
        <v>52</v>
      </c>
      <c r="D26" s="118" t="n">
        <f aca="false">COUNTIF('Coffee Audit'!C2:C2000,B26)</f>
        <v>2</v>
      </c>
      <c r="E26" s="118" t="n">
        <f aca="false">SUMPRODUCT(('Coffee Audit'!C2:C2000=B26)*('Coffee Audit'!W2:W2000="⭐ GESHA"))</f>
        <v>0</v>
      </c>
      <c r="F26" s="118" t="str">
        <f aca="false">IFERROR("S$"&amp;TEXT(AVERAGEIFS('Coffee Audit'!Q2:Q2000,'Coffee Audit'!C2:C2000,B26,'Coffee Audit'!Q2:Q2000,"&gt;0"),"0.00"),"—")</f>
        <v>S$9.00</v>
      </c>
      <c r="G26" s="118" t="s">
        <v>1495</v>
      </c>
      <c r="H26" s="118" t="s">
        <v>1258</v>
      </c>
      <c r="I26" s="118" t="s">
        <v>1496</v>
      </c>
      <c r="J26" s="118" t="s">
        <v>1452</v>
      </c>
      <c r="K26" s="118" t="s">
        <v>1497</v>
      </c>
    </row>
    <row r="27" customFormat="false" ht="13.5" hidden="false" customHeight="true" outlineLevel="0" collapsed="false">
      <c r="B27" s="115" t="s">
        <v>332</v>
      </c>
      <c r="C27" s="116" t="s">
        <v>52</v>
      </c>
      <c r="D27" s="116" t="n">
        <f aca="false">COUNTIF('Coffee Audit'!C2:C2000,B27)</f>
        <v>2</v>
      </c>
      <c r="E27" s="116" t="n">
        <f aca="false">SUMPRODUCT(('Coffee Audit'!C2:C2000=B27)*('Coffee Audit'!W2:W2000="⭐ GESHA"))</f>
        <v>2</v>
      </c>
      <c r="F27" s="116" t="str">
        <f aca="false">IFERROR("S$"&amp;TEXT(AVERAGEIFS('Coffee Audit'!Q2:Q2000,'Coffee Audit'!C2:C2000,B27,'Coffee Audit'!Q2:Q2000,"&gt;0"),"0.00"),"—")</f>
        <v>S$15.00</v>
      </c>
      <c r="G27" s="116" t="s">
        <v>343</v>
      </c>
      <c r="H27" s="116" t="s">
        <v>1498</v>
      </c>
      <c r="I27" s="116" t="s">
        <v>1258</v>
      </c>
      <c r="J27" s="116" t="s">
        <v>1474</v>
      </c>
      <c r="K27" s="116" t="s">
        <v>1499</v>
      </c>
    </row>
    <row r="28" customFormat="false" ht="13.5" hidden="false" customHeight="true" outlineLevel="0" collapsed="false">
      <c r="B28" s="117" t="s">
        <v>104</v>
      </c>
      <c r="C28" s="118" t="s">
        <v>52</v>
      </c>
      <c r="D28" s="118" t="n">
        <f aca="false">COUNTIF('Coffee Audit'!C2:C2000,B28)</f>
        <v>2</v>
      </c>
      <c r="E28" s="118" t="n">
        <f aca="false">SUMPRODUCT(('Coffee Audit'!C2:C2000=B28)*('Coffee Audit'!W2:W2000="⭐ GESHA"))</f>
        <v>0</v>
      </c>
      <c r="F28" s="118" t="str">
        <f aca="false">IFERROR("S$"&amp;TEXT(AVERAGEIFS('Coffee Audit'!Q2:Q2000,'Coffee Audit'!C2:C2000,B28,'Coffee Audit'!Q2:Q2000,"&gt;0"),"0.00"),"—")</f>
        <v>S$15.00</v>
      </c>
      <c r="G28" s="118" t="s">
        <v>1500</v>
      </c>
      <c r="H28" s="118" t="s">
        <v>1501</v>
      </c>
      <c r="I28" s="118" t="s">
        <v>1258</v>
      </c>
      <c r="J28" s="118" t="s">
        <v>1452</v>
      </c>
      <c r="K28" s="118" t="s">
        <v>1502</v>
      </c>
    </row>
    <row r="29" customFormat="false" ht="13.5" hidden="false" customHeight="true" outlineLevel="0" collapsed="false">
      <c r="B29" s="115" t="s">
        <v>132</v>
      </c>
      <c r="C29" s="116" t="s">
        <v>52</v>
      </c>
      <c r="D29" s="116" t="n">
        <f aca="false">COUNTIF('Coffee Audit'!C2:C2000,B29)</f>
        <v>3</v>
      </c>
      <c r="E29" s="116" t="n">
        <f aca="false">SUMPRODUCT(('Coffee Audit'!C2:C2000=B29)*('Coffee Audit'!W2:W2000="⭐ GESHA"))</f>
        <v>0</v>
      </c>
      <c r="F29" s="116" t="str">
        <f aca="false">IFERROR("S$"&amp;TEXT(AVERAGEIFS('Coffee Audit'!Q2:Q2000,'Coffee Audit'!C2:C2000,B29,'Coffee Audit'!Q2:Q2000,"&gt;0"),"0.00"),"—")</f>
        <v>—</v>
      </c>
      <c r="G29" s="116" t="s">
        <v>1503</v>
      </c>
      <c r="H29" s="116" t="s">
        <v>1504</v>
      </c>
      <c r="I29" s="116" t="s">
        <v>1258</v>
      </c>
      <c r="J29" s="116" t="s">
        <v>1452</v>
      </c>
      <c r="K29" s="116" t="s">
        <v>1505</v>
      </c>
    </row>
    <row r="30" customFormat="false" ht="13.5" hidden="false" customHeight="true" outlineLevel="0" collapsed="false">
      <c r="B30" s="117" t="s">
        <v>431</v>
      </c>
      <c r="C30" s="118" t="s">
        <v>52</v>
      </c>
      <c r="D30" s="118" t="n">
        <f aca="false">COUNTIF('Coffee Audit'!C2:C2000,B30)</f>
        <v>2</v>
      </c>
      <c r="E30" s="118" t="n">
        <f aca="false">SUMPRODUCT(('Coffee Audit'!C2:C2000=B30)*('Coffee Audit'!W2:W2000="⭐ GESHA"))</f>
        <v>2</v>
      </c>
      <c r="F30" s="118" t="str">
        <f aca="false">IFERROR("S$"&amp;TEXT(AVERAGEIFS('Coffee Audit'!Q2:Q2000,'Coffee Audit'!C2:C2000,B30,'Coffee Audit'!Q2:Q2000,"&gt;0"),"0.00"),"—")</f>
        <v>S$12.50</v>
      </c>
      <c r="G30" s="118" t="s">
        <v>1506</v>
      </c>
      <c r="H30" s="118" t="s">
        <v>1507</v>
      </c>
      <c r="I30" s="118" t="s">
        <v>1508</v>
      </c>
      <c r="J30" s="118" t="s">
        <v>1452</v>
      </c>
      <c r="K30" s="118" t="s">
        <v>1509</v>
      </c>
    </row>
    <row r="31" customFormat="false" ht="13.5" hidden="false" customHeight="true" outlineLevel="0" collapsed="false">
      <c r="B31" s="115" t="s">
        <v>577</v>
      </c>
      <c r="C31" s="116" t="s">
        <v>52</v>
      </c>
      <c r="D31" s="116" t="n">
        <f aca="false">COUNTIF('Coffee Audit'!C2:C2000,B31)</f>
        <v>1</v>
      </c>
      <c r="E31" s="116" t="n">
        <f aca="false">SUMPRODUCT(('Coffee Audit'!C2:C2000=B31)*('Coffee Audit'!W2:W2000="⭐ GESHA"))</f>
        <v>1</v>
      </c>
      <c r="F31" s="116" t="str">
        <f aca="false">IFERROR("S$"&amp;TEXT(AVERAGEIFS('Coffee Audit'!Q2:Q2000,'Coffee Audit'!C2:C2000,B31,'Coffee Audit'!Q2:Q2000,"&gt;0"),"0.00"),"—")</f>
        <v>S$9.90</v>
      </c>
      <c r="G31" s="116" t="s">
        <v>1510</v>
      </c>
      <c r="H31" s="116" t="s">
        <v>1511</v>
      </c>
      <c r="I31" s="116" t="s">
        <v>1512</v>
      </c>
      <c r="J31" s="116" t="s">
        <v>1452</v>
      </c>
      <c r="K31" s="116" t="s">
        <v>1513</v>
      </c>
    </row>
    <row r="32" customFormat="false" ht="13.5" hidden="false" customHeight="true" outlineLevel="0" collapsed="false">
      <c r="B32" s="117" t="s">
        <v>278</v>
      </c>
      <c r="C32" s="118" t="s">
        <v>52</v>
      </c>
      <c r="D32" s="118" t="n">
        <f aca="false">COUNTIF('Coffee Audit'!C2:C2000,B32)</f>
        <v>2</v>
      </c>
      <c r="E32" s="118" t="n">
        <f aca="false">SUMPRODUCT(('Coffee Audit'!C2:C2000=B32)*('Coffee Audit'!W2:W2000="⭐ GESHA"))</f>
        <v>0</v>
      </c>
      <c r="F32" s="118" t="str">
        <f aca="false">IFERROR("S$"&amp;TEXT(AVERAGEIFS('Coffee Audit'!Q2:Q2000,'Coffee Audit'!C2:C2000,B32,'Coffee Audit'!Q2:Q2000,"&gt;0"),"0.00"),"—")</f>
        <v>S$8.50</v>
      </c>
      <c r="G32" s="118" t="s">
        <v>1514</v>
      </c>
      <c r="H32" s="118" t="s">
        <v>1515</v>
      </c>
      <c r="I32" s="118" t="s">
        <v>1516</v>
      </c>
      <c r="J32" s="118" t="s">
        <v>1452</v>
      </c>
      <c r="K32" s="118" t="s">
        <v>1517</v>
      </c>
    </row>
    <row r="33" customFormat="false" ht="13.5" hidden="false" customHeight="true" outlineLevel="0" collapsed="false">
      <c r="B33" s="115" t="s">
        <v>1518</v>
      </c>
      <c r="C33" s="116" t="s">
        <v>52</v>
      </c>
      <c r="D33" s="116" t="n">
        <f aca="false">COUNTIF('Coffee Audit'!C2:C2000,B33)</f>
        <v>0</v>
      </c>
      <c r="E33" s="116" t="n">
        <f aca="false">SUMPRODUCT(('Coffee Audit'!C2:C2000=B33)*('Coffee Audit'!W2:W2000="⭐ GESHA"))</f>
        <v>0</v>
      </c>
      <c r="F33" s="116" t="str">
        <f aca="false">IFERROR("S$"&amp;TEXT(AVERAGEIFS('Coffee Audit'!Q2:Q2000,'Coffee Audit'!C2:C2000,B33,'Coffee Audit'!Q2:Q2000,"&gt;0"),"0.00"),"—")</f>
        <v>—</v>
      </c>
      <c r="G33" s="116" t="s">
        <v>1519</v>
      </c>
      <c r="H33" s="116" t="s">
        <v>1515</v>
      </c>
      <c r="I33" s="116" t="s">
        <v>1516</v>
      </c>
      <c r="J33" s="116" t="s">
        <v>1452</v>
      </c>
      <c r="K33" s="116" t="s">
        <v>1520</v>
      </c>
    </row>
    <row r="34" customFormat="false" ht="13.5" hidden="false" customHeight="true" outlineLevel="0" collapsed="false">
      <c r="B34" s="117" t="s">
        <v>192</v>
      </c>
      <c r="C34" s="118" t="s">
        <v>52</v>
      </c>
      <c r="D34" s="118" t="n">
        <f aca="false">COUNTIF('Coffee Audit'!C2:C2000,B34)</f>
        <v>2</v>
      </c>
      <c r="E34" s="118" t="n">
        <f aca="false">SUMPRODUCT(('Coffee Audit'!C2:C2000=B34)*('Coffee Audit'!W2:W2000="⭐ GESHA"))</f>
        <v>1</v>
      </c>
      <c r="F34" s="118" t="str">
        <f aca="false">IFERROR("S$"&amp;TEXT(AVERAGEIFS('Coffee Audit'!Q2:Q2000,'Coffee Audit'!C2:C2000,B34,'Coffee Audit'!Q2:Q2000,"&gt;0"),"0.00"),"—")</f>
        <v>S$11.00</v>
      </c>
      <c r="G34" s="118" t="s">
        <v>1521</v>
      </c>
      <c r="H34" s="118" t="s">
        <v>1522</v>
      </c>
      <c r="I34" s="118" t="s">
        <v>1523</v>
      </c>
      <c r="J34" s="118" t="s">
        <v>1452</v>
      </c>
      <c r="K34" s="118" t="s">
        <v>1524</v>
      </c>
    </row>
    <row r="35" customFormat="false" ht="13.5" hidden="false" customHeight="true" outlineLevel="0" collapsed="false">
      <c r="B35" s="115" t="s">
        <v>153</v>
      </c>
      <c r="C35" s="116" t="s">
        <v>52</v>
      </c>
      <c r="D35" s="116" t="n">
        <f aca="false">COUNTIF('Coffee Audit'!C2:C2000,B35)</f>
        <v>2</v>
      </c>
      <c r="E35" s="116" t="n">
        <f aca="false">SUMPRODUCT(('Coffee Audit'!C2:C2000=B35)*('Coffee Audit'!W2:W2000="⭐ GESHA"))</f>
        <v>0</v>
      </c>
      <c r="F35" s="116" t="str">
        <f aca="false">IFERROR("S$"&amp;TEXT(AVERAGEIFS('Coffee Audit'!Q2:Q2000,'Coffee Audit'!C2:C2000,B35,'Coffee Audit'!Q2:Q2000,"&gt;0"),"0.00"),"—")</f>
        <v>S$6.55</v>
      </c>
      <c r="G35" s="116" t="s">
        <v>1525</v>
      </c>
      <c r="H35" s="116" t="s">
        <v>1258</v>
      </c>
      <c r="I35" s="116" t="s">
        <v>1526</v>
      </c>
      <c r="J35" s="116" t="s">
        <v>1452</v>
      </c>
      <c r="K35" s="116" t="s">
        <v>1527</v>
      </c>
    </row>
    <row r="36" customFormat="false" ht="13.5" hidden="false" customHeight="true" outlineLevel="0" collapsed="false">
      <c r="B36" s="117" t="s">
        <v>289</v>
      </c>
      <c r="C36" s="118" t="s">
        <v>52</v>
      </c>
      <c r="D36" s="118" t="n">
        <f aca="false">COUNTIF('Coffee Audit'!C2:C2000,B36)</f>
        <v>2</v>
      </c>
      <c r="E36" s="118" t="n">
        <f aca="false">SUMPRODUCT(('Coffee Audit'!C2:C2000=B36)*('Coffee Audit'!W2:W2000="⭐ GESHA"))</f>
        <v>0</v>
      </c>
      <c r="F36" s="118" t="str">
        <f aca="false">IFERROR("S$"&amp;TEXT(AVERAGEIFS('Coffee Audit'!Q2:Q2000,'Coffee Audit'!C2:C2000,B36,'Coffee Audit'!Q2:Q2000,"&gt;0"),"0.00"),"—")</f>
        <v>S$9.39</v>
      </c>
      <c r="G36" s="118" t="s">
        <v>1528</v>
      </c>
      <c r="H36" s="118" t="s">
        <v>1529</v>
      </c>
      <c r="I36" s="118" t="s">
        <v>1530</v>
      </c>
      <c r="J36" s="118" t="s">
        <v>1452</v>
      </c>
      <c r="K36" s="118" t="s">
        <v>1531</v>
      </c>
    </row>
    <row r="37" customFormat="false" ht="13.5" hidden="false" customHeight="true" outlineLevel="0" collapsed="false">
      <c r="B37" s="115" t="s">
        <v>416</v>
      </c>
      <c r="C37" s="116" t="s">
        <v>52</v>
      </c>
      <c r="D37" s="116" t="n">
        <f aca="false">COUNTIF('Coffee Audit'!C2:C2000,B37)</f>
        <v>1</v>
      </c>
      <c r="E37" s="116" t="n">
        <f aca="false">SUMPRODUCT(('Coffee Audit'!C2:C2000=B37)*('Coffee Audit'!W2:W2000="⭐ GESHA"))</f>
        <v>0</v>
      </c>
      <c r="F37" s="116" t="str">
        <f aca="false">IFERROR("S$"&amp;TEXT(AVERAGEIFS('Coffee Audit'!Q2:Q2000,'Coffee Audit'!C2:C2000,B37,'Coffee Audit'!Q2:Q2000,"&gt;0"),"0.00"),"—")</f>
        <v>S$13.00</v>
      </c>
      <c r="G37" s="116" t="s">
        <v>1532</v>
      </c>
      <c r="H37" s="116" t="s">
        <v>1533</v>
      </c>
      <c r="I37" s="116" t="s">
        <v>1258</v>
      </c>
      <c r="J37" s="116" t="s">
        <v>1452</v>
      </c>
      <c r="K37" s="116" t="s">
        <v>1534</v>
      </c>
    </row>
    <row r="38" customFormat="false" ht="13.5" hidden="false" customHeight="true" outlineLevel="0" collapsed="false">
      <c r="B38" s="117" t="s">
        <v>502</v>
      </c>
      <c r="C38" s="118" t="s">
        <v>52</v>
      </c>
      <c r="D38" s="118" t="n">
        <f aca="false">COUNTIF('Coffee Audit'!C2:C2000,B38)</f>
        <v>1</v>
      </c>
      <c r="E38" s="118" t="n">
        <f aca="false">SUMPRODUCT(('Coffee Audit'!C2:C2000=B38)*('Coffee Audit'!W2:W2000="⭐ GESHA"))</f>
        <v>0</v>
      </c>
      <c r="F38" s="118" t="str">
        <f aca="false">IFERROR("S$"&amp;TEXT(AVERAGEIFS('Coffee Audit'!Q2:Q2000,'Coffee Audit'!C2:C2000,B38,'Coffee Audit'!Q2:Q2000,"&gt;0"),"0.00"),"—")</f>
        <v>S$6.00</v>
      </c>
      <c r="G38" s="118" t="s">
        <v>1535</v>
      </c>
      <c r="H38" s="118" t="s">
        <v>1536</v>
      </c>
      <c r="I38" s="118" t="s">
        <v>1258</v>
      </c>
      <c r="J38" s="118" t="s">
        <v>1452</v>
      </c>
      <c r="K38" s="118" t="s">
        <v>1537</v>
      </c>
    </row>
    <row r="39" customFormat="false" ht="13.5" hidden="false" customHeight="true" outlineLevel="0" collapsed="false">
      <c r="B39" s="115" t="s">
        <v>456</v>
      </c>
      <c r="C39" s="116" t="s">
        <v>52</v>
      </c>
      <c r="D39" s="116" t="n">
        <f aca="false">COUNTIF('Coffee Audit'!C2:C2000,B39)</f>
        <v>1</v>
      </c>
      <c r="E39" s="116" t="n">
        <f aca="false">SUMPRODUCT(('Coffee Audit'!C2:C2000=B39)*('Coffee Audit'!W2:W2000="⭐ GESHA"))</f>
        <v>0</v>
      </c>
      <c r="F39" s="116" t="str">
        <f aca="false">IFERROR("S$"&amp;TEXT(AVERAGEIFS('Coffee Audit'!Q2:Q2000,'Coffee Audit'!C2:C2000,B39,'Coffee Audit'!Q2:Q2000,"&gt;0"),"0.00"),"—")</f>
        <v>S$9.00</v>
      </c>
      <c r="G39" s="116" t="s">
        <v>1538</v>
      </c>
      <c r="H39" s="116" t="s">
        <v>1258</v>
      </c>
      <c r="I39" s="116" t="s">
        <v>1258</v>
      </c>
      <c r="J39" s="116" t="s">
        <v>1452</v>
      </c>
      <c r="K39" s="116" t="s">
        <v>1539</v>
      </c>
    </row>
    <row r="40" customFormat="false" ht="13.5" hidden="false" customHeight="true" outlineLevel="0" collapsed="false">
      <c r="B40" s="121" t="s">
        <v>302</v>
      </c>
      <c r="C40" s="122" t="s">
        <v>52</v>
      </c>
      <c r="D40" s="122" t="n">
        <f aca="false">COUNTIF('Coffee Audit'!C2:C2000,B40)</f>
        <v>1</v>
      </c>
      <c r="E40" s="122" t="n">
        <f aca="false">SUMPRODUCT(('Coffee Audit'!C2:C2000=B40)*('Coffee Audit'!W2:W2000="⭐ GESHA"))</f>
        <v>0</v>
      </c>
      <c r="F40" s="122" t="str">
        <f aca="false">IFERROR("S$"&amp;TEXT(AVERAGEIFS('Coffee Audit'!Q2:Q2000,'Coffee Audit'!C2:C2000,B40,'Coffee Audit'!Q2:Q2000,"&gt;0"),"0.00"),"—")</f>
        <v>S$9.00</v>
      </c>
      <c r="G40" s="122" t="s">
        <v>1540</v>
      </c>
      <c r="H40" s="122" t="s">
        <v>1258</v>
      </c>
      <c r="I40" s="122" t="s">
        <v>1258</v>
      </c>
      <c r="J40" s="122" t="s">
        <v>1541</v>
      </c>
      <c r="K40" s="122" t="s">
        <v>1542</v>
      </c>
    </row>
    <row r="41" customFormat="false" ht="13.5" hidden="false" customHeight="true" outlineLevel="0" collapsed="false">
      <c r="B41" s="121" t="s">
        <v>88</v>
      </c>
      <c r="C41" s="122" t="s">
        <v>52</v>
      </c>
      <c r="D41" s="122" t="n">
        <f aca="false">COUNTIF('Coffee Audit'!C2:C2000,B41)</f>
        <v>2</v>
      </c>
      <c r="E41" s="122" t="n">
        <f aca="false">SUMPRODUCT(('Coffee Audit'!C2:C2000=B41)*('Coffee Audit'!W2:W2000="⭐ GESHA"))</f>
        <v>0</v>
      </c>
      <c r="F41" s="122" t="str">
        <f aca="false">IFERROR("S$"&amp;TEXT(AVERAGEIFS('Coffee Audit'!Q2:Q2000,'Coffee Audit'!C2:C2000,B41,'Coffee Audit'!Q2:Q2000,"&gt;0"),"0.00"),"—")</f>
        <v>—</v>
      </c>
      <c r="G41" s="122" t="s">
        <v>1543</v>
      </c>
      <c r="H41" s="122" t="s">
        <v>1258</v>
      </c>
      <c r="I41" s="122" t="s">
        <v>1258</v>
      </c>
      <c r="J41" s="122" t="s">
        <v>1541</v>
      </c>
      <c r="K41" s="122" t="s">
        <v>1544</v>
      </c>
    </row>
    <row r="42" customFormat="false" ht="13.5" hidden="false" customHeight="true" outlineLevel="0" collapsed="false">
      <c r="B42" s="115" t="s">
        <v>25</v>
      </c>
      <c r="C42" s="116" t="s">
        <v>24</v>
      </c>
      <c r="D42" s="116" t="n">
        <f aca="false">COUNTIF('Coffee Audit'!C2:C2000,B42)</f>
        <v>3</v>
      </c>
      <c r="E42" s="116" t="n">
        <f aca="false">SUMPRODUCT(('Coffee Audit'!C2:C2000=B42)*('Coffee Audit'!W2:W2000="⭐ GESHA"))</f>
        <v>0</v>
      </c>
      <c r="F42" s="116" t="str">
        <f aca="false">IFERROR("S$"&amp;TEXT(AVERAGEIFS('Coffee Audit'!Q2:Q2000,'Coffee Audit'!C2:C2000,B42,'Coffee Audit'!Q2:Q2000,"&gt;0"),"0.00"),"—")</f>
        <v>—</v>
      </c>
      <c r="G42" s="116" t="s">
        <v>1545</v>
      </c>
      <c r="H42" s="116" t="s">
        <v>1546</v>
      </c>
      <c r="I42" s="116" t="s">
        <v>1547</v>
      </c>
      <c r="J42" s="116" t="s">
        <v>1548</v>
      </c>
      <c r="K42" s="116" t="s">
        <v>1549</v>
      </c>
    </row>
    <row r="43" customFormat="false" ht="13.5" hidden="false" customHeight="true" outlineLevel="0" collapsed="false">
      <c r="B43" s="115" t="s">
        <v>70</v>
      </c>
      <c r="C43" s="116" t="s">
        <v>69</v>
      </c>
      <c r="D43" s="116" t="n">
        <f aca="false">COUNTIF('Coffee Audit'!C2:C2000,B43)</f>
        <v>1</v>
      </c>
      <c r="E43" s="116" t="n">
        <f aca="false">SUMPRODUCT(('Coffee Audit'!C2:C2000=B43)*('Coffee Audit'!W2:W2000="⭐ GESHA"))</f>
        <v>0</v>
      </c>
      <c r="F43" s="116" t="str">
        <f aca="false">IFERROR("S$"&amp;TEXT(AVERAGEIFS('Coffee Audit'!Q2:Q2000,'Coffee Audit'!C2:C2000,B43,'Coffee Audit'!Q2:Q2000,"&gt;0"),"0.00"),"—")</f>
        <v>—</v>
      </c>
      <c r="G43" s="116" t="s">
        <v>1550</v>
      </c>
      <c r="H43" s="116" t="s">
        <v>1551</v>
      </c>
      <c r="I43" s="116" t="s">
        <v>1552</v>
      </c>
      <c r="J43" s="116" t="s">
        <v>1548</v>
      </c>
      <c r="K43" s="116" t="s">
        <v>1553</v>
      </c>
    </row>
    <row r="44" customFormat="false" ht="13.5" hidden="false" customHeight="true" outlineLevel="0" collapsed="false">
      <c r="B44" s="115" t="s">
        <v>80</v>
      </c>
      <c r="C44" s="116" t="s">
        <v>69</v>
      </c>
      <c r="D44" s="116" t="n">
        <f aca="false">COUNTIF('Coffee Audit'!C2:C2000,B44)</f>
        <v>1</v>
      </c>
      <c r="E44" s="116" t="n">
        <f aca="false">SUMPRODUCT(('Coffee Audit'!C2:C2000=B44)*('Coffee Audit'!W2:W2000="⭐ GESHA"))</f>
        <v>0</v>
      </c>
      <c r="F44" s="116" t="str">
        <f aca="false">IFERROR("S$"&amp;TEXT(AVERAGEIFS('Coffee Audit'!Q2:Q2000,'Coffee Audit'!C2:C2000,B44,'Coffee Audit'!Q2:Q2000,"&gt;0"),"0.00"),"—")</f>
        <v>—</v>
      </c>
      <c r="G44" s="116" t="s">
        <v>1554</v>
      </c>
      <c r="H44" s="116" t="s">
        <v>1555</v>
      </c>
      <c r="I44" s="116" t="s">
        <v>1258</v>
      </c>
      <c r="J44" s="116" t="s">
        <v>1548</v>
      </c>
      <c r="K44" s="116" t="s">
        <v>1553</v>
      </c>
    </row>
    <row r="45" customFormat="false" ht="13.5" hidden="false" customHeight="true" outlineLevel="0" collapsed="false">
      <c r="B45" s="119" t="s">
        <v>228</v>
      </c>
      <c r="C45" s="120" t="s">
        <v>227</v>
      </c>
      <c r="D45" s="120" t="n">
        <f aca="false">COUNTIF('Coffee Audit'!C2:C2000,B45)</f>
        <v>1</v>
      </c>
      <c r="E45" s="120" t="n">
        <f aca="false">SUMPRODUCT(('Coffee Audit'!C2:C2000=B45)*('Coffee Audit'!W2:W2000="⭐ GESHA"))</f>
        <v>0</v>
      </c>
      <c r="F45" s="120" t="str">
        <f aca="false">IFERROR("S$"&amp;TEXT(AVERAGEIFS('Coffee Audit'!Q2:Q2000,'Coffee Audit'!C2:C2000,B45,'Coffee Audit'!Q2:Q2000,"&gt;0"),"0.00"),"—")</f>
        <v>S$11.08</v>
      </c>
      <c r="G45" s="120" t="s">
        <v>1556</v>
      </c>
      <c r="H45" s="120" t="s">
        <v>1258</v>
      </c>
      <c r="I45" s="120" t="s">
        <v>1258</v>
      </c>
      <c r="J45" s="120" t="s">
        <v>1474</v>
      </c>
      <c r="K45" s="120" t="s">
        <v>1557</v>
      </c>
    </row>
    <row r="46" customFormat="false" ht="7.5" hidden="false" customHeight="true" outlineLevel="0" collapsed="false">
      <c r="B46" s="119" t="s">
        <v>747</v>
      </c>
      <c r="C46" s="120" t="s">
        <v>52</v>
      </c>
      <c r="D46" s="120" t="n">
        <f aca="false">COUNTIF('Coffee Audit'!C2:C2000,B46)</f>
        <v>1</v>
      </c>
      <c r="E46" s="120" t="n">
        <f aca="false">SUMPRODUCT(('Coffee Audit'!C2:C2000=B46)*('Coffee Audit'!W2:W2000="⭐ GESHA"))</f>
        <v>1</v>
      </c>
      <c r="F46" s="120" t="str">
        <f aca="false">IFERROR("S$"&amp;TEXT(AVERAGEIFS('Coffee Audit'!Q2:Q2000,'Coffee Audit'!C2:C2000,B46,'Coffee Audit'!Q2:Q2000,"&gt;0"),"0.00"),"—")</f>
        <v>S$12.00</v>
      </c>
      <c r="G46" s="120" t="s">
        <v>757</v>
      </c>
      <c r="H46" s="120" t="s">
        <v>1558</v>
      </c>
      <c r="I46" s="120" t="s">
        <v>1559</v>
      </c>
      <c r="J46" s="120" t="s">
        <v>1474</v>
      </c>
      <c r="K46" s="120" t="s">
        <v>1560</v>
      </c>
    </row>
    <row r="47" customFormat="false" ht="15.75" hidden="false" customHeight="true" outlineLevel="0" collapsed="false">
      <c r="B47" s="119" t="s">
        <v>736</v>
      </c>
      <c r="C47" s="120" t="s">
        <v>52</v>
      </c>
      <c r="D47" s="120" t="n">
        <f aca="false">COUNTIF('Coffee Audit'!C2:C2000,B47)</f>
        <v>2</v>
      </c>
      <c r="E47" s="120" t="n">
        <f aca="false">SUMPRODUCT(('Coffee Audit'!C2:C2000=B47)*('Coffee Audit'!W2:W2000="⭐ GESHA"))</f>
        <v>0</v>
      </c>
      <c r="F47" s="120" t="str">
        <f aca="false">IFERROR("S$"&amp;TEXT(AVERAGEIFS('Coffee Audit'!Q2:Q2000,'Coffee Audit'!C2:C2000,B47,'Coffee Audit'!Q2:Q2000,"&gt;0"),"0.00"),"—")</f>
        <v>S$9.50</v>
      </c>
      <c r="G47" s="120" t="s">
        <v>746</v>
      </c>
      <c r="H47" s="120" t="s">
        <v>1515</v>
      </c>
      <c r="I47" s="120" t="s">
        <v>1516</v>
      </c>
      <c r="J47" s="120" t="s">
        <v>1452</v>
      </c>
      <c r="K47" s="120" t="s">
        <v>1561</v>
      </c>
    </row>
    <row r="48" customFormat="false" ht="13.5" hidden="false" customHeight="true" outlineLevel="0" collapsed="false">
      <c r="B48" s="119" t="s">
        <v>667</v>
      </c>
      <c r="C48" s="120" t="s">
        <v>52</v>
      </c>
      <c r="D48" s="120" t="n">
        <f aca="false">COUNTIF('Coffee Audit'!C2:C2000,B48)</f>
        <v>4</v>
      </c>
      <c r="E48" s="120" t="n">
        <f aca="false">SUMPRODUCT(('Coffee Audit'!C2:C2000=B48)*('Coffee Audit'!W2:W2000="⭐ GESHA"))</f>
        <v>2</v>
      </c>
      <c r="F48" s="120" t="str">
        <f aca="false">IFERROR("S$"&amp;TEXT(AVERAGEIFS('Coffee Audit'!Q2:Q2000,'Coffee Audit'!C2:C2000,B48,'Coffee Audit'!Q2:Q2000,"&gt;0"),"0.00"),"—")</f>
        <v>S$22.50</v>
      </c>
      <c r="G48" s="120" t="s">
        <v>1562</v>
      </c>
      <c r="H48" s="120" t="s">
        <v>1563</v>
      </c>
      <c r="I48" s="120" t="s">
        <v>1258</v>
      </c>
      <c r="J48" s="120" t="s">
        <v>1541</v>
      </c>
      <c r="K48" s="120" t="s">
        <v>1564</v>
      </c>
    </row>
    <row r="49" customFormat="false" ht="13.5" hidden="false" customHeight="true" outlineLevel="0" collapsed="false">
      <c r="B49" s="119" t="s">
        <v>344</v>
      </c>
      <c r="C49" s="120" t="s">
        <v>52</v>
      </c>
      <c r="D49" s="120" t="n">
        <f aca="false">COUNTIF('Coffee Audit'!C2:C2000,B49)</f>
        <v>2</v>
      </c>
      <c r="E49" s="120" t="n">
        <f aca="false">SUMPRODUCT(('Coffee Audit'!C2:C2000=B49)*('Coffee Audit'!W2:W2000="⭐ GESHA"))</f>
        <v>0</v>
      </c>
      <c r="F49" s="120" t="str">
        <f aca="false">IFERROR("S$"&amp;TEXT(AVERAGEIFS('Coffee Audit'!Q2:Q2000,'Coffee Audit'!C2:C2000,B49,'Coffee Audit'!Q2:Q2000,"&gt;0"),"0.00"),"—")</f>
        <v>S$9.50</v>
      </c>
      <c r="G49" s="120" t="s">
        <v>1565</v>
      </c>
      <c r="H49" s="120" t="s">
        <v>1566</v>
      </c>
      <c r="I49" s="120" t="s">
        <v>1258</v>
      </c>
      <c r="J49" s="120" t="s">
        <v>1548</v>
      </c>
      <c r="K49" s="120" t="s">
        <v>1567</v>
      </c>
    </row>
    <row r="50" customFormat="false" ht="13.5" hidden="false" customHeight="true" outlineLevel="0" collapsed="false">
      <c r="B50" s="119" t="s">
        <v>712</v>
      </c>
      <c r="C50" s="120" t="s">
        <v>52</v>
      </c>
      <c r="D50" s="120" t="n">
        <f aca="false">COUNTIF('Coffee Audit'!C2:C2000,B50)</f>
        <v>1</v>
      </c>
      <c r="E50" s="120" t="n">
        <f aca="false">SUMPRODUCT(('Coffee Audit'!C2:C2000=B50)*('Coffee Audit'!W2:W2000="⭐ GESHA"))</f>
        <v>1</v>
      </c>
      <c r="F50" s="120" t="str">
        <f aca="false">IFERROR("S$"&amp;TEXT(AVERAGEIFS('Coffee Audit'!Q2:Q2000,'Coffee Audit'!C2:C2000,B50,'Coffee Audit'!Q2:Q2000,"&gt;0"),"0.00"),"—")</f>
        <v>S$16.00</v>
      </c>
      <c r="G50" s="120" t="s">
        <v>1568</v>
      </c>
      <c r="H50" s="120" t="s">
        <v>1569</v>
      </c>
      <c r="I50" s="120" t="s">
        <v>1258</v>
      </c>
      <c r="J50" s="120" t="s">
        <v>1474</v>
      </c>
      <c r="K50" s="120" t="s">
        <v>1570</v>
      </c>
    </row>
    <row r="51" customFormat="false" ht="13.5" hidden="false" customHeight="true" outlineLevel="0" collapsed="false">
      <c r="B51" s="119" t="s">
        <v>783</v>
      </c>
      <c r="C51" s="120" t="s">
        <v>52</v>
      </c>
      <c r="D51" s="120" t="n">
        <f aca="false">COUNTIF('Coffee Audit'!C2:C2000,B51)</f>
        <v>1</v>
      </c>
      <c r="E51" s="120" t="n">
        <f aca="false">SUMPRODUCT(('Coffee Audit'!C2:C2000=B51)*('Coffee Audit'!W2:W2000="⭐ GESHA"))</f>
        <v>1</v>
      </c>
      <c r="F51" s="120" t="str">
        <f aca="false">IFERROR("S$"&amp;TEXT(AVERAGEIFS('Coffee Audit'!Q2:Q2000,'Coffee Audit'!C2:C2000,B51,'Coffee Audit'!Q2:Q2000,"&gt;0"),"0.00"),"—")</f>
        <v>S$10.50</v>
      </c>
      <c r="G51" s="120" t="s">
        <v>793</v>
      </c>
      <c r="H51" s="120" t="s">
        <v>1515</v>
      </c>
      <c r="I51" s="120" t="s">
        <v>1516</v>
      </c>
      <c r="J51" s="120" t="s">
        <v>1474</v>
      </c>
      <c r="K51" s="120" t="s">
        <v>1571</v>
      </c>
    </row>
    <row r="52" customFormat="false" ht="13.5" hidden="false" customHeight="true" outlineLevel="0" collapsed="false">
      <c r="B52" s="119" t="s">
        <v>821</v>
      </c>
      <c r="C52" s="120" t="s">
        <v>52</v>
      </c>
      <c r="D52" s="120" t="n">
        <f aca="false">COUNTIF('Coffee Audit'!C2:C2000,B52)</f>
        <v>1</v>
      </c>
      <c r="E52" s="120" t="n">
        <f aca="false">SUMPRODUCT(('Coffee Audit'!C2:C2000=B52)*('Coffee Audit'!W2:W2000="⭐ GESHA"))</f>
        <v>0</v>
      </c>
      <c r="F52" s="120" t="str">
        <f aca="false">IFERROR("S$"&amp;TEXT(AVERAGEIFS('Coffee Audit'!Q2:Q2000,'Coffee Audit'!C2:C2000,B52,'Coffee Audit'!Q2:Q2000,"&gt;0"),"0.00"),"—")</f>
        <v>S$8.00</v>
      </c>
      <c r="G52" s="120" t="s">
        <v>833</v>
      </c>
      <c r="H52" s="120" t="s">
        <v>1258</v>
      </c>
      <c r="I52" s="120" t="s">
        <v>1484</v>
      </c>
      <c r="J52" s="120" t="s">
        <v>1452</v>
      </c>
      <c r="K52" s="120" t="s">
        <v>1572</v>
      </c>
    </row>
    <row r="53" customFormat="false" ht="13.5" hidden="false" customHeight="true" outlineLevel="0" collapsed="false">
      <c r="B53" s="119" t="s">
        <v>834</v>
      </c>
      <c r="C53" s="120" t="s">
        <v>52</v>
      </c>
      <c r="D53" s="120" t="n">
        <f aca="false">COUNTIF('Coffee Audit'!C2:C2000,B53)</f>
        <v>1</v>
      </c>
      <c r="E53" s="120" t="n">
        <f aca="false">SUMPRODUCT(('Coffee Audit'!C2:C2000=B53)*('Coffee Audit'!W2:W2000="⭐ GESHA"))</f>
        <v>0</v>
      </c>
      <c r="F53" s="120" t="str">
        <f aca="false">IFERROR("S$"&amp;TEXT(AVERAGEIFS('Coffee Audit'!Q2:Q2000,'Coffee Audit'!C2:C2000,B53,'Coffee Audit'!Q2:Q2000,"&gt;0"),"0.00"),"—")</f>
        <v>S$8.50</v>
      </c>
      <c r="G53" s="120" t="s">
        <v>1573</v>
      </c>
      <c r="H53" s="120" t="s">
        <v>1574</v>
      </c>
      <c r="I53" s="120" t="s">
        <v>1575</v>
      </c>
      <c r="J53" s="120" t="s">
        <v>1548</v>
      </c>
      <c r="K53" s="120" t="s">
        <v>1576</v>
      </c>
    </row>
    <row r="54" customFormat="false" ht="13.5" hidden="false" customHeight="true" outlineLevel="0" collapsed="false">
      <c r="B54" s="119" t="s">
        <v>862</v>
      </c>
      <c r="C54" s="120" t="s">
        <v>52</v>
      </c>
      <c r="D54" s="120" t="n">
        <f aca="false">COUNTIF('Coffee Audit'!C2:C2000,B54)</f>
        <v>1</v>
      </c>
      <c r="E54" s="120" t="n">
        <f aca="false">SUMPRODUCT(('Coffee Audit'!C2:C2000=B54)*('Coffee Audit'!W2:W2000="⭐ GESHA"))</f>
        <v>0</v>
      </c>
      <c r="F54" s="120" t="str">
        <f aca="false">IFERROR("S$"&amp;TEXT(AVERAGEIFS('Coffee Audit'!Q2:Q2000,'Coffee Audit'!C2:C2000,B54,'Coffee Audit'!Q2:Q2000,"&gt;0"),"0.00"),"—")</f>
        <v>S$9.50</v>
      </c>
      <c r="G54" s="120" t="s">
        <v>875</v>
      </c>
      <c r="H54" s="120" t="s">
        <v>1577</v>
      </c>
      <c r="I54" s="120" t="s">
        <v>1578</v>
      </c>
      <c r="J54" s="120" t="s">
        <v>1452</v>
      </c>
      <c r="K54" s="120" t="s">
        <v>1579</v>
      </c>
    </row>
    <row r="55" customFormat="false" ht="13.5" hidden="false" customHeight="true" outlineLevel="0" collapsed="false">
      <c r="B55" s="119" t="s">
        <v>876</v>
      </c>
      <c r="C55" s="120" t="s">
        <v>52</v>
      </c>
      <c r="D55" s="120" t="n">
        <f aca="false">COUNTIF('Coffee Audit'!C2:C2000,B55)</f>
        <v>2</v>
      </c>
      <c r="E55" s="120" t="n">
        <f aca="false">SUMPRODUCT(('Coffee Audit'!C2:C2000=B55)*('Coffee Audit'!W2:W2000="⭐ GESHA"))</f>
        <v>1</v>
      </c>
      <c r="F55" s="120" t="str">
        <f aca="false">IFERROR("S$"&amp;TEXT(AVERAGEIFS('Coffee Audit'!Q2:Q2000,'Coffee Audit'!C2:C2000,B55,'Coffee Audit'!Q2:Q2000,"&gt;0"),"0.00"),"—")</f>
        <v>S$10.75</v>
      </c>
      <c r="G55" s="120" t="s">
        <v>886</v>
      </c>
      <c r="H55" s="120" t="s">
        <v>1580</v>
      </c>
      <c r="I55" s="120" t="s">
        <v>1581</v>
      </c>
      <c r="J55" s="120" t="s">
        <v>1452</v>
      </c>
      <c r="K55" s="120" t="s">
        <v>1582</v>
      </c>
    </row>
    <row r="56" customFormat="false" ht="13.5" hidden="false" customHeight="true" outlineLevel="0" collapsed="false">
      <c r="B56" s="123" t="s">
        <v>896</v>
      </c>
      <c r="C56" s="113" t="s">
        <v>227</v>
      </c>
      <c r="D56" s="113" t="n">
        <f aca="false">COUNTIF('Coffee Audit'!C2:C2000,B56)</f>
        <v>4</v>
      </c>
      <c r="E56" s="113" t="n">
        <f aca="false">SUMPRODUCT(('Coffee Audit'!C2:C2000=B56)*('Coffee Audit'!W2:W2000="⭐ GESHA"))</f>
        <v>2</v>
      </c>
      <c r="F56" s="113" t="str">
        <f aca="false">IFERROR("S$"&amp;TEXT(AVERAGEIFS('Coffee Audit'!Q2:Q2000,'Coffee Audit'!C2:C2000,B56,'Coffee Audit'!Q2:Q2000,"&gt;0"),"0.00"),"—")</f>
        <v>S$11.46</v>
      </c>
      <c r="G56" s="113" t="s">
        <v>1018</v>
      </c>
      <c r="H56" s="113" t="s">
        <v>1583</v>
      </c>
      <c r="I56" s="113" t="s">
        <v>1258</v>
      </c>
      <c r="J56" s="113" t="s">
        <v>1474</v>
      </c>
      <c r="K56" s="113" t="s">
        <v>1584</v>
      </c>
    </row>
    <row r="57" customFormat="false" ht="13.5" hidden="false" customHeight="true" outlineLevel="0" collapsed="false">
      <c r="B57" s="123" t="s">
        <v>919</v>
      </c>
      <c r="C57" s="113" t="s">
        <v>227</v>
      </c>
      <c r="D57" s="113" t="n">
        <f aca="false">COUNTIF('Coffee Audit'!C2:C2000,B57)</f>
        <v>1</v>
      </c>
      <c r="E57" s="113" t="n">
        <f aca="false">SUMPRODUCT(('Coffee Audit'!C2:C2000=B57)*('Coffee Audit'!W2:W2000="⭐ GESHA"))</f>
        <v>1</v>
      </c>
      <c r="F57" s="113" t="str">
        <f aca="false">IFERROR("S$"&amp;TEXT(AVERAGEIFS('Coffee Audit'!Q2:Q2000,'Coffee Audit'!C2:C2000,B57,'Coffee Audit'!Q2:Q2000,"&gt;0"),"0.00"),"—")</f>
        <v>S$11.75</v>
      </c>
      <c r="G57" s="113" t="s">
        <v>1585</v>
      </c>
      <c r="H57" s="113" t="s">
        <v>1586</v>
      </c>
      <c r="I57" s="113" t="s">
        <v>1258</v>
      </c>
      <c r="J57" s="113" t="s">
        <v>1474</v>
      </c>
      <c r="K57" s="113" t="s">
        <v>1587</v>
      </c>
    </row>
    <row r="58" customFormat="false" ht="13.5" hidden="false" customHeight="true" outlineLevel="0" collapsed="false">
      <c r="B58" s="123" t="s">
        <v>983</v>
      </c>
      <c r="C58" s="113" t="s">
        <v>52</v>
      </c>
      <c r="D58" s="113" t="n">
        <f aca="false">COUNTIF('Coffee Audit'!C2:C2000,B58)</f>
        <v>1</v>
      </c>
      <c r="E58" s="113" t="n">
        <f aca="false">SUMPRODUCT(('Coffee Audit'!C2:C2000=B58)*('Coffee Audit'!W2:W2000="⭐ GESHA"))</f>
        <v>1</v>
      </c>
      <c r="F58" s="113" t="str">
        <f aca="false">IFERROR("S$"&amp;TEXT(AVERAGEIFS('Coffee Audit'!Q2:Q2000,'Coffee Audit'!C2:C2000,B58,'Coffee Audit'!Q2:Q2000,"&gt;0"),"0.00"),"—")</f>
        <v>S$18.00</v>
      </c>
      <c r="G58" s="113" t="s">
        <v>993</v>
      </c>
      <c r="H58" s="113" t="s">
        <v>1258</v>
      </c>
    </row>
    <row r="59" customFormat="false" ht="13.5" hidden="false" customHeight="true" outlineLevel="0" collapsed="false">
      <c r="B59" s="123" t="s">
        <v>1024</v>
      </c>
      <c r="C59" s="113" t="s">
        <v>227</v>
      </c>
      <c r="D59" s="113" t="n">
        <f aca="false">COUNTIF('Coffee Audit'!C2:C2000,B59)</f>
        <v>1</v>
      </c>
      <c r="E59" s="113" t="n">
        <f aca="false">SUMPRODUCT(('Coffee Audit'!C2:C2000=B59)*('Coffee Audit'!W2:W2000="⭐ GESHA"))</f>
        <v>1</v>
      </c>
      <c r="F59" s="113" t="str">
        <f aca="false">IFERROR("S$"&amp;TEXT(AVERAGEIFS('Coffee Audit'!Q2:Q2000,'Coffee Audit'!C2:C2000,B59,'Coffee Audit'!Q2:Q2000,"&gt;0"),"0.00"),"—")</f>
        <v>S$12.18</v>
      </c>
      <c r="G59" s="113" t="s">
        <v>1038</v>
      </c>
      <c r="H59" s="113" t="s">
        <v>1588</v>
      </c>
      <c r="I59" s="1" t="s">
        <v>1258</v>
      </c>
      <c r="J59" s="1" t="s">
        <v>1474</v>
      </c>
      <c r="K59" s="1" t="s">
        <v>1589</v>
      </c>
    </row>
    <row r="60" customFormat="false" ht="39.75" hidden="false" customHeight="true" outlineLevel="0" collapsed="false">
      <c r="B60" s="101" t="s">
        <v>1590</v>
      </c>
    </row>
    <row r="61" customFormat="false" ht="39.75" hidden="false" customHeight="true" outlineLevel="0" collapsed="false">
      <c r="B61" s="83" t="s">
        <v>1591</v>
      </c>
      <c r="C61" s="83" t="s">
        <v>1592</v>
      </c>
      <c r="D61" s="83" t="s">
        <v>1593</v>
      </c>
    </row>
    <row r="62" customFormat="false" ht="39.75" hidden="false" customHeight="true" outlineLevel="0" collapsed="false">
      <c r="B62" s="102" t="s">
        <v>1474</v>
      </c>
      <c r="C62" s="103" t="s">
        <v>1594</v>
      </c>
      <c r="D62" s="103" t="s">
        <v>1595</v>
      </c>
    </row>
    <row r="63" customFormat="false" ht="39.75" hidden="false" customHeight="true" outlineLevel="0" collapsed="false">
      <c r="B63" s="88" t="s">
        <v>1452</v>
      </c>
      <c r="C63" s="89" t="s">
        <v>1596</v>
      </c>
      <c r="D63" s="89" t="s">
        <v>1597</v>
      </c>
    </row>
    <row r="64" customFormat="false" ht="39.75" hidden="false" customHeight="true" outlineLevel="0" collapsed="false">
      <c r="B64" s="94" t="s">
        <v>1548</v>
      </c>
      <c r="C64" s="95" t="s">
        <v>1598</v>
      </c>
      <c r="D64" s="95" t="s">
        <v>1599</v>
      </c>
    </row>
    <row r="65" customFormat="false" ht="39.75" hidden="false" customHeight="true" outlineLevel="0" collapsed="false">
      <c r="B65" s="107" t="s">
        <v>1541</v>
      </c>
      <c r="C65" s="108" t="s">
        <v>1600</v>
      </c>
      <c r="D65" s="108" t="s">
        <v>1601</v>
      </c>
    </row>
  </sheetData>
  <mergeCells count="4">
    <mergeCell ref="B1:L1"/>
    <mergeCell ref="B2:L2"/>
    <mergeCell ref="B4:L4"/>
    <mergeCell ref="B11:L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9" t="s">
        <v>1602</v>
      </c>
      <c r="C1" s="79"/>
      <c r="D1" s="79"/>
      <c r="E1" s="79"/>
      <c r="F1" s="79"/>
      <c r="G1" s="79"/>
      <c r="H1" s="79"/>
      <c r="I1" s="79"/>
      <c r="J1" s="79"/>
    </row>
    <row r="2" customFormat="false" ht="13.5" hidden="false" customHeight="true" outlineLevel="0" collapsed="false">
      <c r="B2" s="114" t="s">
        <v>1603</v>
      </c>
      <c r="C2" s="114"/>
      <c r="D2" s="114"/>
      <c r="E2" s="114"/>
      <c r="F2" s="114"/>
      <c r="G2" s="114"/>
      <c r="H2" s="114"/>
      <c r="I2" s="114"/>
      <c r="J2" s="114"/>
    </row>
    <row r="3" customFormat="false" ht="6" hidden="false" customHeight="true" outlineLevel="0" collapsed="false"/>
    <row r="4" customFormat="false" ht="15.75" hidden="false" customHeight="true" outlineLevel="0" collapsed="false">
      <c r="B4" s="81" t="s">
        <v>1604</v>
      </c>
      <c r="C4" s="81"/>
      <c r="D4" s="81"/>
      <c r="E4" s="81"/>
      <c r="F4" s="81"/>
      <c r="G4" s="81"/>
      <c r="H4" s="81"/>
      <c r="I4" s="81"/>
      <c r="J4" s="81"/>
    </row>
    <row r="5" customFormat="false" ht="15.75" hidden="false" customHeight="true" outlineLevel="0" collapsed="false">
      <c r="B5" s="83" t="s">
        <v>1605</v>
      </c>
      <c r="C5" s="83" t="s">
        <v>1592</v>
      </c>
    </row>
    <row r="6" customFormat="false" ht="12.75" hidden="false" customHeight="true" outlineLevel="0" collapsed="false">
      <c r="B6" s="124"/>
      <c r="C6" s="125" t="s">
        <v>1606</v>
      </c>
    </row>
    <row r="7" customFormat="false" ht="12.75" hidden="false" customHeight="true" outlineLevel="0" collapsed="false">
      <c r="B7" s="126"/>
      <c r="C7" s="125" t="s">
        <v>1607</v>
      </c>
    </row>
    <row r="8" customFormat="false" ht="12.75" hidden="false" customHeight="true" outlineLevel="0" collapsed="false">
      <c r="B8" s="127"/>
      <c r="C8" s="125" t="s">
        <v>1608</v>
      </c>
    </row>
    <row r="9" customFormat="false" ht="12.75" hidden="false" customHeight="true" outlineLevel="0" collapsed="false">
      <c r="B9" s="128"/>
      <c r="C9" s="125" t="s">
        <v>1609</v>
      </c>
    </row>
    <row r="10" customFormat="false" ht="7.5" hidden="false" customHeight="true" outlineLevel="0" collapsed="false"/>
    <row r="11" customFormat="false" ht="15.75" hidden="false" customHeight="true" outlineLevel="0" collapsed="false">
      <c r="B11" s="81" t="s">
        <v>1610</v>
      </c>
      <c r="C11" s="81"/>
      <c r="D11" s="81"/>
      <c r="E11" s="81"/>
      <c r="F11" s="81"/>
      <c r="G11" s="81"/>
      <c r="H11" s="81"/>
      <c r="I11" s="81"/>
      <c r="J11" s="81"/>
    </row>
    <row r="12" customFormat="false" ht="19.5" hidden="false" customHeight="true" outlineLevel="0" collapsed="false">
      <c r="B12" s="110" t="s">
        <v>1611</v>
      </c>
      <c r="C12" s="110"/>
      <c r="D12" s="110"/>
      <c r="E12" s="110"/>
      <c r="F12" s="110"/>
      <c r="G12" s="110"/>
      <c r="H12" s="110"/>
      <c r="I12" s="110"/>
    </row>
    <row r="13" customFormat="false" ht="19.5" hidden="false" customHeight="true" outlineLevel="0" collapsed="false">
      <c r="B13" s="111" t="s">
        <v>1612</v>
      </c>
      <c r="C13" s="111"/>
      <c r="D13" s="111"/>
      <c r="E13" s="111"/>
      <c r="F13" s="111"/>
      <c r="G13" s="111"/>
      <c r="H13" s="111"/>
      <c r="I13" s="111"/>
    </row>
    <row r="14" customFormat="false" ht="19.5" hidden="false" customHeight="true" outlineLevel="0" collapsed="false">
      <c r="B14" s="110" t="s">
        <v>1613</v>
      </c>
      <c r="C14" s="110"/>
      <c r="D14" s="110"/>
      <c r="E14" s="110"/>
      <c r="F14" s="110"/>
      <c r="G14" s="110"/>
      <c r="H14" s="110"/>
      <c r="I14" s="110"/>
    </row>
    <row r="15" customFormat="false" ht="19.5" hidden="false" customHeight="true" outlineLevel="0" collapsed="false">
      <c r="B15" s="111" t="s">
        <v>1614</v>
      </c>
      <c r="C15" s="111"/>
      <c r="D15" s="111"/>
      <c r="E15" s="111"/>
      <c r="F15" s="111"/>
      <c r="G15" s="111"/>
      <c r="H15" s="111"/>
      <c r="I15" s="111"/>
    </row>
    <row r="16" customFormat="false" ht="19.5" hidden="false" customHeight="true" outlineLevel="0" collapsed="false">
      <c r="B16" s="110" t="s">
        <v>1615</v>
      </c>
      <c r="C16" s="110"/>
      <c r="D16" s="110"/>
      <c r="E16" s="110"/>
      <c r="F16" s="110"/>
      <c r="G16" s="110"/>
      <c r="H16" s="110"/>
      <c r="I16" s="110"/>
    </row>
    <row r="17" customFormat="false" ht="19.5" hidden="false" customHeight="true" outlineLevel="0" collapsed="false">
      <c r="B17" s="111" t="s">
        <v>1616</v>
      </c>
      <c r="C17" s="111"/>
      <c r="D17" s="111"/>
      <c r="E17" s="111"/>
      <c r="F17" s="111"/>
      <c r="G17" s="111"/>
      <c r="H17" s="111"/>
      <c r="I17" s="111"/>
    </row>
    <row r="18" customFormat="false" ht="19.5" hidden="false" customHeight="true" outlineLevel="0" collapsed="false">
      <c r="B18" s="110" t="s">
        <v>1617</v>
      </c>
      <c r="C18" s="110"/>
      <c r="D18" s="110"/>
      <c r="E18" s="110"/>
      <c r="F18" s="110"/>
      <c r="G18" s="110"/>
      <c r="H18" s="110"/>
      <c r="I18" s="110"/>
    </row>
    <row r="19" customFormat="false" ht="7.5" hidden="false" customHeight="true" outlineLevel="0" collapsed="false"/>
    <row r="20" customFormat="false" ht="15.75" hidden="false" customHeight="true" outlineLevel="0" collapsed="false">
      <c r="B20" s="81" t="s">
        <v>1618</v>
      </c>
      <c r="C20" s="81"/>
      <c r="D20" s="81"/>
      <c r="E20" s="81"/>
      <c r="F20" s="81"/>
      <c r="G20" s="81"/>
      <c r="H20" s="81"/>
      <c r="I20" s="81"/>
      <c r="J20" s="81"/>
    </row>
    <row r="21" customFormat="false" ht="18" hidden="false" customHeight="true" outlineLevel="0" collapsed="false">
      <c r="B21" s="129" t="s">
        <v>1619</v>
      </c>
      <c r="C21" s="129"/>
      <c r="D21" s="129"/>
      <c r="E21" s="129"/>
      <c r="F21" s="129"/>
      <c r="G21" s="129"/>
      <c r="H21" s="129"/>
      <c r="I21" s="129"/>
    </row>
    <row r="22" customFormat="false" ht="18" hidden="false" customHeight="true" outlineLevel="0" collapsed="false">
      <c r="B22" s="130" t="s">
        <v>1620</v>
      </c>
      <c r="C22" s="130"/>
      <c r="D22" s="130"/>
      <c r="E22" s="130"/>
      <c r="F22" s="130"/>
      <c r="G22" s="130"/>
      <c r="H22" s="130"/>
      <c r="I22" s="130"/>
    </row>
    <row r="23" customFormat="false" ht="18" hidden="false" customHeight="true" outlineLevel="0" collapsed="false">
      <c r="B23" s="129" t="s">
        <v>1621</v>
      </c>
      <c r="C23" s="129"/>
      <c r="D23" s="129"/>
      <c r="E23" s="129"/>
      <c r="F23" s="129"/>
      <c r="G23" s="129"/>
      <c r="H23" s="129"/>
      <c r="I23" s="129"/>
    </row>
    <row r="24" customFormat="false" ht="18" hidden="false" customHeight="true" outlineLevel="0" collapsed="false">
      <c r="B24" s="130" t="s">
        <v>1622</v>
      </c>
      <c r="C24" s="130"/>
      <c r="D24" s="130"/>
      <c r="E24" s="130"/>
      <c r="F24" s="130"/>
      <c r="G24" s="130"/>
      <c r="H24" s="130"/>
      <c r="I24" s="130"/>
    </row>
    <row r="25" customFormat="false" ht="18" hidden="false" customHeight="true" outlineLevel="0" collapsed="false">
      <c r="B25" s="129" t="s">
        <v>1623</v>
      </c>
      <c r="C25" s="129"/>
      <c r="D25" s="129"/>
      <c r="E25" s="129"/>
      <c r="F25" s="129"/>
      <c r="G25" s="129"/>
      <c r="H25" s="129"/>
      <c r="I25" s="129"/>
    </row>
    <row r="26" customFormat="false" ht="18" hidden="false" customHeight="true" outlineLevel="0" collapsed="false">
      <c r="B26" s="130" t="s">
        <v>1624</v>
      </c>
      <c r="C26" s="130"/>
      <c r="D26" s="130"/>
      <c r="E26" s="130"/>
      <c r="F26" s="130"/>
      <c r="G26" s="130"/>
      <c r="H26" s="130"/>
      <c r="I26" s="130"/>
    </row>
    <row r="27" customFormat="false" ht="18" hidden="false" customHeight="true" outlineLevel="0" collapsed="false">
      <c r="B27" s="129" t="s">
        <v>1625</v>
      </c>
      <c r="C27" s="129"/>
      <c r="D27" s="129"/>
      <c r="E27" s="129"/>
      <c r="F27" s="129"/>
      <c r="G27" s="129"/>
      <c r="H27" s="129"/>
      <c r="I27" s="129"/>
    </row>
    <row r="28" customFormat="false" ht="18" hidden="false" customHeight="true" outlineLevel="0" collapsed="false">
      <c r="B28" s="130" t="s">
        <v>1626</v>
      </c>
      <c r="C28" s="130"/>
      <c r="D28" s="130"/>
      <c r="E28" s="130"/>
      <c r="F28" s="130"/>
      <c r="G28" s="130"/>
      <c r="H28" s="130"/>
      <c r="I28" s="130"/>
    </row>
    <row r="29" customFormat="false" ht="18" hidden="false" customHeight="true" outlineLevel="0" collapsed="false">
      <c r="B29" s="129" t="s">
        <v>1627</v>
      </c>
      <c r="C29" s="129"/>
      <c r="D29" s="129"/>
      <c r="E29" s="129"/>
      <c r="F29" s="129"/>
      <c r="G29" s="129"/>
      <c r="H29" s="129"/>
      <c r="I29" s="129"/>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31" t="s">
        <v>1628</v>
      </c>
    </row>
    <row r="3" customFormat="false" ht="15" hidden="false" customHeight="true" outlineLevel="0" collapsed="false">
      <c r="A3" s="131" t="s">
        <v>1629</v>
      </c>
      <c r="B3" s="132" t="n">
        <f aca="false">COUNTA('Coffee Audit'!A2:A2000)</f>
        <v>96</v>
      </c>
    </row>
    <row r="4" customFormat="false" ht="15" hidden="false" customHeight="true" outlineLevel="0" collapsed="false">
      <c r="A4" s="131" t="s">
        <v>1630</v>
      </c>
      <c r="B4" s="132" t="n">
        <v>15</v>
      </c>
    </row>
    <row r="5" customFormat="false" ht="15" hidden="false" customHeight="true" outlineLevel="0" collapsed="false">
      <c r="A5" s="131" t="s">
        <v>1631</v>
      </c>
      <c r="B5" s="132" t="n">
        <v>8</v>
      </c>
    </row>
    <row r="6" customFormat="false" ht="15" hidden="false" customHeight="true" outlineLevel="0" collapsed="false">
      <c r="A6" s="131" t="s">
        <v>1632</v>
      </c>
      <c r="B6" s="132" t="n">
        <v>5</v>
      </c>
    </row>
    <row r="7" customFormat="false" ht="15" hidden="false" customHeight="true" outlineLevel="0" collapsed="false">
      <c r="A7" s="131" t="s">
        <v>1633</v>
      </c>
      <c r="B7" s="132" t="n">
        <f aca="false">SUMPRODUCT(('Coffee Audit'!B2:B2000&lt;&gt;"")/COUNTIF('Coffee Audit'!B2:B2000,'Coffee Audit'!B2:B2000&amp;""))</f>
        <v>4</v>
      </c>
    </row>
    <row r="8" customFormat="false" ht="15" hidden="false" customHeight="true" outlineLevel="0" collapsed="false">
      <c r="A8" s="131" t="s">
        <v>1634</v>
      </c>
      <c r="B8" s="132" t="n">
        <f aca="false">SUMPRODUCT(('Coffee Audit'!C2:C2000&lt;&gt;"")/COUNTIF('Coffee Audit'!C2:C2000,'Coffee Audit'!C2:C2000&amp;""))</f>
        <v>46</v>
      </c>
    </row>
    <row r="9" customFormat="false" ht="15" hidden="false" customHeight="true" outlineLevel="0" collapsed="false">
      <c r="A9" s="131" t="s">
        <v>1635</v>
      </c>
      <c r="B9" s="132" t="str">
        <f aca="false">TEXT(MIN('Coffee Audit'!A2:A2000),"YYYY-MM-DD")&amp;"  →  "&amp;TEXT(MAX('Coffee Audit'!A2:A2000),"YYYY-MM-DD")</f>
        <v>2026-01-03  →  2026-09-02</v>
      </c>
    </row>
    <row r="11" customFormat="false" ht="16.5" hidden="false" customHeight="true" outlineLevel="0" collapsed="false">
      <c r="B11" s="133" t="s">
        <v>1636</v>
      </c>
      <c r="C11" s="133"/>
      <c r="D11" s="133"/>
      <c r="E11" s="133"/>
      <c r="F11" s="133"/>
    </row>
    <row r="12" customFormat="false" ht="15" hidden="false" customHeight="true" outlineLevel="0" collapsed="false">
      <c r="B12" s="32" t="s">
        <v>1637</v>
      </c>
      <c r="C12" s="32" t="s">
        <v>1638</v>
      </c>
      <c r="D12" s="32" t="s">
        <v>1229</v>
      </c>
      <c r="E12" s="32" t="s">
        <v>1639</v>
      </c>
    </row>
    <row r="13" customFormat="false" ht="12.75" hidden="false" customHeight="true" outlineLevel="0" collapsed="false">
      <c r="B13" s="63" t="s">
        <v>1640</v>
      </c>
      <c r="C13" s="51" t="n">
        <f aca="false">COUNTA('Coffee Audit'!A2:A2000)</f>
        <v>96</v>
      </c>
      <c r="D13" s="49" t="str">
        <f aca="false">IF(COUNTA('Coffee Audit'!A2:A2000)&gt;0,"✅ OK","🚨 EMPTY")</f>
        <v>✅ OK</v>
      </c>
      <c r="E13" s="100" t="s">
        <v>1641</v>
      </c>
    </row>
    <row r="14" customFormat="false" ht="12.75" hidden="false" customHeight="true" outlineLevel="0" collapsed="false">
      <c r="B14" s="66" t="s">
        <v>1642</v>
      </c>
      <c r="C14" s="46" t="n">
        <f aca="false">SUMPRODUCT((('Coffee Audit'!W2:W2000="⭐ GESHA")&lt;&gt;(ISNUMBER(SEARCH("gesha",'Coffee Audit'!G2:G2000&amp;""))+ISNUMBER(SEARCH("geisha",'Coffee Audit'!G2:G2000&amp;""))&gt;0))*('Coffee Audit'!A2:A2000&lt;&gt;""))</f>
        <v>0</v>
      </c>
      <c r="D14" s="44" t="str">
        <f aca="false">IF(SUMPRODUCT((('Coffee Audit'!W2:W2000="⭐ GESHA")&lt;&gt;(ISNUMBER(SEARCH("gesha",'Coffee Audit'!G2:G2000&amp;""))+ISNUMBER(SEARCH("geisha",'Coffee Audit'!G2:G2000&amp;""))&gt;0))*('Coffee Audit'!A2:A2000&lt;&gt;""))=0,"✅ OK","🚨 MISMATCH")</f>
        <v>✅ OK</v>
      </c>
      <c r="E14" s="134" t="s">
        <v>1643</v>
      </c>
    </row>
    <row r="15" customFormat="false" ht="12.75" hidden="false" customHeight="true" outlineLevel="0" collapsed="false">
      <c r="B15" s="63" t="s">
        <v>1644</v>
      </c>
      <c r="C15" s="51" t="n">
        <f aca="false">SUMPRODUCT(--('Coffee Audit'!A2:A2000=""))-COUNTBLANK('Coffee Audit'!A2:A2000)+COUNTBLANK('Coffee Audit'!A2:A2000)-(2000-1-COUNTA('Coffee Audit'!A2:A2000))</f>
        <v>0</v>
      </c>
      <c r="D15" s="49" t="str">
        <f aca="false">IF(COUNT('Coffee Audit'!A2:A2000)=COUNTA('Coffee Audit'!A2:A2000),"✅ OK","⚠️ CHECK")</f>
        <v>✅ OK</v>
      </c>
      <c r="E15" s="100" t="s">
        <v>1645</v>
      </c>
    </row>
    <row r="16" customFormat="false" ht="12.75" hidden="false" customHeight="true" outlineLevel="0" collapsed="false">
      <c r="B16" s="66" t="s">
        <v>1646</v>
      </c>
      <c r="C16" s="46" t="n">
        <f aca="false">SUMPRODUCT(('Coffee Audit'!A2:A2000&lt;&gt;"")*('Coffee Audit'!C2:C2000=""))</f>
        <v>0</v>
      </c>
      <c r="D16" s="44" t="str">
        <f aca="false">IF(SUMPRODUCT(('Coffee Audit'!A2:A2000&lt;&gt;"")*('Coffee Audit'!C2:C2000=""))=0,"✅ OK","🚨 BLANK")</f>
        <v>✅ OK</v>
      </c>
      <c r="E16" s="134" t="s">
        <v>1647</v>
      </c>
    </row>
    <row r="17" customFormat="false" ht="12.75" hidden="false" customHeight="true" outlineLevel="0" collapsed="false">
      <c r="B17" s="63" t="s">
        <v>1648</v>
      </c>
      <c r="C17" s="51" t="n">
        <f aca="false">SUMPRODUCT(('Coffee Audit'!A2:A2000&lt;&gt;"")*('Coffee Audit'!Q2:Q2000&lt;0))</f>
        <v>0</v>
      </c>
      <c r="D17" s="49" t="str">
        <f aca="false">IF(SUMPRODUCT(('Coffee Audit'!A2:A2000&lt;&gt;"")*('Coffee Audit'!Q2:Q2000&lt;0))=0,"✅ OK","🚨 NEGATIVE")</f>
        <v>✅ OK</v>
      </c>
      <c r="E17" s="100" t="s">
        <v>1649</v>
      </c>
    </row>
    <row r="18" customFormat="false" ht="12.75" hidden="false" customHeight="true" outlineLevel="0" collapsed="false">
      <c r="B18" s="66" t="s">
        <v>1650</v>
      </c>
      <c r="C18" s="46" t="n">
        <f aca="false">SUM('🏙️ Café Directory'!D13:D59)</f>
        <v>96</v>
      </c>
      <c r="D18" s="44" t="str">
        <f aca="false">IF(SUM('🏙️ Café Directory'!D13:D59)=COUNTA('Coffee Audit'!A2:A2000),"✅ BALANCED","⚠️ DRIFT")</f>
        <v>✅ BALANCED</v>
      </c>
      <c r="E18" s="134" t="s">
        <v>1651</v>
      </c>
    </row>
    <row r="19" customFormat="false" ht="12.75" hidden="false" customHeight="true" outlineLevel="0" collapsed="false">
      <c r="B19" s="63" t="s">
        <v>1652</v>
      </c>
      <c r="C19" s="135" t="n">
        <f aca="false">MAX('Coffee Audit'!A2:A2000)</f>
        <v>46267</v>
      </c>
      <c r="D19" s="49" t="str">
        <f aca="false">IF(MAX('Coffee Audit'!A2:A2000)&gt;=DATE(2026,7,29),"✅ CURRENT","⚠️ STALE")</f>
        <v>✅ CURRENT</v>
      </c>
      <c r="E19" s="100" t="s">
        <v>1653</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2026-09-02T23:11:45Z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