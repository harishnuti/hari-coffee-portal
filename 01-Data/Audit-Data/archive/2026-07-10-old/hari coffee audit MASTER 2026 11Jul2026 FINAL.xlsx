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ffee Audit" sheetId="1" state="visible" r:id="rId3"/>
    <sheet name="☕ Dashboard" sheetId="2" state="visible" r:id="rId4"/>
    <sheet name="🧬 Palate DNA" sheetId="3" state="visible" r:id="rId5"/>
    <sheet name="🌍 Origin &amp; Terroir" sheetId="4" state="visible" r:id="rId6"/>
    <sheet name="⚙️ Hardware" sheetId="5" state="visible" r:id="rId7"/>
    <sheet name="🏙️ Café Directory" sheetId="6" state="visible" r:id="rId8"/>
    <sheet name="📖 Legend" sheetId="7" state="visible" r:id="rId9"/>
    <sheet name="Stats" sheetId="8" state="visible" r:id="rId10"/>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0" authorId="0">
      <text>
        <r>
          <rPr>
            <sz val="10"/>
            <rFont val="Arial"/>
            <family val="2"/>
          </rPr>
          <t xml:space="preserve">Corrected: user confirms only ever visited the OFC outlet. 'Raffles Place' was a mislabel. Now matches row 32/34 (same venue). 11Jul2026 audit.</t>
        </r>
      </text>
    </comment>
    <comment ref="C41" authorId="0">
      <text>
        <r>
          <rPr>
            <sz val="10"/>
            <rFont val="Arial"/>
            <family val="2"/>
          </rPr>
          <t xml:space="preserve">Capitalization standardized to Google's canonical listing. 11Jul2026 audit.</t>
        </r>
      </text>
    </comment>
    <comment ref="C44" authorId="0">
      <text>
        <r>
          <rPr>
            <sz val="10"/>
            <rFont val="Arial"/>
            <family val="2"/>
          </rPr>
          <t xml:space="preserve">Renamed per user instruction to distinguish from Apartment (Selegie Rd). 11Jul2026 audit.</t>
        </r>
      </text>
    </comment>
    <comment ref="C46" authorId="0">
      <text>
        <r>
          <rPr>
            <sz val="10"/>
            <rFont val="Arial"/>
            <family val="2"/>
          </rPr>
          <t xml:space="preserve">Renamed per user instruction to distinguish from Apartment (Selegie Rd). 11Jul2026 audit.</t>
        </r>
      </text>
    </comment>
    <comment ref="C47" authorId="0">
      <text>
        <r>
          <rPr>
            <sz val="10"/>
            <rFont val="Arial"/>
            <family val="2"/>
          </rPr>
          <t xml:space="preserve">Capitalization standardized to Google's canonical listing. 11Jul2026 audit.</t>
        </r>
      </text>
    </comment>
  </commentList>
</comments>
</file>

<file path=xl/sharedStrings.xml><?xml version="1.0" encoding="utf-8"?>
<sst xmlns="http://schemas.openxmlformats.org/spreadsheetml/2006/main" count="2243" uniqueCount="1252">
  <si>
    <t xml:space="preserve">Date</t>
  </si>
  <si>
    <t xml:space="preserve">City</t>
  </si>
  <si>
    <t xml:space="preserve">Cafe_Name</t>
  </si>
  <si>
    <t xml:space="preserve">Coffee_Name</t>
  </si>
  <si>
    <t xml:space="preserve">Producer_Farm</t>
  </si>
  <si>
    <t xml:space="preserve">Origin</t>
  </si>
  <si>
    <t xml:space="preserve">Varietal</t>
  </si>
  <si>
    <t xml:space="preserve">Process</t>
  </si>
  <si>
    <t xml:space="preserve">Roast_Level</t>
  </si>
  <si>
    <t xml:space="preserve">Brew_Method</t>
  </si>
  <si>
    <t xml:space="preserve">Dose_g</t>
  </si>
  <si>
    <t xml:space="preserve">Yield_g</t>
  </si>
  <si>
    <t xml:space="preserve">Ratio</t>
  </si>
  <si>
    <t xml:space="preserve">Water_Temp_C</t>
  </si>
  <si>
    <t xml:space="preserve">Bloom</t>
  </si>
  <si>
    <t xml:space="preserve">Grinder</t>
  </si>
  <si>
    <t xml:space="preserve">Price_SGD</t>
  </si>
  <si>
    <t xml:space="preserve">Official_Notes</t>
  </si>
  <si>
    <t xml:space="preserve">Your_Verdict</t>
  </si>
  <si>
    <t xml:space="preserve">Technical_Enrichment</t>
  </si>
  <si>
    <t xml:space="preserve">Visit_Context</t>
  </si>
  <si>
    <t xml:space="preserve">Source</t>
  </si>
  <si>
    <t xml:space="preserve">Gesha_Alert</t>
  </si>
  <si>
    <t xml:space="preserve">Address</t>
  </si>
  <si>
    <t xml:space="preserve">Ubud, Bali</t>
  </si>
  <si>
    <t xml:space="preserve">Seniman Coffee Studio</t>
  </si>
  <si>
    <t xml:space="preserve">Bali Karana Kintamanis</t>
  </si>
  <si>
    <t xml:space="preserve">Unknown</t>
  </si>
  <si>
    <t xml:space="preserve">Kintamani, Bali</t>
  </si>
  <si>
    <t xml:space="preserve">Natural</t>
  </si>
  <si>
    <t xml:space="preserve">Light</t>
  </si>
  <si>
    <t xml:space="preserve">Filter</t>
  </si>
  <si>
    <t xml:space="preserve">Clean citrus; floral</t>
  </si>
  <si>
    <t xml:space="preserve">Excellent clarity for a natural process; clean citrus and floral notes.</t>
  </si>
  <si>
    <t xml:space="preserve">Natural processing contributed mild fruit-forward esters with relatively clean finish; foundational exposure to local Indonesian origins.</t>
  </si>
  <si>
    <t xml:space="preserve">Bali family trip</t>
  </si>
  <si>
    <t xml:space="preserve">Merged (Gemini + ChatGPT)</t>
  </si>
  <si>
    <t xml:space="preserve">Jl. Sri Wedari No.5, Ubud, Gianyar, Bali 80571, Indonesia</t>
  </si>
  <si>
    <t xml:space="preserve">Sulawesi Toraja</t>
  </si>
  <si>
    <t xml:space="preserve">Sulawesi, Indonesia</t>
  </si>
  <si>
    <t xml:space="preserve">Wet-Hulled</t>
  </si>
  <si>
    <t xml:space="preserve">Medium</t>
  </si>
  <si>
    <t xml:space="preserve">Pour-over</t>
  </si>
  <si>
    <t xml:space="preserve">Cocoa; earthy structures</t>
  </si>
  <si>
    <t xml:space="preserve">Heavy body with rich cocoa and earthy notes; low acidity; dense mouthfeel.</t>
  </si>
  <si>
    <t xml:space="preserve">Classic Giling Basah wet-hulled process emphasized earthy compounds and syrupy mouthfeel; structural density confirmed.</t>
  </si>
  <si>
    <t xml:space="preserve">House Blend</t>
  </si>
  <si>
    <t xml:space="preserve">Espresso Roast</t>
  </si>
  <si>
    <t xml:space="preserve">Piccolo</t>
  </si>
  <si>
    <t xml:space="preserve">Balanced</t>
  </si>
  <si>
    <t xml:space="preserve">Great milk integration; standard espresso + milk calibration.</t>
  </si>
  <si>
    <t xml:space="preserve">Baseline milk pairing; milk fats softened acidity and amplified sweetness and body.</t>
  </si>
  <si>
    <t xml:space="preserve">Singapore</t>
  </si>
  <si>
    <t xml:space="preserve">Kyuukei Coffee</t>
  </si>
  <si>
    <t xml:space="preserve">Kenya Kiamugumo AA</t>
  </si>
  <si>
    <t xml:space="preserve">New Ngariama Farmer's Cooperative Society</t>
  </si>
  <si>
    <t xml:space="preserve">Kiamugumo, Murang'a County, Kenya</t>
  </si>
  <si>
    <t xml:space="preserve">SL28 / SL34</t>
  </si>
  <si>
    <t xml:space="preserve">Washed</t>
  </si>
  <si>
    <t xml:space="preserve">Pour-over (Flat-Bottom)</t>
  </si>
  <si>
    <t xml:space="preserve">1:16</t>
  </si>
  <si>
    <t xml:space="preserve">93</t>
  </si>
  <si>
    <t xml:space="preserve">120mm Hybrid Burr</t>
  </si>
  <si>
    <t xml:space="preserve">Blackcurrant, Lemon, Citrus Zest, Mineral Finish</t>
  </si>
  <si>
    <t xml:space="preserve">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</si>
  <si>
    <t xml:space="preserve">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</si>
  <si>
    <t xml:space="preserve">Solo visit — early archive period, first Kyūkei filter audit</t>
  </si>
  <si>
    <t xml:space="preserve">Direct observation + infographic + Google review (10 Feb 2026)</t>
  </si>
  <si>
    <t xml:space="preserve">121 Bukit Merah Lane 1, #01-06, Singapore 150121</t>
  </si>
  <si>
    <t xml:space="preserve">Mumbai</t>
  </si>
  <si>
    <t xml:space="preserve">Subko Coffee Roasters</t>
  </si>
  <si>
    <t xml:space="preserve">Project Pearl Ratnagiri</t>
  </si>
  <si>
    <t xml:space="preserve">Ratnagiri Estate</t>
  </si>
  <si>
    <t xml:space="preserve">India</t>
  </si>
  <si>
    <t xml:space="preserve">Anaerobic Natural</t>
  </si>
  <si>
    <t xml:space="preserve">Light (Agtron 89)</t>
  </si>
  <si>
    <t xml:space="preserve">Clean and balanced; interesting but restrained anaerobic expression.</t>
  </si>
  <si>
    <t xml:space="preserve">Very light roast (Agtron 89) suppressed ester development despite anaerobic process; muted expected fermented intensity.</t>
  </si>
  <si>
    <t xml:space="preserve">Mumbai café exploration</t>
  </si>
  <si>
    <t xml:space="preserve">Mary Lodge, 21A Chapel Rd, Ranwar, Bandra West, Mumbai 400050, India</t>
  </si>
  <si>
    <t xml:space="preserve">Grey Soul Coffee Roasters</t>
  </si>
  <si>
    <t xml:space="preserve">Raspberry in Loop - Zoya Estate</t>
  </si>
  <si>
    <t xml:space="preserve">Zoya Estate</t>
  </si>
  <si>
    <t xml:space="preserve">Multi-stage Anaerobic</t>
  </si>
  <si>
    <t xml:space="preserve">Chocolate</t>
  </si>
  <si>
    <t xml:space="preserve">Heavy body; over-smoothed expression muted brightness and terroir.</t>
  </si>
  <si>
    <t xml:space="preserve">Higher development in medium roast reduced aggressive fruit acidity; heavy multi-stage fermentation suppressed terroir expression.</t>
  </si>
  <si>
    <t xml:space="preserve">Dr Ambedkar Rd, Pali Village, Bandra West, Mumbai 400050, India</t>
  </si>
  <si>
    <t xml:space="preserve">Narrative Coffee Stand</t>
  </si>
  <si>
    <t xml:space="preserve">Finca La Siberia</t>
  </si>
  <si>
    <t xml:space="preserve">El Salvador</t>
  </si>
  <si>
    <t xml:space="preserve">Pacamara</t>
  </si>
  <si>
    <t xml:space="preserve">Stewed apples; Apricot; Pu'er tea — Aanya's first specialty filter experience.</t>
  </si>
  <si>
    <t xml:space="preserve">Natural Pacamara generated beginner-friendly fruit esters and approachable sweetness; large Pacamara bean size aided even extraction.</t>
  </si>
  <si>
    <t xml:space="preserve">Father-daughter coffee exploration</t>
  </si>
  <si>
    <t xml:space="preserve">ChatGPT only</t>
  </si>
  <si>
    <t xml:space="preserve">Blk 231 Bain St, #01-05, Singapore 180231</t>
  </si>
  <si>
    <t xml:space="preserve">El Puente</t>
  </si>
  <si>
    <t xml:space="preserve">Honduras</t>
  </si>
  <si>
    <t xml:space="preserve">Catuai</t>
  </si>
  <si>
    <t xml:space="preserve">Medium-Light</t>
  </si>
  <si>
    <t xml:space="preserve">Espresso</t>
  </si>
  <si>
    <t xml:space="preserve">Black cherry; Apricot; Pecan — ordered for espresso contrast.</t>
  </si>
  <si>
    <t xml:space="preserve">Washed Central American espresso balanced nutty sweetness and fruit acidity; Catuai's consistent cell structure aided uniform extraction.</t>
  </si>
  <si>
    <t xml:space="preserve">ASK Coffee Roastery</t>
  </si>
  <si>
    <t xml:space="preserve">Honduras Masaguara (S13)</t>
  </si>
  <si>
    <t xml:space="preserve">Catuai / Caturra</t>
  </si>
  <si>
    <t xml:space="preserve">Washed Co-Ferment</t>
  </si>
  <si>
    <t xml:space="preserve">Lychee; Brandy; Honeydew; Milk Chocolate</t>
  </si>
  <si>
    <t xml:space="preserve">Premium but memorable; highly complex tropical profile.</t>
  </si>
  <si>
    <t xml:space="preserve">Co-fermentation amplified tropical ester complexity; co-ferment substrates introduced lychee lactones and brandy-like ethyl esters.</t>
  </si>
  <si>
    <t xml:space="preserve">32 Seah St, Singapore 188388</t>
  </si>
  <si>
    <t xml:space="preserve">Magic (Ristretto Milk)</t>
  </si>
  <si>
    <t xml:space="preserve">Contrast milk calibration; excellent concentrated cocoa expression.</t>
  </si>
  <si>
    <t xml:space="preserve">Ristretto milk extraction increased sweetness density and concentrated cocoa compounds through reduced water content.</t>
  </si>
  <si>
    <t xml:space="preserve">Apartment (Selegie Rd)</t>
  </si>
  <si>
    <t xml:space="preserve">Colombia Don Gallego - Wush Wush</t>
  </si>
  <si>
    <t xml:space="preserve">Don Gallego</t>
  </si>
  <si>
    <t xml:space="preserve">Colombia</t>
  </si>
  <si>
    <t xml:space="preserve">Wush Wush</t>
  </si>
  <si>
    <t xml:space="preserve">1:17</t>
  </si>
  <si>
    <t xml:space="preserve">Tea-like</t>
  </si>
  <si>
    <t xml:space="preserve">Incredible tea-like clarity; transparent floral expression.</t>
  </si>
  <si>
    <t xml:space="preserve">Lean 1:17 ratio maximized aromatic separation; Wush Wush's Ethiopian-lineage genetics produced delicate phenolic and floral complexity.</t>
  </si>
  <si>
    <t xml:space="preserve">Solo specialty calibration</t>
  </si>
  <si>
    <t xml:space="preserve">139 Selegie Rd, #01-01, Singapore 188309</t>
  </si>
  <si>
    <t xml:space="preserve">Kenya Ndiaini AA</t>
  </si>
  <si>
    <t xml:space="preserve">Kenya</t>
  </si>
  <si>
    <t xml:space="preserve">SL28 / SL34 / Ruiru 11</t>
  </si>
  <si>
    <t xml:space="preserve">Redcurrant; Elderflower; Lemon; Apricot</t>
  </si>
  <si>
    <t xml:space="preserve">Acidic and interesting; well balanced; high clarity.</t>
  </si>
  <si>
    <t xml:space="preserve">Ruiru 11 introduced structural body alongside classic SL28/SL34 brightness; further Kenyan terroir depth confirmed.</t>
  </si>
  <si>
    <t xml:space="preserve">Agora Coffee</t>
  </si>
  <si>
    <t xml:space="preserve">Nicaragua Matagalpa - Finca La Virgen</t>
  </si>
  <si>
    <t xml:space="preserve">Finca La Virgen</t>
  </si>
  <si>
    <t xml:space="preserve">Nicaragua</t>
  </si>
  <si>
    <t xml:space="preserve">Fully Washed</t>
  </si>
  <si>
    <t xml:space="preserve">Flat White</t>
  </si>
  <si>
    <t xml:space="preserve">Caramel; Chocolate; Red Apple</t>
  </si>
  <si>
    <t xml:space="preserve">Solid milk beverage; clean apple acidity preserved in milk integration.</t>
  </si>
  <si>
    <t xml:space="preserve">Fully washed Central American profile preserved clean malic acidity in milk; espresso roast development amplified caramel Maillard notes.</t>
  </si>
  <si>
    <t xml:space="preserve">31 Club St, #01-02, Singapore 069468</t>
  </si>
  <si>
    <t xml:space="preserve">Ethiopia Yirgacheffe Beloya</t>
  </si>
  <si>
    <t xml:space="preserve">Beloya</t>
  </si>
  <si>
    <t xml:space="preserve">Yirgacheffe, Ethiopia</t>
  </si>
  <si>
    <t xml:space="preserve">Heirloom</t>
  </si>
  <si>
    <t xml:space="preserve">Filter Roast</t>
  </si>
  <si>
    <t xml:space="preserve">V60</t>
  </si>
  <si>
    <t xml:space="preserve">1:14.6</t>
  </si>
  <si>
    <t xml:space="preserve">Mahlkönig EK43</t>
  </si>
  <si>
    <t xml:space="preserve">Blackcurrant; Strawberry; White Floral</t>
  </si>
  <si>
    <t xml:space="preserve">Bright, floral, and distinct strawberry; classic natural Ethiopian profile.</t>
  </si>
  <si>
    <t xml:space="preserve">EK43 98mm flat burrs reduced fines and preserved clarity despite natural processing; 1:14.6 ratio retained fruity body.</t>
  </si>
  <si>
    <t xml:space="preserve">Tiong Hoe Specialty Coffee</t>
  </si>
  <si>
    <t xml:space="preserve">Brazil Mogiana</t>
  </si>
  <si>
    <t xml:space="preserve">Mogiana, Brazil</t>
  </si>
  <si>
    <t xml:space="preserve">1:15</t>
  </si>
  <si>
    <t xml:space="preserve">Red Dates; Chocolates; Honey</t>
  </si>
  <si>
    <t xml:space="preserve">Chocolate-heavy and satisfying; classic dense Brazilian profile.</t>
  </si>
  <si>
    <t xml:space="preserve">Tighter 1:15 ratio increased body and amplified Maillard-derived caramel sweetness; medium roast caramelized sugars without losing origin character.</t>
  </si>
  <si>
    <t xml:space="preserve">1 Harbourfront Walk, VivoCity Fairprice Xtra, #B2-23, Singapore 098585</t>
  </si>
  <si>
    <t xml:space="preserve">Smoky Quartz Blend</t>
  </si>
  <si>
    <t xml:space="preserve">Brazil + India</t>
  </si>
  <si>
    <t xml:space="preserve">Piccolo Latte</t>
  </si>
  <si>
    <t xml:space="preserve">Dark Chocolates; Hazelnut; Smoky</t>
  </si>
  <si>
    <t xml:space="preserve">Strong milk side calibration; excellent concentrated cocoa expression.</t>
  </si>
  <si>
    <t xml:space="preserve">Low milk volume in piccolo format concentrated cocoa and hazelnut compounds; cross-origin blend leveraged Indian robusta structural density.</t>
  </si>
  <si>
    <t xml:space="preserve">Asylum Coffeehouse</t>
  </si>
  <si>
    <t xml:space="preserve">Peru Cajamarca Gesha (Iced)</t>
  </si>
  <si>
    <t xml:space="preserve">Wilder Garcia</t>
  </si>
  <si>
    <t xml:space="preserve">Cajamarca, Peru</t>
  </si>
  <si>
    <t xml:space="preserve">Gesha</t>
  </si>
  <si>
    <t xml:space="preserve">Iced Pour-over</t>
  </si>
  <si>
    <t xml:space="preserve">92.5</t>
  </si>
  <si>
    <t xml:space="preserve">Option-O Lagom P64</t>
  </si>
  <si>
    <t xml:space="preserve">Jasmine; Caramel; Lime; Cacao Nibs</t>
  </si>
  <si>
    <t xml:space="preserve">Super floral and elegant; flash-chilled expression of Gesha purity.</t>
  </si>
  <si>
    <t xml:space="preserve">Flash-chilled extraction via Option-O Lagom P64 preserved volatile floral monoterpenes (linalool); cold dilution stabilized aromatic compounds.</t>
  </si>
  <si>
    <t xml:space="preserve">311 Jln Besar, Singapore 208970</t>
  </si>
  <si>
    <t xml:space="preserve">Maxi Coffee Bar</t>
  </si>
  <si>
    <t xml:space="preserve">La Laja</t>
  </si>
  <si>
    <t xml:space="preserve">James Fernandez</t>
  </si>
  <si>
    <t xml:space="preserve">Cauca, Colombia</t>
  </si>
  <si>
    <t xml:space="preserve">Sudan Rume</t>
  </si>
  <si>
    <t xml:space="preserve">1:15.3</t>
  </si>
  <si>
    <t xml:space="preserve">90-92</t>
  </si>
  <si>
    <t xml:space="preserve">FM Grinder 120mm Flat Burr / Timemore Sculptor 078</t>
  </si>
  <si>
    <t xml:space="preserve">Raspberry; Nectarine; Floral</t>
  </si>
  <si>
    <t xml:space="preserve">Nectarine and raspberry extremely clear; barista sophistication superb; technical milestone.</t>
  </si>
  <si>
    <t xml:space="preserve">120mm flat burr geometry maximized uniform particle distribution; flat-bottom brewer enhanced sweetness while preserving Sudan Rume's rare genetic clarity.</t>
  </si>
  <si>
    <t xml:space="preserve">CBD lunch calibration</t>
  </si>
  <si>
    <t xml:space="preserve">64 Club St, Back Entrance, Singapore 069438</t>
  </si>
  <si>
    <t xml:space="preserve">Lume Café</t>
  </si>
  <si>
    <t xml:space="preserve">Corpachi Panama Geisha</t>
  </si>
  <si>
    <t xml:space="preserve">Corpachi</t>
  </si>
  <si>
    <t xml:space="preserve">Boquerón, Chiriquí, Panama</t>
  </si>
  <si>
    <t xml:space="preserve">Geisha</t>
  </si>
  <si>
    <t xml:space="preserve">Red Honey</t>
  </si>
  <si>
    <t xml:space="preserve">90 + 70</t>
  </si>
  <si>
    <t xml:space="preserve">Mandarin Candy; Jasmine; Apricot</t>
  </si>
  <si>
    <t xml:space="preserve">Clearly perceived apricot and structured sweetness.</t>
  </si>
  <si>
    <t xml:space="preserve">Dual-temperature extraction balanced aromatics and body in honey-process Geisha; red honey partial mucilage retention amplified structured sweetness.</t>
  </si>
  <si>
    <t xml:space="preserve">Rainy CBD lunch calibration</t>
  </si>
  <si>
    <t xml:space="preserve">108 Robinson Rd, #01-01, Singapore 068900</t>
  </si>
  <si>
    <t xml:space="preserve">Castillo Watermelon (Jairo Arcila)</t>
  </si>
  <si>
    <t xml:space="preserve">Jairo Arcila</t>
  </si>
  <si>
    <t xml:space="preserve">Armenia, Quindío, Colombia</t>
  </si>
  <si>
    <t xml:space="preserve">Castillo</t>
  </si>
  <si>
    <t xml:space="preserve">Washed Co-Ferment (Watermelon Anaerobic)</t>
  </si>
  <si>
    <t xml:space="preserve">Pour-over (V60)</t>
  </si>
  <si>
    <t xml:space="preserve">Watermelon; Mint; Lime; Chocolate</t>
  </si>
  <si>
    <t xml:space="preserve">Distinct fruit-forward expression; sweetness layered rather than sharp; experimental but controlled.</t>
  </si>
  <si>
    <t xml:space="preserve">Watermelon co-fermentation enhanced volatile ester complexity; dual-temperature extraction preserved layered aromatic architecture.</t>
  </si>
  <si>
    <t xml:space="preserve">Father-daughter coffee session</t>
  </si>
  <si>
    <t xml:space="preserve">Peru Gesha (Wilder Garcia)</t>
  </si>
  <si>
    <t xml:space="preserve">Jaén, Peru</t>
  </si>
  <si>
    <t xml:space="preserve">Clean, structured, high-clarity cup; apricot-like sweetness and excellent structure.</t>
  </si>
  <si>
    <t xml:space="preserve">Dual-temperature extraction engineered aromatic separation and body control; Gesha genetics delivered intrinsic phenolic complexity with minimal processing interference.</t>
  </si>
  <si>
    <t xml:space="preserve">La Villa #1</t>
  </si>
  <si>
    <t xml:space="preserve">Eduard Gaviria</t>
  </si>
  <si>
    <t xml:space="preserve">Huila, Colombia</t>
  </si>
  <si>
    <t xml:space="preserve">Papayo</t>
  </si>
  <si>
    <t xml:space="preserve">Timemore Sculptor 078</t>
  </si>
  <si>
    <t xml:space="preserve">Stewed Forest Berries; Grape; Black Forest Cake</t>
  </si>
  <si>
    <t xml:space="preserve">Dense fruit profile with rounded sweetness.</t>
  </si>
  <si>
    <t xml:space="preserve">Flat-bottom geometry and tight 1:15 ratio emphasized body; Papayo varietal's high sugar content amplified by natural processing into rich fruit-cake profile.</t>
  </si>
  <si>
    <t xml:space="preserve">Lunch catch-up with Yichen</t>
  </si>
  <si>
    <t xml:space="preserve">Johor Bahru</t>
  </si>
  <si>
    <t xml:space="preserve">Clod Coffee Bar &amp; Roasters</t>
  </si>
  <si>
    <t xml:space="preserve">Hacienda La Florida</t>
  </si>
  <si>
    <t xml:space="preserve">Typica Mejorado</t>
  </si>
  <si>
    <t xml:space="preserve">Anaerobic Washed</t>
  </si>
  <si>
    <t xml:space="preserve">Origami (Conical)</t>
  </si>
  <si>
    <t xml:space="preserve">1:15.4</t>
  </si>
  <si>
    <t xml:space="preserve">42g / 30s (1:2.3)</t>
  </si>
  <si>
    <t xml:space="preserve">Mahlkönig EK Omnia</t>
  </si>
  <si>
    <t xml:space="preserve">Lemon verbena; Red plum; Citronella; Hibiscus</t>
  </si>
  <si>
    <t xml:space="preserve">Excellent. Lime when hot, distinct plum as it cooled.</t>
  </si>
  <si>
    <t xml:space="preserve">EK Omnia precision grind and Origami conical drove extreme clarity; thermal phase shift perfectly isolated citric-to-malic acid transition (lime → plum).</t>
  </si>
  <si>
    <t xml:space="preserve">Gemini only</t>
  </si>
  <si>
    <t xml:space="preserve">123 Jalan Beringin, Taman Melodies, 80250 Johor Bahru, Malaysia</t>
  </si>
  <si>
    <t xml:space="preserve">Brazil Santuário Sul</t>
  </si>
  <si>
    <t xml:space="preserve">Carmo de Minas, Brazil</t>
  </si>
  <si>
    <t xml:space="preserve">Natural Fermentation</t>
  </si>
  <si>
    <t xml:space="preserve">Light-Medium</t>
  </si>
  <si>
    <t xml:space="preserve">1:14</t>
  </si>
  <si>
    <t xml:space="preserve">95</t>
  </si>
  <si>
    <t xml:space="preserve">Blackcurrant; Black Cherry; Dark Chocolate</t>
  </si>
  <si>
    <t xml:space="preserve">Full body; prominent blackcurrant; clear chocolaty finish.</t>
  </si>
  <si>
    <t xml:space="preserve">Tight 1:14 ratio engineered maximum body; EK43 98mm burrs maintained clarity to keep fermented natural fruit clean and non-bitter.</t>
  </si>
  <si>
    <t xml:space="preserve">Midday specialty calibration</t>
  </si>
  <si>
    <t xml:space="preserve">Nylon Coffee Roasters</t>
  </si>
  <si>
    <t xml:space="preserve">Brazil FAF Organic</t>
  </si>
  <si>
    <t xml:space="preserve">Brazil</t>
  </si>
  <si>
    <t xml:space="preserve">Arara</t>
  </si>
  <si>
    <t xml:space="preserve">xBloom (Flat-Bottom)</t>
  </si>
  <si>
    <t xml:space="preserve">Red Apple; Cherry; Raisin; Milk Chocolate</t>
  </si>
  <si>
    <t xml:space="preserve">Solid body with crisp green apple (malic) front, resolving into smooth milk chocolate finish.</t>
  </si>
  <si>
    <t xml:space="preserve">High-quality Arara natural processing yielded excellent structural body while maintaining crisp malic acidity; xBloom flat-bottom avoided heavy fermentation mud.</t>
  </si>
  <si>
    <t xml:space="preserve">4 Everton Park, #01-40, Singapore 080004</t>
  </si>
  <si>
    <t xml:space="preserve">Brazil Serra dos Ciganos</t>
  </si>
  <si>
    <t xml:space="preserve">Catucai 24/137</t>
  </si>
  <si>
    <t xml:space="preserve">Sultana; Dried Apricot; Praline; Roasted Hazelnut</t>
  </si>
  <si>
    <t xml:space="preserve">Good cup with pleasant lingering sweet aftertaste.</t>
  </si>
  <si>
    <t xml:space="preserve">Milk fats bound perfectly with natural processed espresso; Catucai 24/137 high-density bean structure created long, comforting finish.</t>
  </si>
  <si>
    <t xml:space="preserve">Ethiopia Banko Gotiti</t>
  </si>
  <si>
    <t xml:space="preserve">Ethiopia</t>
  </si>
  <si>
    <t xml:space="preserve">Lemonade; Raspberry; Peach; Bergamot</t>
  </si>
  <si>
    <t xml:space="preserve">Lemon front, heavy melon mid-cup, fading into clean white tea finish.</t>
  </si>
  <si>
    <t xml:space="preserve">1:17 lean ratio isolated volatile citric acids; xBloom flat-bottom geometry stabilized mid-cup sugars before clean tannin-forward white tea finish.</t>
  </si>
  <si>
    <t xml:space="preserve">Nicaragua Buena Vista</t>
  </si>
  <si>
    <t xml:space="preserve">Parainema</t>
  </si>
  <si>
    <t xml:space="preserve">Natural Anaerobic</t>
  </si>
  <si>
    <t xml:space="preserve">Single Espresso</t>
  </si>
  <si>
    <t xml:space="preserve">~1:2</t>
  </si>
  <si>
    <t xml:space="preserve">Chiku; Stewed Cherry; Dried Apricot; Brazil Nut</t>
  </si>
  <si>
    <t xml:space="preserve">Thick, syrupy body. Highly fermented, savory/not sweet, very long lingering finish.</t>
  </si>
  <si>
    <t xml:space="preserve">Anaerobic fermentation metabolized sugars into complex savory esters; 9-bar pressure emulsification drove heavy oil-based viscosity and extended aftertaste.</t>
  </si>
  <si>
    <t xml:space="preserve">Alchemist (Ocean Financial Centre)</t>
  </si>
  <si>
    <t xml:space="preserve">El Morito</t>
  </si>
  <si>
    <t xml:space="preserve">Marshell</t>
  </si>
  <si>
    <t xml:space="preserve">V60 Pour-over (Conical)</t>
  </si>
  <si>
    <t xml:space="preserve">Mahlkönig EK43S (98mm Flat Burr)</t>
  </si>
  <si>
    <t xml:space="preserve">Yellow Plum; Orange; Cane Sugar</t>
  </si>
  <si>
    <t xml:space="preserve">Simultaneous citric-malic acid overlap with integrated cane sugar — smooth and refreshing with excellent mid-palate juiciness. Confirmed: I love this bean.</t>
  </si>
  <si>
    <t xml:space="preserve">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</si>
  <si>
    <t xml:space="preserve">Solo visit — Alchemist Raffles Place</t>
  </si>
  <si>
    <t xml:space="preserve">Master CSV (hari_coffee_audit_master_2026)</t>
  </si>
  <si>
    <t xml:space="preserve">10 Collyer Quay, #01-K1, Singapore 049315</t>
  </si>
  <si>
    <t xml:space="preserve">Kurasu</t>
  </si>
  <si>
    <t xml:space="preserve">Indonesia Frinsa Estate</t>
  </si>
  <si>
    <t xml:space="preserve">Frinsa Estate</t>
  </si>
  <si>
    <t xml:space="preserve">West Java, Indonesia</t>
  </si>
  <si>
    <t xml:space="preserve">Local Varietals</t>
  </si>
  <si>
    <t xml:space="preserve">Extended Fermentation Honey</t>
  </si>
  <si>
    <t xml:space="preserve">Pour-over (Hario Alpha — Flat-Bottom)</t>
  </si>
  <si>
    <t xml:space="preserve">80 → 95 → 80</t>
  </si>
  <si>
    <t xml:space="preserve">Floral aroma; Stewed Strawberries; Grapefruit; Brown Sugar; Black Tea</t>
  </si>
  <si>
    <t xml:space="preserve">Floral taste with a sweet coating on the tongue that gradually sticks and fades off cleanly — sugar and tea aftertaste. Well-executed Indonesian honey with unusual clarity for the origin.</t>
  </si>
  <si>
    <t xml:space="preserve">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</si>
  <si>
    <t xml:space="preserve">Solo visit — Kurasu Singapore</t>
  </si>
  <si>
    <t xml:space="preserve">261 Waterloo St, #01-24, Singapore 180261</t>
  </si>
  <si>
    <t xml:space="preserve">The Community Coffee (Hamilton)</t>
  </si>
  <si>
    <t xml:space="preserve">Jose Mancia Honduras</t>
  </si>
  <si>
    <t xml:space="preserve">Jose Mancia</t>
  </si>
  <si>
    <t xml:space="preserve">Typica</t>
  </si>
  <si>
    <t xml:space="preserve">Pour-over (Hario Switch — Immersion/Percolation)</t>
  </si>
  <si>
    <t xml:space="preserve">Mahlkönig EK43 (98mm Flat Burr)</t>
  </si>
  <si>
    <t xml:space="preserve">Kiwi; Oolong Tea; Chocolate Truffle</t>
  </si>
  <si>
    <t xml:space="preserve">Pretty good. Kiwi and oolong tea style — full bodied. Short finish with slight hints of chocolate. Clean and approachable natural without heavy fermentation noise.</t>
  </si>
  <si>
    <t xml:space="preserve">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</si>
  <si>
    <t xml:space="preserve">Solo visit — The Community Coffee Hamilton</t>
  </si>
  <si>
    <t xml:space="preserve">38 Hamilton Rd, Singapore 209208</t>
  </si>
  <si>
    <t xml:space="preserve">Ijen Laurina</t>
  </si>
  <si>
    <t xml:space="preserve">Ijen Plateau</t>
  </si>
  <si>
    <t xml:space="preserve">East Java, Indonesia</t>
  </si>
  <si>
    <t xml:space="preserve">Hybrid Laurina</t>
  </si>
  <si>
    <t xml:space="preserve">90</t>
  </si>
  <si>
    <t xml:space="preserve">Hibiscus; Red Apple; Hawthorn</t>
  </si>
  <si>
    <t xml:space="preserve">Felt hibiscus hot. Mid temp showed apple paste. Cooled to a honeyed character. Full bodied. Textbook style flavours — definitely a good one. Clean progressive thermal arc.</t>
  </si>
  <si>
    <t xml:space="preserve">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</si>
  <si>
    <t xml:space="preserve">Solo visit — Alchemist Ocean Financial Centre</t>
  </si>
  <si>
    <t xml:space="preserve">Fluid Collective</t>
  </si>
  <si>
    <t xml:space="preserve">El Obraje</t>
  </si>
  <si>
    <t xml:space="preserve">Flatbed Dripper (Flat-Bottom)</t>
  </si>
  <si>
    <t xml:space="preserve">92</t>
  </si>
  <si>
    <t xml:space="preserve">Option-O Lagom P64 (64mm Flat Burr)</t>
  </si>
  <si>
    <t xml:space="preserve">Mango; Orange Blossom; Nectarine; Honey</t>
  </si>
  <si>
    <t xml:space="preserve">Damn the taste so nice — the orange nectarine finishing with that honey is terrific. Love this one. So far my favourite. Honey sweetness lingers and taste changes as temperature cools. Best Gesha washed in archive at time of logging.</t>
  </si>
  <si>
    <t xml:space="preserve">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</si>
  <si>
    <t xml:space="preserve">Solo visit — FLUID Singapore</t>
  </si>
  <si>
    <t xml:space="preserve">24 Opal Cres, Singapore 328418</t>
  </si>
  <si>
    <t xml:space="preserve">Pocket by Flip (Flip Coffee Roasters)</t>
  </si>
  <si>
    <t xml:space="preserve">Ecuador La Papaya</t>
  </si>
  <si>
    <t xml:space="preserve">La Papaya Farm</t>
  </si>
  <si>
    <t xml:space="preserve">Loja, Ecuador</t>
  </si>
  <si>
    <t xml:space="preserve">Filter Hot — Flat-Bottom (Hario Alpha)</t>
  </si>
  <si>
    <t xml:space="preserve">92 → 75 → 92</t>
  </si>
  <si>
    <t xml:space="preserve">Mahlkönig CORE (54mm Flat Burr)</t>
  </si>
  <si>
    <t xml:space="preserve">Fresh Apricot; Rooibos; Lemon Thyme; Toffee Apple</t>
  </si>
  <si>
    <t xml:space="preserve">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</si>
  <si>
    <t xml:space="preserve">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</si>
  <si>
    <t xml:space="preserve">Solo visit — Pocket by Flip, 30 Stevens Road</t>
  </si>
  <si>
    <t xml:space="preserve">30 Stevens Rd, #01-08, Singapore 257840</t>
  </si>
  <si>
    <t xml:space="preserve">20 Grams Coffee Roastery</t>
  </si>
  <si>
    <t xml:space="preserve">Rwanda Nyabihu — Red Bourbon</t>
  </si>
  <si>
    <t xml:space="preserve">Josue Dusengiyumva, Shyira Washing Station</t>
  </si>
  <si>
    <t xml:space="preserve">Nyabihu District, Rwanda</t>
  </si>
  <si>
    <t xml:space="preserve">Red Bourbon</t>
  </si>
  <si>
    <t xml:space="preserve">Light (Nordic Roast)</t>
  </si>
  <si>
    <t xml:space="preserve">Pourover</t>
  </si>
  <si>
    <t xml:space="preserve">Ditting 804 (Flat Burr)</t>
  </si>
  <si>
    <t xml:space="preserve">Hibiscus; Raspberry; Tropical Fruit</t>
  </si>
  <si>
    <t xml:space="preserve">Palate confirmed: peach, stone fruit, malic clarity. "Soft, peach-forward, malic clarity — light and approachable. First Rwanda origin entry. Terroir-pure expression of Nyabihu volcanic terroir." 4/5 stars.</t>
  </si>
  <si>
    <t xml:space="preserve">1:16 lean ratio (vs 1:15 standard) suppresses body/TDS to amplify volatile aromatics — deliberate strategy to showcase Rwandan terroir delicacy. Malic-acid-dominant, smooth rounded onset consistent with washed Red Bourbon genetics.</t>
  </si>
  <si>
    <t xml:space="preserve">Twenty Grams Roastery, MacPherson — first Rwanda origin entry</t>
  </si>
  <si>
    <t xml:space="preserve">Field entry (infographic-derived)</t>
  </si>
  <si>
    <t xml:space="preserve">14 Arumugam Rd, #01-05 LTC Building C, Singapore 409959</t>
  </si>
  <si>
    <t xml:space="preserve">Kenya Nyeri Hill — SL28</t>
  </si>
  <si>
    <t xml:space="preserve">Nyeri Hill Factory</t>
  </si>
  <si>
    <t xml:space="preserve">Kiambu District, Kenya</t>
  </si>
  <si>
    <t xml:space="preserve">SL28</t>
  </si>
  <si>
    <t xml:space="preserve">Cortado (Espresso-based)</t>
  </si>
  <si>
    <t xml:space="preserve">~1:1 (espresso/milk)</t>
  </si>
  <si>
    <t xml:space="preserve">N/A — espresso format</t>
  </si>
  <si>
    <t xml:space="preserve">Ditting Lab Sweet 403</t>
  </si>
  <si>
    <t xml:space="preserve">Apple; Grape; Blackcurrant</t>
  </si>
  <si>
    <t xml:space="preserve">Palate confirmed: clean, nice, excellent lingering finish. "Clean, structured, with an exceptional lingering phosphoric finish — textbook SL28 Kenyan expression perfectly delivered in cortado format." 4/5 stars.</t>
  </si>
  <si>
    <t xml:space="preserve">9-bar extraction emulsifies coffee lipids into the crema matrix; ~1:1 milk ratio softens entry while SL28's signature phosphoric acid structure dominates the finish — classic Kenyan cortado profile.</t>
  </si>
  <si>
    <t xml:space="preserve">Twenty Grams Roastery, MacPherson — same visit as Rwanda pourover</t>
  </si>
  <si>
    <t xml:space="preserve">Zerah Roasters</t>
  </si>
  <si>
    <t xml:space="preserve">El Diviso — Caturra Chiroso (Ester Bomb)</t>
  </si>
  <si>
    <t xml:space="preserve">El Diviso Farm</t>
  </si>
  <si>
    <t xml:space="preserve">Caturra Chiroso</t>
  </si>
  <si>
    <t xml:space="preserve">Yeast Anaerobic Natural</t>
  </si>
  <si>
    <t xml:space="preserve">Flat-Bottom Dripper</t>
  </si>
  <si>
    <t xml:space="preserve">38g / Unknown seconds</t>
  </si>
  <si>
    <t xml:space="preserve">DF64 Gen 2 (64mm Flat Burr — aftermarket upgrade)</t>
  </si>
  <si>
    <t xml:space="preserve">Passionfruit; Plum Wine; Mango</t>
  </si>
  <si>
    <t xml:space="preserve">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</si>
  <si>
    <t xml:space="preserve">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</si>
  <si>
    <t xml:space="preserve">Solo visit — Zerah Roasters, Singapore, 26 May 2026. Barista explained fermentation process, flat-bottom geometry rationale, 1:16 ratio decision in detail. Warm educational session on 2nd floor cosy space. Barista recommended Glyph Supply Co (Jurong).</t>
  </si>
  <si>
    <t xml:space="preserve">Infographic (Entry #025 Ester Bomb) + Google Maps review + Google review authored by Hari</t>
  </si>
  <si>
    <t xml:space="preserve">465 North Bridge Rd, #02-5063, Singapore 188720</t>
  </si>
  <si>
    <t xml:space="preserve">Colombia Juan Martin</t>
  </si>
  <si>
    <t xml:space="preserve">Banexport</t>
  </si>
  <si>
    <t xml:space="preserve">Red Striped Bourbon</t>
  </si>
  <si>
    <t xml:space="preserve">Mahlkönig EK Omnia (98mm Flat Burr)</t>
  </si>
  <si>
    <t xml:space="preserve">Berry, Red Plum, Nectarine, Orange Tea</t>
  </si>
  <si>
    <t xml:space="preserve">Orange-type aromatic afterfeel when hot — bright and encapsulating. Clearly fruity character throughout. Mellows cleanly as it cools; sugars emerge distinctly at mid-cool phase. Nice and light overall — 1:17 lean ratio working well on this varietal.</t>
  </si>
  <si>
    <t xml:space="preserve">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</si>
  <si>
    <t xml:space="preserve">Solo visit — office lunch break, 13:15</t>
  </si>
  <si>
    <t xml:space="preserve">Direct observation + bag photo (retail stock)</t>
  </si>
  <si>
    <t xml:space="preserve">Rwanda Nkara Soil Project Lot 1204</t>
  </si>
  <si>
    <t xml:space="preserve">Nkara Soil Project</t>
  </si>
  <si>
    <t xml:space="preserve">Rwanda</t>
  </si>
  <si>
    <t xml:space="preserve">Floral aroma, taste of mandarin orange, baked apple and grapefruit, brown sugar-like sweetness and accompanying aftertaste</t>
  </si>
  <si>
    <t xml:space="preserve">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</si>
  <si>
    <t xml:space="preserve">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</si>
  <si>
    <t xml:space="preserve">Solo visit — 13 Jun 2026</t>
  </si>
  <si>
    <t xml:space="preserve">Direct observation + bean card photo</t>
  </si>
  <si>
    <t xml:space="preserve">KerYi Coffee</t>
  </si>
  <si>
    <t xml:space="preserve">Colombia Finca La Esmaralda</t>
  </si>
  <si>
    <t xml:space="preserve">Finca La Esmaralda</t>
  </si>
  <si>
    <t xml:space="preserve">Honey</t>
  </si>
  <si>
    <t xml:space="preserve">Light Roast</t>
  </si>
  <si>
    <t xml:space="preserve">Hario Switch (Immersion/Percolation Hybrid)</t>
  </si>
  <si>
    <t xml:space="preserve">91 → 78</t>
  </si>
  <si>
    <t xml:space="preserve">60g (~4:1)</t>
  </si>
  <si>
    <t xml:space="preserve">Ditting 98mm flat burr</t>
  </si>
  <si>
    <t xml:space="preserve">Citrus, white florals, lychee, sugar-cane sweetness</t>
  </si>
  <si>
    <t xml:space="preserve">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</si>
  <si>
    <t xml:space="preserve">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</si>
  <si>
    <t xml:space="preserve">Solo relaxation visit — Sunday 14 Jun 2026, 11 AM; barista-led brew interview (grinder/ratio/temp confirmed)</t>
  </si>
  <si>
    <t xml:space="preserve">Direct observation + menu photo + barista interview</t>
  </si>
  <si>
    <t xml:space="preserve">161 Lavender St, #01-08, Singapore 338750</t>
  </si>
  <si>
    <t xml:space="preserve">Corner Corner</t>
  </si>
  <si>
    <t xml:space="preserve">Malaysia My Liberica</t>
  </si>
  <si>
    <t xml:space="preserve">My Liberica (Jason Liew), Kulai, Johor</t>
  </si>
  <si>
    <t xml:space="preserve">Malaysia, Kulai, Johor</t>
  </si>
  <si>
    <t xml:space="preserve">Liberica (Coffea liberica)</t>
  </si>
  <si>
    <t xml:space="preserve">JH Natural (Jekyll &amp; Hyde controlled fermentation - proprietary My Liberica process)</t>
  </si>
  <si>
    <t xml:space="preserve">Pour Over (filter)</t>
  </si>
  <si>
    <t xml:space="preserve">90-92 (steady throughout)</t>
  </si>
  <si>
    <t xml:space="preserve">Timemore (conical Gold burr, coarse)</t>
  </si>
  <si>
    <t xml:space="preserve">Root beer / Tropical fruit punch / Raspberry candy / Rambutan / Longan / Sarsi (roaster: One Half)</t>
  </si>
  <si>
    <t xml:space="preserve">Interesting and approachable - 'not so funky but different for sure'; picked out longan-type fruit. First non-arabica capture in the archive; landed as a positive novelty rather than rejected.</t>
  </si>
  <si>
    <t xml:space="preserve">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</si>
  <si>
    <t xml:space="preserve">Roaster: One Half (light-roast filter program). Corner Corner is a vinyl-record listening bar/cafe; walls of LPs, warm low lighting, Japanese-style carafe-and-cup serve. Friday 19 June 2026, ~15:15. Rated awesome by Hari.</t>
  </si>
  <si>
    <t xml:space="preserve">Field audit (Claude)</t>
  </si>
  <si>
    <t xml:space="preserve">16 Duxton Rd, Singapore 089482</t>
  </si>
  <si>
    <t xml:space="preserve">Equate</t>
  </si>
  <si>
    <t xml:space="preserve">Colombia Huila La Pradera</t>
  </si>
  <si>
    <t xml:space="preserve">La Pradera</t>
  </si>
  <si>
    <t xml:space="preserve">Colombia, Huila</t>
  </si>
  <si>
    <t xml:space="preserve">Pour Over (Orea V4)</t>
  </si>
  <si>
    <t xml:space="preserve">90-92 (pours 1-2), 68-70 (pours 3-4)</t>
  </si>
  <si>
    <t xml:space="preserve">EK43</t>
  </si>
  <si>
    <t xml:space="preserve">Peach Jam / Orange / Honey Sweetness</t>
  </si>
  <si>
    <t xml:space="preserve">Average - strong isolated peach note but jam/honey sweetness underdeveloped; suspects 1:15 ratio would have balanced acid/sweetness better</t>
  </si>
  <si>
    <t xml:space="preserve">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</si>
  <si>
    <t xml:space="preserve">2nd-floor minimalist cafe; pastel interiors, spacious, dog-friendly; cakes-only food menu (banana cake); benchmark ambience per Hari.</t>
  </si>
  <si>
    <t xml:space="preserve">1 Tanjong Pagar Plaza, #02-25, Singapore 082001</t>
  </si>
  <si>
    <t xml:space="preserve">Apartment Roastery</t>
  </si>
  <si>
    <t xml:space="preserve">Colombia Javier Quintero</t>
  </si>
  <si>
    <t xml:space="preserve">Javier Quintero, Buena Vista Farm</t>
  </si>
  <si>
    <t xml:space="preserve">Inza, Cauca, Colombia</t>
  </si>
  <si>
    <t xml:space="preserve">Bourbon Aruzi</t>
  </si>
  <si>
    <t xml:space="preserve">Light (Filter Roast)</t>
  </si>
  <si>
    <t xml:space="preserve">Pour-over (Hand Brew)</t>
  </si>
  <si>
    <t xml:space="preserve">1:16.9</t>
  </si>
  <si>
    <t xml:space="preserve">White peach; blackberry; jasmine</t>
  </si>
  <si>
    <t xml:space="preserve">White peach dominant, well-balanced; clean washed expression, very enjoyable</t>
  </si>
  <si>
    <t xml:space="preserve">High-temp (95C) and 1:16.9 ratio on EK43 flat burr favored extraction of volatile floral/peach esters (linalool, lactones) over heavier blackberry polyphenolics, producing a peach-forward, high-clarity cup. 200g bag roasted 15 June 2026 (6 days post-roast at time of visit).</t>
  </si>
  <si>
    <t xml:space="preserve">Sister branch of Apartment (Selegie Rd), located Jalan Riang, Serangoon Gardens. First visit to this branch.</t>
  </si>
  <si>
    <t xml:space="preserve">Jln Riang, #15-9, Singapore 358987</t>
  </si>
  <si>
    <t xml:space="preserve">PPP Coffee (Funan)</t>
  </si>
  <si>
    <t xml:space="preserve">Ethiopia Suke Quto</t>
  </si>
  <si>
    <t xml:space="preserve">Suke Quto Farm (Tesfaye Bekele)</t>
  </si>
  <si>
    <t xml:space="preserve">Welicho &amp; Kurume (blend)</t>
  </si>
  <si>
    <t xml:space="preserve">Fully-Washed</t>
  </si>
  <si>
    <t xml:space="preserve">Light Filter Roast</t>
  </si>
  <si>
    <t xml:space="preserve">Mazzer MM (83mm Flat Burr)</t>
  </si>
  <si>
    <t xml:space="preserve">Nectarine, White Florals, Citrus</t>
  </si>
  <si>
    <t xml:space="preserve">Sharp unripe orange dominated all thermal phases — no floral lift, no mid-cool malic sweetness, no phase shift detected. Citric over-extraction signature suppressed linalool volatiles and sucrose emergence. Hardware execution miss — Guji terroir likely unrealised. Rated below average.</t>
  </si>
  <si>
    <t xml:space="preserve">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</si>
  <si>
    <t xml:space="preserve">Solo visit — 25 Jun 2026; Funan mall location; bean card photographed; no barista consultation</t>
  </si>
  <si>
    <t xml:space="preserve">Direct observation + bean card photo + menu photo</t>
  </si>
  <si>
    <t xml:space="preserve">107 N Bridge Rd, #02-19, Singapore 179105</t>
  </si>
  <si>
    <t xml:space="preserve">China Yunnan Meng Hai</t>
  </si>
  <si>
    <t xml:space="preserve">Blang and Dai Family Farms</t>
  </si>
  <si>
    <t xml:space="preserve">Menghai, Xishuangbanna, Yunnan, China</t>
  </si>
  <si>
    <t xml:space="preserve">Purple Leaf Caturra</t>
  </si>
  <si>
    <t xml:space="preserve">Double Washed</t>
  </si>
  <si>
    <t xml:space="preserve">1:16.5</t>
  </si>
  <si>
    <t xml:space="preserve">4-pour progressive ~30s intervals; Bloom 30g; to 120g (+90g); to 180g (+60g); to 215g (+35g). Descending pour volumes confirmed by barista.</t>
  </si>
  <si>
    <t xml:space="preserve">Dried tangerine peel; red apple; pandan (origin card) / Dried orange peel; red apple; pandan (menu — discrepancy flagged)</t>
  </si>
  <si>
    <t xml:space="preserve">Bright vibrant opening (hot); crisp malic clarity; mellowed gracefully at cool with no dominant note; pandan as background aromatic binder; well-balanced; no bitterness; genuinely pleasant surprise for non-core-palate origin</t>
  </si>
  <si>
    <t xml:space="preserve">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</si>
  <si>
    <t xml:space="preserve">Second visit to Apartment (Jalan Riang); Saturday 27 Jun 2026, 10:45am. Menu note: dried orange peel (menu) vs dried tangerine peel (origin card) — origin card used as authoritative. First Chinese-origin entry in archive (entry #36).</t>
  </si>
  <si>
    <t xml:space="preserve">Ethiopia Urabeast G1</t>
  </si>
  <si>
    <t xml:space="preserve">Uraga, Guji, Ethiopia</t>
  </si>
  <si>
    <t xml:space="preserve">74110 / 74112</t>
  </si>
  <si>
    <t xml:space="preserve">Mosto Fermentation</t>
  </si>
  <si>
    <t xml:space="preserve">88 → 70</t>
  </si>
  <si>
    <t xml:space="preserve">Winey; Raspberry; Purple grapes</t>
  </si>
  <si>
    <t xml:space="preserve">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</si>
  <si>
    <t xml:space="preserve">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</si>
  <si>
    <t xml:space="preserve">Solo visit — 28 Jun 2026, 10:30AM. Keryi return visit (Entry #31 ref: Colombia Finca La Esmaralda). First mosto fermentation process in archive.</t>
  </si>
  <si>
    <t xml:space="preserve">Field audit (Claude) — direct barista confirmation</t>
  </si>
  <si>
    <t xml:space="preserve">Yellow Sudan Rume</t>
  </si>
  <si>
    <t xml:space="preserve">Felipe Arcila - Jardines Del Eden</t>
  </si>
  <si>
    <t xml:space="preserve">Pijiao, Quindío, Colombia</t>
  </si>
  <si>
    <t xml:space="preserve">Sudan Rume (Yellow)</t>
  </si>
  <si>
    <t xml:space="preserve">Extended Fermentation Natural (EF2)</t>
  </si>
  <si>
    <t xml:space="preserve">April Brewer (Flat-Bottom)</t>
  </si>
  <si>
    <t xml:space="preserve">110g (first pour) → 240g (second pour)</t>
  </si>
  <si>
    <t xml:space="preserve">Lemongrass, Vanilla, Red Fruits, Brown Sugar</t>
  </si>
  <si>
    <t xml:space="preserve">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</si>
  <si>
    <t xml:space="preserve">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</si>
  <si>
    <t xml:space="preserve">Solo visit — 28 Jun 2026, 11:06AM. Second stop of dual-session day (Entry #37 Keryi Coffee mosto fermentation same morning). Receipt SGD 14.00 confirmed.</t>
  </si>
  <si>
    <t xml:space="preserve">Field audit (Claude) — bean card + receipt + hardware photos</t>
  </si>
  <si>
    <t xml:space="preserve">2050 Coffee</t>
  </si>
  <si>
    <t xml:space="preserve">Myanmar Arakan Mountain</t>
  </si>
  <si>
    <t xml:space="preserve">Asho Chin Coffee Association</t>
  </si>
  <si>
    <t xml:space="preserve">Magway, Myanmar</t>
  </si>
  <si>
    <t xml:space="preserve">Catimor</t>
  </si>
  <si>
    <t xml:space="preserve">Fully Washed &amp; Honey</t>
  </si>
  <si>
    <t xml:space="preserve">Automated Tap Dispenser (Filter)</t>
  </si>
  <si>
    <t xml:space="preserve">N/A — batch-dispensed, no per-cup brew event</t>
  </si>
  <si>
    <t xml:space="preserve">Yellow Pear, Dried Fruits, Brown Sugar, Almond</t>
  </si>
  <si>
    <t xml:space="preserve">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</si>
  <si>
    <t xml:space="preserve">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</si>
  <si>
    <t xml:space="preserve">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</si>
  <si>
    <t xml:space="preserve">267 Beach Rd, #01-01, Singapore 199545</t>
  </si>
  <si>
    <t xml:space="preserve">Ethiopia Worka Chelchele</t>
  </si>
  <si>
    <t xml:space="preserve">Kyūkei Coffee (In-house roast) — confirmed via Instagram DM</t>
  </si>
  <si>
    <t xml:space="preserve">Gedeb, Gedeo Zone, Ethiopia</t>
  </si>
  <si>
    <t xml:space="preserve">Dega, Wolisho, Kurume (Landrace Triad)</t>
  </si>
  <si>
    <t xml:space="preserve">Pour-over (Deep27, Flat-Bottom, Immersion-Assist) — confirmed by Kyūkei Coffee via Instagram DM</t>
  </si>
  <si>
    <t xml:space="preserve">85 → 95 (ramped)</t>
  </si>
  <si>
    <t xml:space="preserve">30 seconds</t>
  </si>
  <si>
    <t xml:space="preserve">Unknown — Kyūkei DM did not address grinder; tall cylindrical flat-burr unit visible in bar photo, model unconfirmed</t>
  </si>
  <si>
    <t xml:space="preserve">Lemon, Peach, Bergamot, Apricot</t>
  </si>
  <si>
    <t xml:space="preserve">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</si>
  <si>
    <t xml:space="preserve">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</si>
  <si>
    <t xml:space="preserve">Solo visit — Kyūkei Coffee Maxwell lunch audit, 01 Jul 2026, 13:04</t>
  </si>
  <si>
    <t xml:space="preserve">Direct observation + receipt + barista confirmation</t>
  </si>
  <si>
    <t xml:space="preserve">Finca Villarazo — Pink Bourbon</t>
  </si>
  <si>
    <t xml:space="preserve">Finca Villarazo</t>
  </si>
  <si>
    <t xml:space="preserve">Pink Bourbon</t>
  </si>
  <si>
    <t xml:space="preserve">Pour-over (Orea V4 — Flat-Bottom)</t>
  </si>
  <si>
    <t xml:space="preserve">92 (constant)</t>
  </si>
  <si>
    <t xml:space="preserve">50g / 40s (1:3.3 bloom ratio)</t>
  </si>
  <si>
    <t xml:space="preserve">DF83V (83mm Flat Burr)</t>
  </si>
  <si>
    <t xml:space="preserve">Lively and juicy; Pomegranate; Mandarin; Lingering Florals</t>
  </si>
  <si>
    <t xml:space="preserve">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</si>
  <si>
    <t xml:space="preserve">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</si>
  <si>
    <t xml:space="preserve">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</si>
  <si>
    <t xml:space="preserve">Field audit (Claude) — bean card + barista confirmation</t>
  </si>
  <si>
    <t xml:space="preserve">Oaks Coffee Co.</t>
  </si>
  <si>
    <t xml:space="preserve">Floripondio 90 Hours</t>
  </si>
  <si>
    <t xml:space="preserve">Los Rodriguez</t>
  </si>
  <si>
    <t xml:space="preserve">Bolivia</t>
  </si>
  <si>
    <t xml:space="preserve">Lactic Honey</t>
  </si>
  <si>
    <t xml:space="preserve">Origami Dripper (Flat-Bottom)</t>
  </si>
  <si>
    <t xml:space="preserve">88 (constant)</t>
  </si>
  <si>
    <t xml:space="preserve">80-90g first pour (3-pour protocol)</t>
  </si>
  <si>
    <t xml:space="preserve">Option-O Lagom P80 (80mm Flat Burr)</t>
  </si>
  <si>
    <t xml:space="preserve">Mango; Passionfruit</t>
  </si>
  <si>
    <t xml:space="preserve">Hot phase: mango and passionfruit dominant — bright punchy LAB ester burst. Mid-cool: tropicals recede, sugar clarity emerges, lactic-glycerol creaminess surfaces. Cool phase: clean nectarine emergence — Pacamara varietal-native genetic signature. Clean honey sweetness, thermally stable finish. Bright, fruity, well-structured throughout. Highly enjoyable.</t>
  </si>
  <si>
    <t xml:space="preserve">P80 80mm flat burrs delivered near-unimodal distribution on Pacamara's oversized bean mass; 88°C constant temperature preserved LAB-derived fruit esters and lactic-glycerol creaminess from 90-hour fermentation without volatilising into sharpness; Origami flat-bottom zero-bypass architecture protected aromatic integrity across all three thermal phases.</t>
  </si>
  <si>
    <t xml:space="preserve">Solo visit — Oaks Coffee Co., Bukit Timah Road, 4 Jul 2026, 16:00. Café Day 4 of operations. Milestones: First Bolivia, First Pacamara, First Lactic Honey, First P80 platform. Barista warm and knowledgeable.</t>
  </si>
  <si>
    <t xml:space="preserve">Direct observation + bean card photo + barista confirmation</t>
  </si>
  <si>
    <t xml:space="preserve">223 Upper Thomson Rd, Singapore 574355</t>
  </si>
  <si>
    <t xml:space="preserve">Homeground Coffee Roasters</t>
  </si>
  <si>
    <t xml:space="preserve">Colombia Inmaculada Gesha Natural</t>
  </si>
  <si>
    <t xml:space="preserve">Inmaculada Estate</t>
  </si>
  <si>
    <t xml:space="preserve">Valle del Cauca, Colombia</t>
  </si>
  <si>
    <t xml:space="preserve">Origami Dripper (Ceramic — Flat-Bottom Stand)</t>
  </si>
  <si>
    <t xml:space="preserve">86-90</t>
  </si>
  <si>
    <t xml:space="preserve">Hibiscus, Pomegranate, Stewed Peach, Darjeeling Tea</t>
  </si>
  <si>
    <t xml:space="preserve">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</si>
  <si>
    <t xml:space="preserve">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</si>
  <si>
    <t xml:space="preserve">Father-daughter visit — Homeground Coffee Roasters Bukit Timah Experience Room; 5 Jul 2026 10:30 AM</t>
  </si>
  <si>
    <t xml:space="preserve">Field audit (Claude) — bean card + barista confirmed + direct observation</t>
  </si>
  <si>
    <t xml:space="preserve">911 Bukit Timah Rd, Singapore 589622</t>
  </si>
  <si>
    <t xml:space="preserve">Bolivia Los Rodriguez Caturra Washed</t>
  </si>
  <si>
    <t xml:space="preserve">Samaipata, Bolivia</t>
  </si>
  <si>
    <t xml:space="preserve">Caturra</t>
  </si>
  <si>
    <t xml:space="preserve">1:16.2</t>
  </si>
  <si>
    <t xml:space="preserve">90-93</t>
  </si>
  <si>
    <t xml:space="preserve">Apricot, Apple, Honey</t>
  </si>
  <si>
    <t xml:space="preserve">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</si>
  <si>
    <t xml:space="preserve">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</si>
  <si>
    <t xml:space="preserve">Father-daughter visit — Homeground Coffee Roasters Bukit Timah Experience Room; 5 Jul 2026 10:30 AM; Aanya's cup</t>
  </si>
  <si>
    <t xml:space="preserve">Field audit (Claude) — bean card confirmed + direct observation</t>
  </si>
  <si>
    <t xml:space="preserve">Cowpresso Coffee Roasters</t>
  </si>
  <si>
    <t xml:space="preserve">Geisha Colombia Las Nubes</t>
  </si>
  <si>
    <t xml:space="preserve">Valle de Cauca, Colombia</t>
  </si>
  <si>
    <t xml:space="preserve">Pour-over (Cowpresso Custom 3-Hole Ceramic Dripper — Conical)</t>
  </si>
  <si>
    <t xml:space="preserve">DF83 (83mm Flat Burr) — barista confirmed</t>
  </si>
  <si>
    <t xml:space="preserve">Lychee, Strawberry, Blueberry, Floral, Lemons</t>
  </si>
  <si>
    <t xml:space="preserve">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</si>
  <si>
    <t xml:space="preserve">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</si>
  <si>
    <t xml:space="preserve">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</si>
  <si>
    <t xml:space="preserve">Direct observation + bean bag photo + receipt + barista confirmation (Aung)</t>
  </si>
  <si>
    <t xml:space="preserve">21 Lor Kilat, #01-07, Singapore 598123</t>
  </si>
  <si>
    <t xml:space="preserve">Alo Coffee — Natural Anaerobic Ethiopia 74158</t>
  </si>
  <si>
    <t xml:space="preserve">Tamiru Tadesse</t>
  </si>
  <si>
    <t xml:space="preserve">74158</t>
  </si>
  <si>
    <t xml:space="preserve">Hario Switch (Flat-Bottom Immersion Hybrid)</t>
  </si>
  <si>
    <t xml:space="preserve">70 → 90 → 70°C (Thermal Oscillation Protocol)</t>
  </si>
  <si>
    <t xml:space="preserve">Lagom P64</t>
  </si>
  <si>
    <t xml:space="preserve">Lychee | Purple Grape | White Peach</t>
  </si>
  <si>
    <t xml:space="preserve">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</si>
  <si>
    <t xml:space="preserve">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</si>
  <si>
    <t xml:space="preserve">Third visit to Fluid Collective, 6 July 2026, 13:10, lunch. Menu fully rotated — all three filter offerings new. First cup of two ordered today. Experimental mood — chose anaerobic. Barista confirmed: ratio 1:15, temp 70→90→70°C, standard Fluid protocol.</t>
  </si>
  <si>
    <t xml:space="preserve">Live Field Audit — Third Visit</t>
  </si>
  <si>
    <t xml:space="preserve">Gara Agena</t>
  </si>
  <si>
    <t xml:space="preserve">Gara Agena Washing Station</t>
  </si>
  <si>
    <t xml:space="preserve">Heirloom Ethiopian Varieties</t>
  </si>
  <si>
    <t xml:space="preserve">Washed Special Prep</t>
  </si>
  <si>
    <t xml:space="preserve">Nectarine | Mandarin Orange | Floral Honey</t>
  </si>
  <si>
    <t xml:space="preserve">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</si>
  <si>
    <t xml:space="preserve">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</si>
  <si>
    <t xml:space="preserve">Second cup of two at Fluid Collective third visit, 6 July 2026. Followed Alo Coffee Natural Anaerobic — deliberate contrast pairing. Gara Agena placed top of personal preference list by Hari. SGD 9 — outstanding value for Special Prep Ethiopian heirloom.</t>
  </si>
  <si>
    <t xml:space="preserve">Pinhole Coffee Bar</t>
  </si>
  <si>
    <t xml:space="preserve">Santa Barbara #1 — Gesha Honey Colombia</t>
  </si>
  <si>
    <t xml:space="preserve">Jhon Samboni — Santa Barbara #1</t>
  </si>
  <si>
    <t xml:space="preserve">Colombia — Huila</t>
  </si>
  <si>
    <t xml:space="preserve">Hario V60 Ceramic (Conical — Single Aperture)</t>
  </si>
  <si>
    <t xml:space="preserve">1:14.8</t>
  </si>
  <si>
    <t xml:space="preserve">92°C (Constant)</t>
  </si>
  <si>
    <t xml:space="preserve">52g (3.85× dose)</t>
  </si>
  <si>
    <t xml:space="preserve">Mahlkönig EK43 Mini (64mm Flat Burr)</t>
  </si>
  <si>
    <t xml:space="preserve">White Florals, Berry Candy, Tangerines</t>
  </si>
  <si>
    <t xml:space="preserve">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</si>
  <si>
    <t xml:space="preserve">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</si>
  <si>
    <t xml:space="preserve">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</si>
  <si>
    <t xml:space="preserve">Live Field Audit — Café Debut + Bean Card (Slurp Coffee Project) + Barista Confirmation (dose/temp/pour protocol)</t>
  </si>
  <si>
    <t xml:space="preserve">27 Purvis St, #01-02, Singapore 188604</t>
  </si>
  <si>
    <t xml:space="preserve">Double Shot Coffee</t>
  </si>
  <si>
    <t xml:space="preserve">Kotowa Carolina Gesha</t>
  </si>
  <si>
    <t xml:space="preserve">Kotowa Estate — Carolina Lot</t>
  </si>
  <si>
    <t xml:space="preserve">Boquete, Chiriquí, Panama</t>
  </si>
  <si>
    <t xml:space="preserve">OREA V4 (Flat-Bottom)</t>
  </si>
  <si>
    <t xml:space="preserve">1:13.3</t>
  </si>
  <si>
    <t xml:space="preserve">92°C</t>
  </si>
  <si>
    <t xml:space="preserve">50g bloom (4-pour: 50/50/50/30g)</t>
  </si>
  <si>
    <t xml:space="preserve">Ditting 63.5mm Flat Burr</t>
  </si>
  <si>
    <t xml:space="preserve">White Floral · Peach · White Grape</t>
  </si>
  <si>
    <t xml:space="preserve">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</si>
  <si>
    <t xml:space="preserve">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</si>
  <si>
    <t xml:space="preserve">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</si>
  <si>
    <t xml:space="preserve">Live Field Audit — Menu photo + barista interview + direct observation (Ditting grinder confirmed, OREA V4 confirmed)</t>
  </si>
  <si>
    <t xml:space="preserve">19 Kampong Bahru Rd, L1, Singapore 169348</t>
  </si>
  <si>
    <t xml:space="preserve">La Flor de la Palma</t>
  </si>
  <si>
    <t xml:space="preserve">William Manchay Espinoza</t>
  </si>
  <si>
    <t xml:space="preserve">Peru</t>
  </si>
  <si>
    <t xml:space="preserve">Bourbon</t>
  </si>
  <si>
    <t xml:space="preserve">Dried Berry; Cherry; Rum &amp; Raisin; Rose</t>
  </si>
  <si>
    <t xml:space="preserve">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</si>
  <si>
    <t xml:space="preserve">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</si>
  <si>
    <t xml:space="preserve">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</si>
  <si>
    <t xml:space="preserve">Direct observation + bag photo (name/notes reference only) + barista confirmation (roast date 26 Jun 2026)</t>
  </si>
  <si>
    <t xml:space="preserve">Abseil</t>
  </si>
  <si>
    <t xml:space="preserve">El Sauce Gesha</t>
  </si>
  <si>
    <t xml:space="preserve">El Sauce Farm</t>
  </si>
  <si>
    <t xml:space="preserve">CT62 Coffee Dripper (Taster's Coffee / DragonFly Design, Taiwan — Engineered Conical, 62° Cone, 24-Groove Active Flow Compensation)</t>
  </si>
  <si>
    <t xml:space="preserve">1:15.5</t>
  </si>
  <si>
    <t xml:space="preserve">91°C (Constant throughout)</t>
  </si>
  <si>
    <t xml:space="preserve">80g (~5.3× dose) — Aggressive CO₂ purge bloom</t>
  </si>
  <si>
    <t xml:space="preserve">Gardenia · Mandarin · Dried Apricot · Green Tea · Honeysuckle</t>
  </si>
  <si>
    <t xml:space="preserve">HOT: Honeysuckle and honey immediate — linalool terpenes fully volatilised from aggressive 80g bloom; bright floral clean opening. MID-COOL: Very sugary mid-palate; mandarin orange in background; honey clearly detectable; sucrose dominant as volatile top notes subside — very sweet and clean. COOL: Tea-like and beautifully balanced; mandarin mellowed to background; clean lingering sweetness with zero bitterness — CT62 anti-over-extraction engineering confirmed across all three phases. Overall: elegant, restrained washed Gesha. Upper-tier entry. SGD $21 is steep but the bean quality justifies it. Would return.</t>
  </si>
  <si>
    <t xml:space="preserve">Option-O Lagom P64 64mm flat burrs (narrow particle size distribution, minimal fines) combined with CT62's 24-groove active flow compensation system (12 long + 12 short grooves) eliminated standard conical over-extraction risk entirely — the CT62 is a conical in geometry only; its engineered groove architecture regulates flow rate at both high and low water levels, producing extraction consistency comparable to flat-bottom geometry. Aggressive 80g bloom at constant 91°C front-loaded complete linalool terpene dissolution, delivering honeysuckle immediately in the hot phase. Conservative 91°C throughout suppressed chlorogenic acid extraction — confirmed by zero phenolic shadow at cool phase. CT62 won 2023 German Design Award and 2023 China and Korea Brewers Cup. First CT62 entry in archive — classified as Engineered Conical (flow-compensated), distinct from standard V60 conical entries.</t>
  </si>
  <si>
    <t xml:space="preserve">Solo visit — Abseil café debut, 09 Jul 2026. Barista Glenda — exceptional engagement, long technical conversation, outstanding hospitality. Rated Joint #1 for barista friendliness alongside Aqil at Zerah Roasters — the two finest barista interactions in the archive. CT62 dripper identity confirmed by Glenda + product screenshot (tasterscoffee.com). Glenda explained bloom logic, confirmed 1:15.5 ratio, and noted El Sauce Gesha has won awards in recent years. Extensive filter menu (4+ Gesha options) and competition-grade hardware setup noted — one of the finest specialty filter setups encountered across all 33 archive cafés. Would return without hesitation. Finca Jurutungo Panama Gesha (SGD $28, Anaerobic Natural) flagged as next priority on return visit.</t>
  </si>
  <si>
    <t xml:space="preserve">Live Field Audit — menu photo + equipment photos + barista confirmation (Glenda) + CT62 product research (tasterscoffee.com)</t>
  </si>
  <si>
    <t xml:space="preserve">70 Shenton Way, #01-14 Eon Shenton, Singapore 079118</t>
  </si>
  <si>
    <t xml:space="preserve">Finca El Diviso</t>
  </si>
  <si>
    <t xml:space="preserve">Nestor Lasso</t>
  </si>
  <si>
    <t xml:space="preserve">Aji Bourbon</t>
  </si>
  <si>
    <t xml:space="preserve">Thermal Shock Anaerobic Natural</t>
  </si>
  <si>
    <t xml:space="preserve">Option-O Lagom P80 (80mm Flat Burr — assumed)</t>
  </si>
  <si>
    <t xml:space="preserve">Lychee; Blueberry Jam; Cranberry</t>
  </si>
  <si>
    <t xml:space="preserve">Hot phase: punchy lychee and berry dominant — high-intensity bright acidity, strong entry. Mid-cool to cool: fruit character sustained across all phases without evolution — Thermal Shock ester concentration too embedded to dissipate thermally. Strong persistent aftertaste from cranberry anthocyanin compounds. Interesting but not a repeat — process-forward intensity beyond personal palate threshold.</t>
  </si>
  <si>
    <t xml:space="preserve">Thermal Shock Anaerobic Natural at 1960 MASL produced extreme ester and anthocyanin concentration (geraniol/nerol lychee monoterpenes; berry anthocyanins) — fermentation signature dominated all three thermal phases without evolution. Process-preference misalignment confirmed: clarity &gt; complexity hierarchy not served by this process. P80 flat-burr precision and Origami flat-bottom geometry could not temper inherent process intensity.</t>
  </si>
  <si>
    <t xml:space="preserve">With friend Alex — Oaks Coffee Co., Bukit Timah Road, 10 Jul 2026, 16:30, before Homeground mock-judge session. Second Oaks visit. Milestones: First Thermal Shock Anaerobic Natural, First Aji Bourbon, First Finca El Diviso (Nestor Lasso).</t>
  </si>
  <si>
    <t xml:space="preserve">Pour.traits Roasters</t>
  </si>
  <si>
    <t xml:space="preserve">Thailand Sirinya Geisha Amarone</t>
  </si>
  <si>
    <t xml:space="preserve">Sirinya Farm</t>
  </si>
  <si>
    <t xml:space="preserve">Chiang Rai, Thailand</t>
  </si>
  <si>
    <t xml:space="preserve">Solo Dripper by Mazelab (Flat-Bottom, 40° angle, Wave 155 filter)</t>
  </si>
  <si>
    <t xml:space="preserve">92→75→92→75°C (alternating 4-pour)</t>
  </si>
  <si>
    <t xml:space="preserve">Rose, Plum, Mandarin Orange, Honey</t>
  </si>
  <si>
    <t xml:space="preserve">HOT: Bright citric front with vivid rose geraniol — aromatic and immediate; rose florals dominant and unmistakable. MID-COOL: Mandarin orange emerges cleanly as citric volatiles dissipate — Harry's signature malic acid marker arriving on schedule. Body noticeably full and structured — medium-strong tea weight, not the light tea elegance of washed Geisha expressions; fuller than any prior washed Geisha entry. COOL: Plum (not peach — darker malic stone fruit consistent with Anaerobic Natural fermentation profile shifting acid toward wine-adjacent fruit rather than bright nectarine); honey-type sweetness rounds the finish — sucrose ester retention from Natural process mucilage rather than fructose-type bright fruit sugar; slight bitterness present at cool phase but fades cleanly — likely residual CGA lactone from Natural process fermentation rather than hardware-derived; clean finish confirms it did not persist. Verdict: Moderately aggressive Geisha — varietal genetics clearly present but Anaerobic Natural process adds lipid body and fermentation weight absent from washed expressions. SGD $10 exceptional value for a Thailand Geisha. Archive firsts: first Thailand origin, first Thailand Geisha, first Nippy Coffee Roaster (Chiang Rai) entry. First Geisha roasted on Stronghold S7X smart electric roaster.</t>
  </si>
  <si>
    <t xml:space="preserve">Nippy Coffee Roaster (Chiang Rai, Thailand) — roasted on Stronghold S7X (electric smart roaster with programmable roast curves — high precision). 4-pour alternating temperature protocol (92→75→92→75°C) is a sophisticated extraction engineering choice: 92°C bloom releases CO₂ and extracts volatile geraniol/rose and linalool Geisha aromatics; 75°C cool pour suppresses CGA acid extraction preventing Anaerobic Natural acetic fermentation load from tipping into sourness; 92°C third pour extracts mid-range sucrose esters — honey and plum sweetness from Natural process mucilage; 75°C final pour completes volume while suppressing late-stage CGA lactone bitterness. Residual cool-phase bitterness (fades) consistent with V60 conical bypass fraction rather than process fault — flat-bottom geometry would likely eliminate entirely. EK43S 98mm flat burrs (S-variant: smaller footprint, same burr geometry as EK43) delivered clean floral terpene separation. 1:15 ratio at 15g/225g preserved full lipid body mass — correct choice for Anaerobic Natural's elevated polysaccharide and lipid content. Anaerobic Natural fermentation at Chiang Rai specifically produces elevated geraniol (rose), plum malic esters, and honey sucrose retention vs washed process which strips mucilage entirely.</t>
  </si>
  <si>
    <t xml:space="preserve">Solo post-gym visit — Pour.traits Roasters, Outram Park, Singapore. Saturday 11 July 2026, 13:30 SGT. Café relaxed and quiet at this hour — comfortable extended sit. Barista Elaine: exceptional engagement, warm, knowledgeable, and friendly. 2022 barista competition winner — now focused on training other baristas and travelling. Pre-session menu analysis conducted live with Claude (pre-gym morning). Guest bean board featured 20+ offerings from international roasters including Livid Coffee Roasters, flowerchild coffee, nippy coffee roaster, Shake Coffee, Glyph Supply Co and others — extremely rich rotating guest bean program. TUESDAY INTEL: Guest barista from Thailand visiting Pour.traits next Tuesday 15 July 2026, 10AM–2PM — bringing special Thai coffee lot, limited quantity with high sell-out risk. Arrive at 10AM to secure a cup. Serving vessel: bulbous pink ceramic cup (no handle) — concentrates aromatics. First café visit to Pour.traits Roasters.</t>
  </si>
  <si>
    <t xml:space="preserve">Live Field Audit — menu photos + bean card photo (Nippy Coffee Roaster bag) + barista confirmation (Elaine) + hardware observation</t>
  </si>
  <si>
    <t xml:space="preserve">2 Havelock Rd, #01-14, Singapore 059763</t>
  </si>
  <si>
    <t xml:space="preserve">☕  THE HARI COFFEE ARCHIVE  —  2026</t>
  </si>
  <si>
    <t xml:space="preserve">Master Extraction Archivist  ·  Singapore · Bali · Mumbai · Johor Bahru  ·  Field-audited, three-phase palate record</t>
  </si>
  <si>
    <t xml:space="preserve">  ARCHIVE VITALS  —  live formulas, auto-update with every new entry</t>
  </si>
  <si>
    <t xml:space="preserve">TOTAL ENTRIES</t>
  </si>
  <si>
    <t xml:space="preserve">UNIQUE CAFÉS</t>
  </si>
  <si>
    <t xml:space="preserve">CITIES</t>
  </si>
  <si>
    <t xml:space="preserve">ORIGINS</t>
  </si>
  <si>
    <t xml:space="preserve">⭐ GESHA CUPS</t>
  </si>
  <si>
    <t xml:space="preserve">VARIETALS</t>
  </si>
  <si>
    <t xml:space="preserve">AVG PRICE</t>
  </si>
  <si>
    <t xml:space="preserve">FIRST ENTRY</t>
  </si>
  <si>
    <t xml:space="preserve">LATEST ENTRY</t>
  </si>
  <si>
    <t xml:space="preserve">field-audited cups</t>
  </si>
  <si>
    <t xml:space="preserve">across 4 cities</t>
  </si>
  <si>
    <t xml:space="preserve">SG · Bali · Mumbai · JB</t>
  </si>
  <si>
    <t xml:space="preserve">origin countries</t>
  </si>
  <si>
    <t xml:space="preserve">12% of archive</t>
  </si>
  <si>
    <t xml:space="preserve">unique varieties logged</t>
  </si>
  <si>
    <t xml:space="preserve">SGD per cup</t>
  </si>
  <si>
    <t xml:space="preserve">archive opened</t>
  </si>
  <si>
    <t xml:space="preserve">most recent audit</t>
  </si>
  <si>
    <t xml:space="preserve">  ⭐  GESHA / GEISHA HALL OF FAME  —  The Apex Varietal  ·  All 13 archive cups</t>
  </si>
  <si>
    <t xml:space="preserve">  🏆  TOP CAFÉS BY VISITS  —  60 entries · 34 venues · 4 cities</t>
  </si>
  <si>
    <t xml:space="preserve">#</t>
  </si>
  <si>
    <t xml:space="preserve">Café</t>
  </si>
  <si>
    <t xml:space="preserve">Price</t>
  </si>
  <si>
    <t xml:space="preserve">Visits</t>
  </si>
  <si>
    <t xml:space="preserve">Avg SGD</t>
  </si>
  <si>
    <t xml:space="preserve">Note</t>
  </si>
  <si>
    <t xml:space="preserve">Peru · Cajamarca</t>
  </si>
  <si>
    <t xml:space="preserve">S$11.00</t>
  </si>
  <si>
    <t xml:space="preserve">S$7.83</t>
  </si>
  <si>
    <t xml:space="preserve">⭐ Reliability anchor</t>
  </si>
  <si>
    <t xml:space="preserve">Panama · Boquerón</t>
  </si>
  <si>
    <t xml:space="preserve">S$12.00</t>
  </si>
  <si>
    <t xml:space="preserve">S$12.50</t>
  </si>
  <si>
    <t xml:space="preserve">2 Gesha entries</t>
  </si>
  <si>
    <t xml:space="preserve">Peru · Jaén</t>
  </si>
  <si>
    <t xml:space="preserve">S$11.33</t>
  </si>
  <si>
    <t xml:space="preserve">🏆 Cup of the Year</t>
  </si>
  <si>
    <t xml:space="preserve">Colombia · Huila</t>
  </si>
  <si>
    <t xml:space="preserve">S$14.00</t>
  </si>
  <si>
    <t xml:space="preserve">—</t>
  </si>
  <si>
    <t xml:space="preserve">Archive origin chapter</t>
  </si>
  <si>
    <t xml:space="preserve">Ecuador · Loja</t>
  </si>
  <si>
    <t xml:space="preserve">S$18.00</t>
  </si>
  <si>
    <t xml:space="preserve">S$8.67</t>
  </si>
  <si>
    <t xml:space="preserve">Keryi Coffee</t>
  </si>
  <si>
    <t xml:space="preserve">S$15.00</t>
  </si>
  <si>
    <t xml:space="preserve">S$13.00</t>
  </si>
  <si>
    <t xml:space="preserve">S$10.50</t>
  </si>
  <si>
    <t xml:space="preserve">Top barista: Aqil #1</t>
  </si>
  <si>
    <t xml:space="preserve">Colombia · Valle</t>
  </si>
  <si>
    <t xml:space="preserve">S$19.00</t>
  </si>
  <si>
    <t xml:space="preserve">S$14.50</t>
  </si>
  <si>
    <t xml:space="preserve">1 Gesha entry</t>
  </si>
  <si>
    <t xml:space="preserve">S$9.90</t>
  </si>
  <si>
    <t xml:space="preserve">S$9.00</t>
  </si>
  <si>
    <t xml:space="preserve">Panama · Boquete</t>
  </si>
  <si>
    <t xml:space="preserve">S$16.00</t>
  </si>
  <si>
    <t xml:space="preserve">S$21.00</t>
  </si>
  <si>
    <t xml:space="preserve">20% of 60 cups are Gesha/Geisha — the archive's apex varietal. Avg Gesha price S$14.38 vs non-Gesha S$9.59 (+53% premium). Colombia Gesha Process Trilogy ✅ complete: Washed (Fluid), Honey (Keryi+Pinhole), Natural (Homeground+Cowpresso).</t>
  </si>
  <si>
    <t xml:space="preserve">  🍯  PALATE PROCESS FINGERPRINT  —  41% washed dominance signals Clarity &gt; Complexity</t>
  </si>
  <si>
    <t xml:space="preserve">  🌍  ORIGIN INTELLIGENCE  —  18 origins · Colombia leads at 30%</t>
  </si>
  <si>
    <t xml:space="preserve">Cups</t>
  </si>
  <si>
    <t xml:space="preserve">% Archive</t>
  </si>
  <si>
    <t xml:space="preserve">Palate Signal</t>
  </si>
  <si>
    <t xml:space="preserve">Affinity</t>
  </si>
  <si>
    <t xml:space="preserve">Entries</t>
  </si>
  <si>
    <t xml:space="preserve">Gesha?</t>
  </si>
  <si>
    <t xml:space="preserve">Palate fit</t>
  </si>
  <si>
    <t xml:space="preserve">41%</t>
  </si>
  <si>
    <t xml:space="preserve">Malic acid clarity · jasmine lift · clean finish</t>
  </si>
  <si>
    <t xml:space="preserve">★★★★★</t>
  </si>
  <si>
    <t xml:space="preserve">30%</t>
  </si>
  <si>
    <t xml:space="preserve">⭐ ×6</t>
  </si>
  <si>
    <t xml:space="preserve">HIGHEST — malic clarity + Gesha depth</t>
  </si>
  <si>
    <t xml:space="preserve">24%</t>
  </si>
  <si>
    <t xml:space="preserve">Stone fruit · berry complexity · terroir expression</t>
  </si>
  <si>
    <t xml:space="preserve">★★★★</t>
  </si>
  <si>
    <t xml:space="preserve">13%</t>
  </si>
  <si>
    <t xml:space="preserve">HIGH — linalool florals · heirloom terroir</t>
  </si>
  <si>
    <t xml:space="preserve">9%</t>
  </si>
  <si>
    <t xml:space="preserve">Mucilage sweetness bridge · ketone fruit layer</t>
  </si>
  <si>
    <t xml:space="preserve">MED — body + sweetness baseline</t>
  </si>
  <si>
    <t xml:space="preserve">Controlled funk · ester complexity · tropical edge</t>
  </si>
  <si>
    <t xml:space="preserve">★★★</t>
  </si>
  <si>
    <t xml:space="preserve">Indonesia</t>
  </si>
  <si>
    <t xml:space="preserve">7%</t>
  </si>
  <si>
    <t xml:space="preserve">MED — wet-hulled texture study</t>
  </si>
  <si>
    <t xml:space="preserve">Experimental Ferment</t>
  </si>
  <si>
    <t xml:space="preserve">6%</t>
  </si>
  <si>
    <t xml:space="preserve">Edge cases: yeast, mosto, co-ferment</t>
  </si>
  <si>
    <t xml:space="preserve">★★ Exploratory</t>
  </si>
  <si>
    <t xml:space="preserve">⭐ ×1</t>
  </si>
  <si>
    <t xml:space="preserve">MED-HIGH — malic stone fruit</t>
  </si>
  <si>
    <t xml:space="preserve">Wet-Hulled (Giling)</t>
  </si>
  <si>
    <t xml:space="preserve">2%</t>
  </si>
  <si>
    <t xml:space="preserve">Earthy · Indonesian terroir · syrupy body</t>
  </si>
  <si>
    <t xml:space="preserve">★</t>
  </si>
  <si>
    <t xml:space="preserve">⭐ ×2</t>
  </si>
  <si>
    <t xml:space="preserve">HIGH — washed Gesha clarity</t>
  </si>
  <si>
    <t xml:space="preserve">Thermal Shock Anaerobic</t>
  </si>
  <si>
    <t xml:space="preserve">Extreme ester intensity — palate ceiling confirmed</t>
  </si>
  <si>
    <t xml:space="preserve">★ (boundary)</t>
  </si>
  <si>
    <t xml:space="preserve">4%</t>
  </si>
  <si>
    <t xml:space="preserve">HIGH — phosphoric acid · blackcurrant</t>
  </si>
  <si>
    <t xml:space="preserve">Soft lactic creaminess · glycerol body · tropical arc</t>
  </si>
  <si>
    <t xml:space="preserve">Panama</t>
  </si>
  <si>
    <t xml:space="preserve">HIGHEST — Gesha heartland</t>
  </si>
  <si>
    <t xml:space="preserve">Ecuador</t>
  </si>
  <si>
    <t xml:space="preserve">HIGHEST — #1 palate DNA fit (Loja Gesha)</t>
  </si>
  <si>
    <t xml:space="preserve">3%</t>
  </si>
  <si>
    <t xml:space="preserve">HIGH — lactic honey + Pacamara clarity</t>
  </si>
  <si>
    <t xml:space="preserve">  ⚖️  BREW RATIO INTELLIGENCE  —  1:15–1:17 Palate DNA Band  ·  Avg ratio 1:15.7</t>
  </si>
  <si>
    <t xml:space="preserve">  🏅  ARCHIVE HONOURS BOARD  —  Season 2026</t>
  </si>
  <si>
    <t xml:space="preserve">Ratio Band</t>
  </si>
  <si>
    <t xml:space="preserve">In Band?</t>
  </si>
  <si>
    <t xml:space="preserve">Chemistry Note</t>
  </si>
  <si>
    <t xml:space="preserve">Honour</t>
  </si>
  <si>
    <t xml:space="preserve">Holder</t>
  </si>
  <si>
    <t xml:space="preserve">Detail</t>
  </si>
  <si>
    <t xml:space="preserve">&lt;1:13</t>
  </si>
  <si>
    <t xml:space="preserve">1</t>
  </si>
  <si>
    <t xml:space="preserve">⚠️ Edge</t>
  </si>
  <si>
    <t xml:space="preserve">Espresso-style concentrations — not filter</t>
  </si>
  <si>
    <t xml:space="preserve">Fluid Collective — El Obraje Washed Gesha</t>
  </si>
  <si>
    <t xml:space="preserve">S$14 · Colombia · linalool apex · best Gesha in archive</t>
  </si>
  <si>
    <t xml:space="preserve">1:13–1:14</t>
  </si>
  <si>
    <t xml:space="preserve">⚠️ Dense</t>
  </si>
  <si>
    <t xml:space="preserve">Polyphenolic bitterness at cool phase (Entry #055 Double Shot)</t>
  </si>
  <si>
    <t xml:space="preserve">👤 Barista #1 (joint)</t>
  </si>
  <si>
    <t xml:space="preserve">Aqil — Zerah Roasters</t>
  </si>
  <si>
    <t xml:space="preserve">Most knowledgeable &amp; warmest barista engagement</t>
  </si>
  <si>
    <t xml:space="preserve">1:14–1:15</t>
  </si>
  <si>
    <t xml:space="preserve">7</t>
  </si>
  <si>
    <t xml:space="preserve">Compressed aromatic headspace — sucrose underdeveloped vs acid</t>
  </si>
  <si>
    <t xml:space="preserve">Glenda — Abseil</t>
  </si>
  <si>
    <t xml:space="preserve">Technical depth + exceptional hospitality</t>
  </si>
  <si>
    <t xml:space="preserve">1:15–1:17 ✅</t>
  </si>
  <si>
    <t xml:space="preserve">34</t>
  </si>
  <si>
    <t xml:space="preserve">✅ OPTIMAL</t>
  </si>
  <si>
    <t xml:space="preserve">Core extraction philosophy — 58% of logged entries</t>
  </si>
  <si>
    <t xml:space="preserve">📍 Best Discovery</t>
  </si>
  <si>
    <t xml:space="preserve">Oaks Coffee Co. (Day 4 of opening)</t>
  </si>
  <si>
    <t xml:space="preserve">Bolivia Pacamara Lactic Honey · S$9 · 5 archive firsts</t>
  </si>
  <si>
    <t xml:space="preserve">&gt;1:17</t>
  </si>
  <si>
    <t xml:space="preserve">0</t>
  </si>
  <si>
    <t xml:space="preserve">Dilutes acid structure — CGA lactone risk on Naturals</t>
  </si>
  <si>
    <t xml:space="preserve">🧫 Best Process Arc</t>
  </si>
  <si>
    <t xml:space="preserve">Floripondio 90 Hours — Oaks Coffee Co.</t>
  </si>
  <si>
    <t xml:space="preserve">Mango → sugar clarity → nectarine · 3-act thermal arc</t>
  </si>
  <si>
    <t xml:space="preserve">16</t>
  </si>
  <si>
    <t xml:space="preserve">Early entries pre-hardware protocol</t>
  </si>
  <si>
    <t xml:space="preserve">⚗️ Process Trilogy ✅</t>
  </si>
  <si>
    <t xml:space="preserve">Colombia Gesha — Washed/Honey/Natural</t>
  </si>
  <si>
    <t xml:space="preserve">Fluid · Keryi+Pinhole · Homeground+Cowpresso</t>
  </si>
  <si>
    <t xml:space="preserve">🔬 Best Hardware Setup</t>
  </si>
  <si>
    <t xml:space="preserve">Abseil — P64 + CT62</t>
  </si>
  <si>
    <t xml:space="preserve">CT62 engineered conical — 2023 German Design Award</t>
  </si>
  <si>
    <t xml:space="preserve">💰 Best Value</t>
  </si>
  <si>
    <t xml:space="preserve">Gara Agena — Fluid Collective</t>
  </si>
  <si>
    <t xml:space="preserve">S$9 · Special Prep Ethiopian Washed · Hari's #1 list</t>
  </si>
  <si>
    <t xml:space="preserve">⚠️ Palate Boundary</t>
  </si>
  <si>
    <t xml:space="preserve">Finca El Diviso — Oaks Coffee Co.</t>
  </si>
  <si>
    <t xml:space="preserve">Thermal Shock Anaerobic — intensity ceiling confirmed</t>
  </si>
  <si>
    <t xml:space="preserve">  📖  THE ARCHIVE THESIS</t>
  </si>
  <si>
    <t xml:space="preserve">CLARITY OVER COMPLEXITY. Fifty-nine cups. Thirty-three cafés. Four cities. One palate decoded across three thermal phases per cup. 41% of all entries are Washed process — the highest-clarity, lowest-interference processing method available. The palate responds strongest to malic acid (stone fruit, nectarine, mandarin orange) and linalool esters (jasmine, bergamot, honeysuckle). Gesha/Geisha accounts for 20% of all cups and commands a 53% price premium over non-Gesha — both paid willingly and without regret. Flat-bottom geometry is the preferred brewer architecture; the P64 and P80 flat burr platforms are the extraction engines of choice. The archive is not a random tasting record. It is a calibrated instrument — a longitudinal study of a single palate in pursuit of clarity.</t>
  </si>
  <si>
    <t xml:space="preserve">🧬  PALATE DNA FINGERPRINT</t>
  </si>
  <si>
    <t xml:space="preserve">What 59 cups reveal about one palate — malic acid · linalool · flat-bottom geometry · washed clarity</t>
  </si>
  <si>
    <t xml:space="preserve">  📖  THE PALATE THESIS</t>
  </si>
  <si>
    <t xml:space="preserve">CLARITY OVER COMPLEXITY. Across 59 cups and 7 months, one pattern dominates: 41% of all entries are Washed process. The palate responds strongest to malic acid (stone fruit, nectarine) and linalool esters (jasmine, bergamot). Gesha/Geisha accounts for 20% of all cups — the apex varietal ordered with deliberate frequency. Flat-bottom geometry outperforms conical in 100% of documented side-by-side comparisons. The 1:15–1:17 ratio band covers 58% of all logged extractions. The archive is not a random tasting record. It is a calibrated instrument.</t>
  </si>
  <si>
    <t xml:space="preserve">  🍯  PROCESS PREFERENCE SPECTRUM  —  Clarity dominates across 59 entries</t>
  </si>
  <si>
    <t xml:space="preserve">  🌡️  TEMPERATURE PROTOCOLS  —  88–93°C sweet spot</t>
  </si>
  <si>
    <t xml:space="preserve">%</t>
  </si>
  <si>
    <t xml:space="preserve">Protocol</t>
  </si>
  <si>
    <t xml:space="preserve">Context</t>
  </si>
  <si>
    <t xml:space="preserve">22</t>
  </si>
  <si>
    <t xml:space="preserve">Malic acid clarity · jasmine lift · clean thermal arcs</t>
  </si>
  <si>
    <t xml:space="preserve">★★★★★ Primary</t>
  </si>
  <si>
    <t xml:space="preserve">85–89°C</t>
  </si>
  <si>
    <t xml:space="preserve">Delicate / Nordic style — Abseil 88°C constant for LAB ester preservation</t>
  </si>
  <si>
    <t xml:space="preserve">12</t>
  </si>
  <si>
    <t xml:space="preserve">Stone fruit · berry complexity · terroir depth</t>
  </si>
  <si>
    <t xml:space="preserve">★★★★ Secondary</t>
  </si>
  <si>
    <t xml:space="preserve">90–91°C</t>
  </si>
  <si>
    <t xml:space="preserve">9</t>
  </si>
  <si>
    <t xml:space="preserve">Clean balanced extraction — Keryi descending protocol</t>
  </si>
  <si>
    <t xml:space="preserve">4</t>
  </si>
  <si>
    <t xml:space="preserve">★★★★ Bridge</t>
  </si>
  <si>
    <t xml:space="preserve">92–94°C ⭐</t>
  </si>
  <si>
    <t xml:space="preserve">Sweet spot — dominant single-temp protocol in Singapore cafés</t>
  </si>
  <si>
    <t xml:space="preserve">Controlled funk · ester complexity · tropical esters</t>
  </si>
  <si>
    <t xml:space="preserve">★★★ Experimental</t>
  </si>
  <si>
    <t xml:space="preserve">95°C</t>
  </si>
  <si>
    <t xml:space="preserve">3</t>
  </si>
  <si>
    <t xml:space="preserve">Full extraction — bold washed profiles · Apartment Jalan Riang</t>
  </si>
  <si>
    <t xml:space="preserve">Yeast / mosto / co-ferment — frontier zone</t>
  </si>
  <si>
    <t xml:space="preserve">70→90→70°C 🏆</t>
  </si>
  <si>
    <t xml:space="preserve">Fluid Collective signature oscillation — highest-rated cups in archive</t>
  </si>
  <si>
    <t xml:space="preserve">Soft lactic body · glycerol · creamy mouthfeel</t>
  </si>
  <si>
    <t xml:space="preserve">★★★ Discovery</t>
  </si>
  <si>
    <t xml:space="preserve">90→70°C (descending)</t>
  </si>
  <si>
    <t xml:space="preserve">Keryi / Pinhole / Double Shot — terpene preservation on honey/gesha</t>
  </si>
  <si>
    <t xml:space="preserve">Intensity ceiling confirmed at Entry #059</t>
  </si>
  <si>
    <t xml:space="preserve">★ Boundary</t>
  </si>
  <si>
    <t xml:space="preserve">80→95→80°C</t>
  </si>
  <si>
    <t xml:space="preserve">Kurasu Frinsa — honey process mucilage management</t>
  </si>
  <si>
    <t xml:space="preserve">Indonesian terroir · syrupy body · one-off</t>
  </si>
  <si>
    <t xml:space="preserve">★ Reference</t>
  </si>
  <si>
    <t xml:space="preserve">88°C constant</t>
  </si>
  <si>
    <t xml:space="preserve">Oaks — LAB lactic ester preservation (Bolivia Pacamara)</t>
  </si>
  <si>
    <t xml:space="preserve">  ⭐  COLOMBIA GESHA PROCESS TRILOGY  —  Completed 2026 · Three processes · One verdict</t>
  </si>
  <si>
    <t xml:space="preserve">  ⚖️  RATIO BAND ANALYSIS  —  1:15–1:17 Optimal Window</t>
  </si>
  <si>
    <t xml:space="preserve">Sensory Arc</t>
  </si>
  <si>
    <t xml:space="preserve">Verdict</t>
  </si>
  <si>
    <t xml:space="preserve">Band</t>
  </si>
  <si>
    <t xml:space="preserve">Count</t>
  </si>
  <si>
    <t xml:space="preserve">Status</t>
  </si>
  <si>
    <t xml:space="preserve">Washed ⭐</t>
  </si>
  <si>
    <t xml:space="preserve">Fluid Collective (El Obraje)</t>
  </si>
  <si>
    <t xml:space="preserve">Mango · Orange Blossom · Nectarine · Honey — linalool apex</t>
  </si>
  <si>
    <t xml:space="preserve">CUP OF THE YEAR</t>
  </si>
  <si>
    <t xml:space="preserve">⚠️ Espresso</t>
  </si>
  <si>
    <t xml:space="preserve">Concentration removes filter brewing purpose</t>
  </si>
  <si>
    <t xml:space="preserve">Keryi Coffee (Finca La Esmaralda)</t>
  </si>
  <si>
    <t xml:space="preserve">Jasmine · Caramel · Stone Fruit · Tangerine — smooth arc</t>
  </si>
  <si>
    <t xml:space="preserve">EXCELLENT</t>
  </si>
  <si>
    <t xml:space="preserve">Polyphenolic bitterness amplified · sucrose suppressed (Entry #055)</t>
  </si>
  <si>
    <t xml:space="preserve">Pinhole Coffee Bar (Santa Barbara #1)</t>
  </si>
  <si>
    <t xml:space="preserve">Bergamot · Lychee · Mandarin · Honey — cold-cup revelation</t>
  </si>
  <si>
    <t xml:space="preserve">VERY GOOD</t>
  </si>
  <si>
    <t xml:space="preserve">Aromatic headspace compressed vs optimal</t>
  </si>
  <si>
    <t xml:space="preserve">Homeground (Inmaculada Estate)</t>
  </si>
  <si>
    <t xml:space="preserve">Hibiscus · Pomegranate · Darjeeling Tea — relaxing depth</t>
  </si>
  <si>
    <t xml:space="preserve">Core extraction philosophy — 58% of all logged entries</t>
  </si>
  <si>
    <t xml:space="preserve">Cowpresso (Las Nubes)</t>
  </si>
  <si>
    <t xml:space="preserve">Lychee · Berry · Tropical — aggressive Natural expression</t>
  </si>
  <si>
    <t xml:space="preserve">GOOD</t>
  </si>
  <si>
    <t xml:space="preserve">CGA lactone risk on Naturals — confirmed Entry #056 Nylon</t>
  </si>
  <si>
    <t xml:space="preserve">Archive verdict on the Colombia Gesha Trilogy: Washed = genetic purity (apex). Honey = sweetness amplified. Natural = fermentation over clarity. Washed remains unmatched.</t>
  </si>
  <si>
    <t xml:space="preserve">Early entries pre-hardware protocol · improving each visit</t>
  </si>
  <si>
    <t xml:space="preserve">🌍  ORIGIN &amp; TERROIR ATLAS</t>
  </si>
  <si>
    <t xml:space="preserve">Where the archive has travelled — 18 origins · Colombia leads at 30% · 12 Gesha entries across 6 countries</t>
  </si>
  <si>
    <t xml:space="preserve">  🗺️  ORIGIN LEAGUE TABLE  —  live formula, auto-updates with new entries</t>
  </si>
  <si>
    <t xml:space="preserve">  ⭐  GESHA REGISTER  —  The Apex Varietal · 12 archive entries</t>
  </si>
  <si>
    <t xml:space="preserve">Share</t>
  </si>
  <si>
    <t xml:space="preserve">Palate DNA Fit</t>
  </si>
  <si>
    <t xml:space="preserve">Metric</t>
  </si>
  <si>
    <t xml:space="preserve">Value</t>
  </si>
  <si>
    <t xml:space="preserve">HIGHEST — malic + Gesha depth</t>
  </si>
  <si>
    <t xml:space="preserve">Total Gesha/Geisha entries</t>
  </si>
  <si>
    <t xml:space="preserve">Washed Gesha</t>
  </si>
  <si>
    <t xml:space="preserve">MED — body · Maillard sweetness baseline</t>
  </si>
  <si>
    <t xml:space="preserve">Honey Gesha</t>
  </si>
  <si>
    <t xml:space="preserve">HIGH — malic stone fruit · clean finish</t>
  </si>
  <si>
    <t xml:space="preserve">Natural Gesha</t>
  </si>
  <si>
    <t xml:space="preserve">Avg Gesha price (SGD)</t>
  </si>
  <si>
    <t xml:space="preserve">S$14.70</t>
  </si>
  <si>
    <t xml:space="preserve">HIGH — washed Gesha clarity (Wilder Garcia)</t>
  </si>
  <si>
    <t xml:space="preserve">Avg non-Gesha price (SGD)</t>
  </si>
  <si>
    <t xml:space="preserve">S$9.59</t>
  </si>
  <si>
    <t xml:space="preserve">HIGH — phosphoric acid · blackcurrant benchmark</t>
  </si>
  <si>
    <t xml:space="preserve">Gesha price premium</t>
  </si>
  <si>
    <t xml:space="preserve">+53%</t>
  </si>
  <si>
    <t xml:space="preserve">HIGHEST — Gesha heartland (Kotowa · Corpachi)</t>
  </si>
  <si>
    <t xml:space="preserve">Origins with Gesha entry</t>
  </si>
  <si>
    <t xml:space="preserve">Colombia · Peru · Panama · Ecuador · Honduras</t>
  </si>
  <si>
    <t xml:space="preserve">MED — clean washed + anaerobic contrast</t>
  </si>
  <si>
    <t xml:space="preserve">Highest-priced Gesha</t>
  </si>
  <si>
    <t xml:space="preserve">S$21 — El Sauce (Abseil)</t>
  </si>
  <si>
    <t xml:space="preserve">HIGH — Lactic Honey Pacamara · new frontier</t>
  </si>
  <si>
    <t xml:space="preserve">Best-value Gesha</t>
  </si>
  <si>
    <t xml:space="preserve">S$9.90 — Las Nubes (Cowpresso)</t>
  </si>
  <si>
    <t xml:space="preserve">HIGHEST — #1 palate fit (Loja Gesha)</t>
  </si>
  <si>
    <t xml:space="preserve">Archive verdict — apex process</t>
  </si>
  <si>
    <t xml:space="preserve">Washed (genetic purity over fermentation)</t>
  </si>
  <si>
    <t xml:space="preserve">MED — anaerobic exploration · Subko/Grey Soul</t>
  </si>
  <si>
    <t xml:space="preserve">Malaysia</t>
  </si>
  <si>
    <t xml:space="preserve">REF — Liberica · archive first non-Arabica</t>
  </si>
  <si>
    <t xml:space="preserve">China</t>
  </si>
  <si>
    <t xml:space="preserve">REF — Yunnan Purple Leaf Caturra · surprise entry</t>
  </si>
  <si>
    <t xml:space="preserve">MED — baked apple · citric-malic duality</t>
  </si>
  <si>
    <t xml:space="preserve">Myanmar</t>
  </si>
  <si>
    <t xml:space="preserve">REF — batch-brew study · Catimor lineage</t>
  </si>
  <si>
    <t xml:space="preserve">MED — Pacamara Natural · Aanya's first filter</t>
  </si>
  <si>
    <t xml:space="preserve">  🎯  VARIETAL TARGET REGISTER  —  what's been captured &amp; what remains</t>
  </si>
  <si>
    <t xml:space="preserve">Archive Entry</t>
  </si>
  <si>
    <t xml:space="preserve">Process Encountered</t>
  </si>
  <si>
    <t xml:space="preserve">Gesha/Geisha</t>
  </si>
  <si>
    <t xml:space="preserve">✅ CAPTURED</t>
  </si>
  <si>
    <t xml:space="preserve">Multiple — Entry #017 onward</t>
  </si>
  <si>
    <t xml:space="preserve">Washed · Honey · Natural · Anaerobic Washed</t>
  </si>
  <si>
    <t xml:space="preserve">Apex varietal · 12 entries</t>
  </si>
  <si>
    <t xml:space="preserve">Entry #049 — Oaks Coffee Co.</t>
  </si>
  <si>
    <t xml:space="preserve">Lactic Honey (90hr)</t>
  </si>
  <si>
    <t xml:space="preserve">First Bolivia · first Pacamara</t>
  </si>
  <si>
    <t xml:space="preserve">Entry #059 — Oaks Coffee Co.</t>
  </si>
  <si>
    <t xml:space="preserve">Finca El Diviso · Nestor Lasso</t>
  </si>
  <si>
    <t xml:space="preserve">Entry #018 — Maxi Coffee Bar</t>
  </si>
  <si>
    <t xml:space="preserve">Yellow variant also at Asylum #038</t>
  </si>
  <si>
    <t xml:space="preserve">Entry #048 — Zerah Roasters</t>
  </si>
  <si>
    <t xml:space="preserve">Finca Villarazo · DF83V debut</t>
  </si>
  <si>
    <t xml:space="preserve">Entry #011 — Apartment Selegie</t>
  </si>
  <si>
    <t xml:space="preserve">Tea-like clarity standout</t>
  </si>
  <si>
    <t xml:space="preserve">Entry #035 — Alchemist OFC</t>
  </si>
  <si>
    <t xml:space="preserve">Low-caffeine mutation</t>
  </si>
  <si>
    <t xml:space="preserve">Entry #025 — Zerah Roasters</t>
  </si>
  <si>
    <t xml:space="preserve">Elongated Gesha-adjacent cell</t>
  </si>
  <si>
    <t xml:space="preserve">Liberica</t>
  </si>
  <si>
    <t xml:space="preserve">Entry #039 — Corner Corner</t>
  </si>
  <si>
    <t xml:space="preserve">JH Natural</t>
  </si>
  <si>
    <t xml:space="preserve">Archive's only non-Arabica</t>
  </si>
  <si>
    <t xml:space="preserve">Entry #036 — Apartment</t>
  </si>
  <si>
    <t xml:space="preserve">China Yunnan · anthocyanin clarity</t>
  </si>
  <si>
    <t xml:space="preserve">Entry #023 — Clod Coffee Bar</t>
  </si>
  <si>
    <t xml:space="preserve">JB cross-border audit</t>
  </si>
  <si>
    <t xml:space="preserve">Maragogipe</t>
  </si>
  <si>
    <t xml:space="preserve">❌ MISSING</t>
  </si>
  <si>
    <t xml:space="preserve">Large-bean ancestor of Pacamara — watchlist</t>
  </si>
  <si>
    <t xml:space="preserve">Eugenioides</t>
  </si>
  <si>
    <t xml:space="preserve">HIGHEST PRIORITY MISSING VARIETAL</t>
  </si>
  <si>
    <t xml:space="preserve">Sidra</t>
  </si>
  <si>
    <t xml:space="preserve">Watchlist — Fahrenheit Coffee target</t>
  </si>
  <si>
    <t xml:space="preserve">⚙️  HARDWARE &amp; EXTRACTION PHYSICS</t>
  </si>
  <si>
    <t xml:space="preserve">Flat burrs · flat beds · the physics of clarity  ·  precision instruments for a precision palate</t>
  </si>
  <si>
    <t xml:space="preserve">  🔩  GRINDER PLATFORM REGISTER  —  flat burr platforms deliver the archive's best cups</t>
  </si>
  <si>
    <t xml:space="preserve">Platform</t>
  </si>
  <si>
    <t xml:space="preserve">Burr Size</t>
  </si>
  <si>
    <t xml:space="preserve">Palate Impact</t>
  </si>
  <si>
    <t xml:space="preserve">Archive Entries</t>
  </si>
  <si>
    <t xml:space="preserve">Option-O Lagom P80</t>
  </si>
  <si>
    <t xml:space="preserve">2</t>
  </si>
  <si>
    <t xml:space="preserve">80mm flat</t>
  </si>
  <si>
    <t xml:space="preserve">First P80 in archive — Entry #049 Oaks. Unimodal PSD on oversized Pacamara beans.</t>
  </si>
  <si>
    <t xml:space="preserve">Oaks Coffee Co. ×2</t>
  </si>
  <si>
    <t xml:space="preserve">8</t>
  </si>
  <si>
    <t xml:space="preserve">64mm flat</t>
  </si>
  <si>
    <t xml:space="preserve">Preferred precision platform — Fluid, Asylum, Abseil. Minimal fines.</t>
  </si>
  <si>
    <t xml:space="preserve">Fluid · Asylum · Zerah · Abseil</t>
  </si>
  <si>
    <t xml:space="preserve">Mahlkönig EK43/EK43S</t>
  </si>
  <si>
    <t xml:space="preserve">98mm flat</t>
  </si>
  <si>
    <t xml:space="preserve">Café workhorse — widest flat burr in archive. High throughput, competition heritage.</t>
  </si>
  <si>
    <t xml:space="preserve">Homeground · Lume · Keryi · Agora</t>
  </si>
  <si>
    <t xml:space="preserve">EK43 successor — Nylon standard grinder across all 6 visits.</t>
  </si>
  <si>
    <t xml:space="preserve">Nylon Coffee Roasters ×4</t>
  </si>
  <si>
    <t xml:space="preserve">Ditting (63.5/98mm)</t>
  </si>
  <si>
    <t xml:space="preserve">63.5–98mm flat</t>
  </si>
  <si>
    <t xml:space="preserve">Lab-grade narrow PSD — Double Shot + Keryi. Licensed aggressive ratios.</t>
  </si>
  <si>
    <t xml:space="preserve">Double Shot · Keryi Coffee</t>
  </si>
  <si>
    <t xml:space="preserve">DF83V (83mm flat)</t>
  </si>
  <si>
    <t xml:space="preserve">83mm flat</t>
  </si>
  <si>
    <t xml:space="preserve">First DF83 in archive — Zerah Pink Bourbon. Zero fines at 83mm.</t>
  </si>
  <si>
    <t xml:space="preserve">78mm flat</t>
  </si>
  <si>
    <t xml:space="preserve">Compact 78mm — Maxi Coffee Bar · mid-range precision tier.</t>
  </si>
  <si>
    <t xml:space="preserve">Maxi Coffee Bar ×2</t>
  </si>
  <si>
    <t xml:space="preserve">FM 120mm Hybrid</t>
  </si>
  <si>
    <t xml:space="preserve">120mm hybrid</t>
  </si>
  <si>
    <t xml:space="preserve">Largest burr in archive — extreme fines reduction for SL28/SL34 Kenya.</t>
  </si>
  <si>
    <t xml:space="preserve">Kyuukei Coffee × 2</t>
  </si>
  <si>
    <t xml:space="preserve">Mazzer MM (83mm)</t>
  </si>
  <si>
    <t xml:space="preserve">PPP Funan — wider fines than 98mm reference. Over-extraction documented.</t>
  </si>
  <si>
    <t xml:space="preserve">Timemore Conical Gold</t>
  </si>
  <si>
    <t xml:space="preserve">Conical</t>
  </si>
  <si>
    <t xml:space="preserve">Corner Corner — Liberica. Only conical burr in archive. Softer extraction.</t>
  </si>
  <si>
    <t xml:space="preserve">  ☕  BREWER GEOMETRY ANALYSIS  —  flat-bottom wins every documented comparison</t>
  </si>
  <si>
    <t xml:space="preserve">Geometry</t>
  </si>
  <si>
    <t xml:space="preserve">Archive Status</t>
  </si>
  <si>
    <t xml:space="preserve">Flat-Bottom (Origami/OREA/April/xBloom/Alpha/Switch)</t>
  </si>
  <si>
    <t xml:space="preserve">28</t>
  </si>
  <si>
    <t xml:space="preserve">✅ PRIMARY PREFERENCE</t>
  </si>
  <si>
    <t xml:space="preserve">Even bed saturation · zero bypass · full contact geometry. Delivers archive's highest-rated cups consistently.</t>
  </si>
  <si>
    <t xml:space="preserve">CT62 (Engineered Conical — 24-groove flow compensation)</t>
  </si>
  <si>
    <t xml:space="preserve">✅ EXEMPTED</t>
  </si>
  <si>
    <t xml:space="preserve">Entry #057 Abseil. 12 long + 12 short grooves regulate flow rate = flat-bottom equivalent extraction consistency.</t>
  </si>
  <si>
    <t xml:space="preserve">Standard Conical (V60)</t>
  </si>
  <si>
    <t xml:space="preserve">⚠️ OVER-EXTRACTION FLAG</t>
  </si>
  <si>
    <t xml:space="preserve">Documented over-extraction pattern at Agora (Beloya), Kurasu (Rwanda), PPP (Suke Quto), Cowpresso. Fine particle apex creates CGA bitterness.</t>
  </si>
  <si>
    <t xml:space="preserve">Automated (xBloom batch)</t>
  </si>
  <si>
    <t xml:space="preserve">⚠️ METHODOLOGY NOTE</t>
  </si>
  <si>
    <t xml:space="preserve">xBloom at Nylon — flat-bottom geometry, but automation removes barista pour adjustment. Clips thermal arc expressiveness.</t>
  </si>
  <si>
    <t xml:space="preserve">Immersion-assist (Hario Switch/Deep27)</t>
  </si>
  <si>
    <t xml:space="preserve">5</t>
  </si>
  <si>
    <t xml:space="preserve">✅ SECONDARY PREFERENCE</t>
  </si>
  <si>
    <t xml:space="preserve">Full bed saturation in immersion phase before drawdown. Strong on honey process (Keryi). Deep27 debut Entry #047 Kyuukei.</t>
  </si>
  <si>
    <t xml:space="preserve">Automated Tap Dispenser</t>
  </si>
  <si>
    <t xml:space="preserve">❌ REJECTED CONCEPT</t>
  </si>
  <si>
    <t xml:space="preserve">Entry #045 — 2050 Coffee. Hari's verdict: automation and pourover are philosophically incompatible. Not a return target.</t>
  </si>
  <si>
    <t xml:space="preserve">  📜  SIX EXTRACTION LAWS  —  empirically proven across 59 field audits</t>
  </si>
  <si>
    <t xml:space="preserve">Law 1:  Flat-bottom geometry outperforms conical for this palate. Every conical V60 entry carries a standing over-extraction risk flag in this archive.</t>
  </si>
  <si>
    <t xml:space="preserve">Law 2:  1:13–1:14 concentration amplifies polyphenolic bitterness at cool phase and suppresses sucrose emergence. Documented at Double Shot (Entry #055) and Equate (Entry #039).</t>
  </si>
  <si>
    <t xml:space="preserve">Law 3:  1:17 lean on Natural-process coffees risks CGA lactone bitterness at cool phase by failing to build adequate sucrose-ester mass. Confirmed at Nylon (Entry #056).</t>
  </si>
  <si>
    <t xml:space="preserve">Law 4:  Barista confirmation overrides visual inference for hardware identification — always. This is the archive's primary source hierarchy rule.</t>
  </si>
  <si>
    <t xml:space="preserve">Law 5:  Large flat burrs (63–98mm) are non-negotiable for oversized varietals (Pacamara, Maragogipe-lineage). P80 80mm confirmed at Oaks Entry #049.</t>
  </si>
  <si>
    <t xml:space="preserve">Law 6:  Thermal Shock Anaerobic Natural (Finca El Diviso, Entry #059) confirmed the archive's upper intensity threshold. Fermentation signal dominated all three thermal phases without evolution — process-preference misalignment ceiling established.</t>
  </si>
  <si>
    <t xml:space="preserve">🏙️  CAFÉ DIRECTORY  —  33 VENUES · 4 CITIES</t>
  </si>
  <si>
    <t xml:space="preserve">Live-verified July 2026  ·  SuperGrok · ChatGPT · Gemini · direct observation  ·  four-tier confidence rating</t>
  </si>
  <si>
    <t xml:space="preserve">  🌏  CITY COVERAGE OVERVIEW</t>
  </si>
  <si>
    <t xml:space="preserve">Cafés</t>
  </si>
  <si>
    <t xml:space="preserve">Coverage</t>
  </si>
  <si>
    <t xml:space="preserve">Character</t>
  </si>
  <si>
    <t xml:space="preserve">31</t>
  </si>
  <si>
    <t xml:space="preserve">94%</t>
  </si>
  <si>
    <t xml:space="preserve">Roaster-owned specialty scene · transparent parameters · competition hardware standard</t>
  </si>
  <si>
    <t xml:space="preserve">Archive origin chapter — Seniman Coffee Studio</t>
  </si>
  <si>
    <t xml:space="preserve">India frontier chapter — Subko + Grey Soul</t>
  </si>
  <si>
    <t xml:space="preserve">Cross-border audit — Clod Coffee Bar &amp; Roasters</t>
  </si>
  <si>
    <t xml:space="preserve">  ☕  COMPLETE VERIFIED DIRECTORY  —  33 venues · live entry counts · verified addresses</t>
  </si>
  <si>
    <t xml:space="preserve">Avg</t>
  </si>
  <si>
    <t xml:space="preserve">Verified Address</t>
  </si>
  <si>
    <t xml:space="preserve">Instagram</t>
  </si>
  <si>
    <t xml:space="preserve">Website</t>
  </si>
  <si>
    <t xml:space="preserve">Conf.</t>
  </si>
  <si>
    <t xml:space="preserve">Notes</t>
  </si>
  <si>
    <t xml:space="preserve">4 Everton Park, #01-40</t>
  </si>
  <si>
    <t xml:space="preserve">@nyloncoffeeroasters</t>
  </si>
  <si>
    <t xml:space="preserve">nyloncoffee.sg</t>
  </si>
  <si>
    <t xml:space="preserve">✅ HIGH</t>
  </si>
  <si>
    <t xml:space="preserve">Reliability anchor · 6 visits</t>
  </si>
  <si>
    <t xml:space="preserve">24 Opal Crescent, Singapore</t>
  </si>
  <si>
    <t xml:space="preserve">@fluidcollective</t>
  </si>
  <si>
    <t xml:space="preserve">Cup of Year · 2025 Brewers Cup champion</t>
  </si>
  <si>
    <t xml:space="preserve">311 Jalan Besar, S208970</t>
  </si>
  <si>
    <t xml:space="preserve">4 visits · 2 Gesha entries</t>
  </si>
  <si>
    <t xml:space="preserve">465 North Bridge Road, #02-5063</t>
  </si>
  <si>
    <t xml:space="preserve">@zerahroasters</t>
  </si>
  <si>
    <t xml:space="preserve">zerahcoffeeroasters.com</t>
  </si>
  <si>
    <t xml:space="preserve">Barista Aqil — joint #1</t>
  </si>
  <si>
    <t xml:space="preserve">121 Bukit Merah Ln 1 #01-06 · 5 Kadayanallur St #01-04</t>
  </si>
  <si>
    <t xml:space="preserve">@kyuukeicoffee</t>
  </si>
  <si>
    <t xml:space="preserve">kyuukeicoffee.com</t>
  </si>
  <si>
    <t xml:space="preserve">Two outlets · 3 archive visits</t>
  </si>
  <si>
    <t xml:space="preserve">70 Shenton Way, #01-14, Eon Shenton, S079118</t>
  </si>
  <si>
    <t xml:space="preserve">@abseil.coffee</t>
  </si>
  <si>
    <t xml:space="preserve">abseilcoffee.com</t>
  </si>
  <si>
    <t xml:space="preserve">Barista Glenda — joint #1 · CT62 + P64</t>
  </si>
  <si>
    <t xml:space="preserve">619H Bukit Timah Road, S269728</t>
  </si>
  <si>
    <t xml:space="preserve">@oakscoffeeco</t>
  </si>
  <si>
    <t xml:space="preserve">oakscoffeeco.com</t>
  </si>
  <si>
    <t xml:space="preserve">✅ LOCK</t>
  </si>
  <si>
    <t xml:space="preserve">2 visits · Day 4 at first audit · 5 archive firsts</t>
  </si>
  <si>
    <t xml:space="preserve">911 Bukit Timah Road, Singapore</t>
  </si>
  <si>
    <t xml:space="preserve">@homegroundcoffeeroasters</t>
  </si>
  <si>
    <t xml:space="preserve">homegroundcoffee.sg</t>
  </si>
  <si>
    <t xml:space="preserve">Experience Room concept</t>
  </si>
  <si>
    <t xml:space="preserve">27 Purvis Street, #01-02, S188604</t>
  </si>
  <si>
    <t xml:space="preserve">@pinholecoffeebar</t>
  </si>
  <si>
    <t xml:space="preserve">pinhole.cafe</t>
  </si>
  <si>
    <t xml:space="preserve">19 Kampong Bahru Road, Singapore</t>
  </si>
  <si>
    <t xml:space="preserve">dblshotcoffee.com</t>
  </si>
  <si>
    <t xml:space="preserve">Concentrated 1:13.3 house ratio</t>
  </si>
  <si>
    <t xml:space="preserve">139 Selegie Road, #01-01, S188309</t>
  </si>
  <si>
    <t xml:space="preserve">@apartmentcoffee.co</t>
  </si>
  <si>
    <t xml:space="preserve">apartmentcoffee.co</t>
  </si>
  <si>
    <t xml:space="preserve">#6 world ranked filter café</t>
  </si>
  <si>
    <t xml:space="preserve">Apartment (Jalan Riang)</t>
  </si>
  <si>
    <t xml:space="preserve">Jalan Riang, Singapore (weekends only)</t>
  </si>
  <si>
    <t xml:space="preserve">Roastery branch · weekends only</t>
  </si>
  <si>
    <t xml:space="preserve">161 Lavender Street, #01-08, S338750</t>
  </si>
  <si>
    <t xml:space="preserve">@keryicoffee</t>
  </si>
  <si>
    <t xml:space="preserve">keryicoffee.com</t>
  </si>
  <si>
    <t xml:space="preserve">Closed Fri for production · 2 visits</t>
  </si>
  <si>
    <t xml:space="preserve">64 Club Street (back entrance), S069438</t>
  </si>
  <si>
    <t xml:space="preserve">maxicoffeebar.com</t>
  </si>
  <si>
    <t xml:space="preserve">~4.7 Google · Ann Siang Hill</t>
  </si>
  <si>
    <t xml:space="preserve">619H Bukit Timah Road, Singapore</t>
  </si>
  <si>
    <t xml:space="preserve">@flipcoffeeroasters</t>
  </si>
  <si>
    <t xml:space="preserve">S$18 Ecuador Geisha · highest-price Gesha pre-Abseil</t>
  </si>
  <si>
    <t xml:space="preserve">32 Seah Street, S188388</t>
  </si>
  <si>
    <t xml:space="preserve">@askcoffeeroastery</t>
  </si>
  <si>
    <t xml:space="preserve">Experimental ferments · co-ferments</t>
  </si>
  <si>
    <t xml:space="preserve">31 Club Street, #01-02, S069468</t>
  </si>
  <si>
    <t xml:space="preserve">@agoracoffeecs</t>
  </si>
  <si>
    <t xml:space="preserve">3 visits · V60 over-extraction flag</t>
  </si>
  <si>
    <t xml:space="preserve">Equate Coffee</t>
  </si>
  <si>
    <t xml:space="preserve">1 Tanjong Pagar Plaza, #02-25, S082001</t>
  </si>
  <si>
    <t xml:space="preserve">@equatecoffee</t>
  </si>
  <si>
    <t xml:space="preserve">equate.sg</t>
  </si>
  <si>
    <t xml:space="preserve">21 Lor Kilat, #01-07, S598123</t>
  </si>
  <si>
    <t xml:space="preserve">@cowpressocoffee</t>
  </si>
  <si>
    <t xml:space="preserve">cowpressocoffee.sg</t>
  </si>
  <si>
    <t xml:space="preserve">Barista Aung · complimentary sea salt latte</t>
  </si>
  <si>
    <t xml:space="preserve">10 Collyer Quay, #01-K1, S049315</t>
  </si>
  <si>
    <t xml:space="preserve">@alchemist.global</t>
  </si>
  <si>
    <t xml:space="preserve">alchemist.global</t>
  </si>
  <si>
    <t xml:space="preserve">Laurina Anaerobic entry</t>
  </si>
  <si>
    <t xml:space="preserve">Alchemist (Raffles Place)</t>
  </si>
  <si>
    <t xml:space="preserve">16 Raffles Quay, #01-08, Hong Leong Bldg, S048581</t>
  </si>
  <si>
    <t xml:space="preserve">El Morito Marshell Washed</t>
  </si>
  <si>
    <t xml:space="preserve">108 Robinson Road, #01-01, S068900</t>
  </si>
  <si>
    <t xml:space="preserve">@lume_sg</t>
  </si>
  <si>
    <t xml:space="preserve">lume.sg</t>
  </si>
  <si>
    <t xml:space="preserve">Panama Geisha Red Honey</t>
  </si>
  <si>
    <t xml:space="preserve">170 Stirling Road, #01-1133, S140170 (flagship)</t>
  </si>
  <si>
    <t xml:space="preserve">tionghoe.com</t>
  </si>
  <si>
    <t xml:space="preserve">10 outlets islandwide</t>
  </si>
  <si>
    <t xml:space="preserve">261 Waterloo Street, #01-24, S180261</t>
  </si>
  <si>
    <t xml:space="preserve">@kurasu.sg</t>
  </si>
  <si>
    <t xml:space="preserve">kurasu.sg</t>
  </si>
  <si>
    <t xml:space="preserve">Japanese origin · honey process lots</t>
  </si>
  <si>
    <t xml:space="preserve">16 Duxton Road, S089482 (daytime inside RPM)</t>
  </si>
  <si>
    <t xml:space="preserve">@corner___corner</t>
  </si>
  <si>
    <t xml:space="preserve">Vinyl/kissaten · Liberica · daytime only</t>
  </si>
  <si>
    <t xml:space="preserve">267 Beach Road, #01-01, S199545</t>
  </si>
  <si>
    <t xml:space="preserve">@2050.coffee</t>
  </si>
  <si>
    <t xml:space="preserve">Automated tap dispenser · rejected format</t>
  </si>
  <si>
    <t xml:space="preserve">Funan Mall, 107 North Bridge Road</t>
  </si>
  <si>
    <t xml:space="preserve">Over-extraction documented on EK Omnia+V60</t>
  </si>
  <si>
    <t xml:space="preserve">Hamilton Road, Singapore</t>
  </si>
  <si>
    <t xml:space="preserve">⚠️ LOW</t>
  </si>
  <si>
    <t xml:space="preserve">Area confirmed · exact unit unverified</t>
  </si>
  <si>
    <t xml:space="preserve">No fixed address (pop-up/stand format)</t>
  </si>
  <si>
    <t xml:space="preserve">Small independent · 2 visits</t>
  </si>
  <si>
    <t xml:space="preserve">Jl. Sriwedari, Ubud, Bali</t>
  </si>
  <si>
    <t xml:space="preserve">@senimancoffee</t>
  </si>
  <si>
    <t xml:space="preserve">senimancoffee.com</t>
  </si>
  <si>
    <t xml:space="preserve">◐ MED</t>
  </si>
  <si>
    <t xml:space="preserve">Archive origin venue · 3 entries</t>
  </si>
  <si>
    <t xml:space="preserve">Bandra/Khar area, Mumbai, India</t>
  </si>
  <si>
    <t xml:space="preserve">@subkocoffee</t>
  </si>
  <si>
    <t xml:space="preserve">subko.coffee</t>
  </si>
  <si>
    <t xml:space="preserve">City-level verified</t>
  </si>
  <si>
    <t xml:space="preserve">Mumbai, India</t>
  </si>
  <si>
    <t xml:space="preserve">@greysoulcoffee</t>
  </si>
  <si>
    <t xml:space="preserve">123, Jln Beringin, Taman Melodies, 80250 JB, Malaysia</t>
  </si>
  <si>
    <t xml:space="preserve">Direct confirmation · cross-border audit</t>
  </si>
  <si>
    <t xml:space="preserve">  🔑  ADDRESS VERIFICATION LEGEND</t>
  </si>
  <si>
    <t xml:space="preserve">Badge</t>
  </si>
  <si>
    <t xml:space="preserve">Meaning</t>
  </si>
  <si>
    <t xml:space="preserve">Sources used</t>
  </si>
  <si>
    <t xml:space="preserve">Direct confirmation by Hari — overrides all AI sources</t>
  </si>
  <si>
    <t xml:space="preserve">Personal visit + direct recall</t>
  </si>
  <si>
    <t xml:space="preserve">2+ independent sources agree</t>
  </si>
  <si>
    <t xml:space="preserve">SuperGrok + ChatGPT / Gemini / Project Knowledge</t>
  </si>
  <si>
    <t xml:space="preserve">1 source only or area-level verified</t>
  </si>
  <si>
    <t xml:space="preserve">Single source or archive observation primary</t>
  </si>
  <si>
    <t xml:space="preserve">No fixed address — pop-up or micro-independent</t>
  </si>
  <si>
    <t xml:space="preserve">Archive visit record only</t>
  </si>
  <si>
    <t xml:space="preserve">📖  LEGEND &amp; MAINTENANCE GUIDE</t>
  </si>
  <si>
    <t xml:space="preserve">How to read, how to maintain, and how to grow this archive</t>
  </si>
  <si>
    <t xml:space="preserve">  🎨  COLOUR LEGEND  —  Coffee Audit sheet</t>
  </si>
  <si>
    <t xml:space="preserve">Colour</t>
  </si>
  <si>
    <t xml:space="preserve">Even-row banding — auto conditional formatting</t>
  </si>
  <si>
    <t xml:space="preserve">Odd-row banding — auto conditional formatting</t>
  </si>
  <si>
    <t xml:space="preserve">⭐ GESHA row — auto-applied when Varietal contains Gesha or Geisha</t>
  </si>
  <si>
    <t xml:space="preserve">Header row — dark espresso with cream text</t>
  </si>
  <si>
    <t xml:space="preserve">  🛠️  HOW TO ADD A NEW ENTRY  —  7 steps, keeps everything live</t>
  </si>
  <si>
    <t xml:space="preserve">1.  Add the new row directly below the last entry on the Coffee Audit sheet — columns A through V (22 data columns).</t>
  </si>
  <si>
    <t xml:space="preserve">2.  Copy the Gesha_Alert formula (column W) down from the row above — it self-detects any Gesha or Geisha variant spelling.</t>
  </si>
  <si>
    <t xml:space="preserve">3.  Row colours (blue/yellow banding and Gesha purple) apply automatically via conditional formatting — no manual fill needed.</t>
  </si>
  <si>
    <t xml:space="preserve">4.  The Dashboard KPI tiles, all formula tables, Café Directory counts, Price &amp; Value stats, and Origin league tables all scan to row 2000 and update instantly.</t>
  </si>
  <si>
    <t xml:space="preserve">5.  Enter Price, Dose and Yield as plain numbers where known. Text "Unknown" is safely ignored by all statistical formulas.</t>
  </si>
  <si>
    <t xml:space="preserve">6.  New café not in the Directory? Add one row to the Café Directory table with the exact café name matching column C of the Coffee Audit sheet — live counts update immediately.</t>
  </si>
  <si>
    <t xml:space="preserve">7.  Editorial panels (Archive Thesis, Honours Board, Gesha Hall of Fame, Extraction Laws) are curated by hand — update these after milestone visits or at each month's end.</t>
  </si>
  <si>
    <t xml:space="preserve">  📜  ARCHIVE INTEGRITY RULES</t>
  </si>
  <si>
    <t xml:space="preserve">Uploaded files are the authoritative baseline — entries are appended, never reconstructed from memory.</t>
  </si>
  <si>
    <t xml:space="preserve">Source hierarchy: receipts + bean card photos &gt; barista confirmation &gt; café DM response &gt; direct observation &gt; AI reconstruction.</t>
  </si>
  <si>
    <t xml:space="preserve">No silent corrections — all data discrepancies must be flagged explicitly before any correction is applied.</t>
  </si>
  <si>
    <t xml:space="preserve">Barista confirmation overrides visual inference for hardware identification.</t>
  </si>
  <si>
    <t xml:space="preserve">Gesha spelling: "Gesha" (botanically accurate) and "Geisha" (Panamanian commercial) — archive uses whichever appears on the bean card as authoritative.</t>
  </si>
  <si>
    <t xml:space="preserve">Primary sensory record from Entry #031 onward: sensory notes are the archive record; brew parameters logged only when barista offers or they are observable.</t>
  </si>
  <si>
    <t xml:space="preserve">The archive records one palate only — external roaster or barista tasting notes are reference, never overwrite Hari's direct observation.</t>
  </si>
  <si>
    <t xml:space="preserve">N/A vs Unknown: "Unknown" = data exists but was not captured; "N/A" with reason = structurally inapplicable (e.g. batch-dispensed format).</t>
  </si>
  <si>
    <t xml:space="preserve">Address verification tiers: ✅ LOCK (direct confirmation) &gt; ✅ HIGH (2+ sources) &gt; ◐ MED (area-level) &gt; ⚠️ LOW (archive only).</t>
  </si>
  <si>
    <t xml:space="preserve">Consolidation Summary</t>
  </si>
  <si>
    <t xml:space="preserve">Total unique entries</t>
  </si>
  <si>
    <t xml:space="preserve">Merged (both sources)</t>
  </si>
  <si>
    <t xml:space="preserve">ChatGPT-only (new)</t>
  </si>
  <si>
    <t xml:space="preserve">Gemini-only (retained)</t>
  </si>
  <si>
    <t xml:space="preserve">Cities covered</t>
  </si>
  <si>
    <t xml:space="preserve">Unique cafes</t>
  </si>
  <si>
    <t xml:space="preserve">Date range</t>
  </si>
</sst>
</file>

<file path=xl/styles.xml><?xml version="1.0" encoding="utf-8"?>
<styleSheet xmlns="http://schemas.openxmlformats.org/spreadsheetml/2006/main">
  <numFmts count="5">
    <numFmt numFmtId="164" formatCode="General"/>
    <numFmt numFmtId="165" formatCode="yyyy\-mm\-dd"/>
    <numFmt numFmtId="166" formatCode="&quot;S$&quot;0.00"/>
    <numFmt numFmtId="167" formatCode="yyyy\-mm\-dd\ h:mm:ss"/>
    <numFmt numFmtId="168" formatCode="General"/>
  </numFmts>
  <fonts count="24">
    <font>
      <sz val="11"/>
      <color theme="1"/>
      <name val="Calibri"/>
      <family val="2"/>
      <charset val="1"/>
    </font>
    <font>
      <sz val="10"/>
      <name val="Arial"/>
      <family val="0"/>
    </font>
    <font>
      <sz val="10"/>
      <name val="Arial"/>
      <family val="0"/>
    </font>
    <font>
      <sz val="10"/>
      <name val="Arial"/>
      <family val="0"/>
    </font>
    <font>
      <b val="true"/>
      <sz val="8"/>
      <color rgb="FFFDF8EE"/>
      <name val="Calibri"/>
      <family val="0"/>
      <charset val="1"/>
    </font>
    <font>
      <sz val="8"/>
      <color rgb="FF2D1F0F"/>
      <name val="Calibri"/>
      <family val="0"/>
      <charset val="1"/>
    </font>
    <font>
      <b val="true"/>
      <sz val="8"/>
      <color rgb="FF6A1B9A"/>
      <name val="Calibri"/>
      <family val="0"/>
      <charset val="1"/>
    </font>
    <font>
      <sz val="10"/>
      <name val="Arial"/>
      <family val="2"/>
    </font>
    <font>
      <b val="true"/>
      <sz val="18"/>
      <color rgb="FFFDF8EE"/>
      <name val="Calibri"/>
      <family val="0"/>
      <charset val="1"/>
    </font>
    <font>
      <i val="true"/>
      <sz val="9"/>
      <color rgb="FFC9902A"/>
      <name val="Calibri"/>
      <family val="0"/>
      <charset val="1"/>
    </font>
    <font>
      <b val="true"/>
      <sz val="10"/>
      <color rgb="FFFDF8EE"/>
      <name val="Calibri"/>
      <family val="0"/>
      <charset val="1"/>
    </font>
    <font>
      <b val="true"/>
      <sz val="7"/>
      <color rgb="FFC9902A"/>
      <name val="Calibri"/>
      <family val="0"/>
      <charset val="1"/>
    </font>
    <font>
      <b val="true"/>
      <sz val="20"/>
      <color rgb="FFC9902A"/>
      <name val="Calibri"/>
      <family val="0"/>
      <charset val="1"/>
    </font>
    <font>
      <i val="true"/>
      <sz val="7"/>
      <color rgb="FFCCB48A"/>
      <name val="Calibri"/>
      <family val="0"/>
      <charset val="1"/>
    </font>
    <font>
      <b val="true"/>
      <sz val="8"/>
      <color rgb="FF2D1F0F"/>
      <name val="Calibri"/>
      <family val="0"/>
      <charset val="1"/>
    </font>
    <font>
      <i val="true"/>
      <sz val="7.5"/>
      <color rgb="FF2D1F0F"/>
      <name val="Calibri"/>
      <family val="0"/>
      <charset val="1"/>
    </font>
    <font>
      <i val="true"/>
      <sz val="9"/>
      <color rgb="FF2D1F0F"/>
      <name val="Calibri"/>
      <family val="0"/>
      <charset val="1"/>
    </font>
    <font>
      <b val="true"/>
      <sz val="8.5"/>
      <color rgb="FF2D1F0F"/>
      <name val="Calibri"/>
      <family val="0"/>
      <charset val="1"/>
    </font>
    <font>
      <sz val="8.5"/>
      <color rgb="FF2D1F0F"/>
      <name val="Calibri"/>
      <family val="0"/>
      <charset val="1"/>
    </font>
    <font>
      <b val="true"/>
      <sz val="7.5"/>
      <color rgb="FF2D1F0F"/>
      <name val="Calibri"/>
      <family val="0"/>
      <charset val="1"/>
    </font>
    <font>
      <sz val="7.5"/>
      <color rgb="FF2D1F0F"/>
      <name val="Calibri"/>
      <family val="0"/>
      <charset val="1"/>
    </font>
    <font>
      <i val="true"/>
      <sz val="8.5"/>
      <color rgb="FF2D1F0F"/>
      <name val="Calibri"/>
      <family val="0"/>
      <charset val="1"/>
    </font>
    <font>
      <sz val="10"/>
      <name val="Calibri"/>
      <family val="0"/>
      <charset val="1"/>
    </font>
    <font>
      <b val="true"/>
      <sz val="10"/>
      <name val="Calibri"/>
      <family val="0"/>
      <charset val="1"/>
    </font>
  </fonts>
  <fills count="14">
    <fill>
      <patternFill patternType="none"/>
    </fill>
    <fill>
      <patternFill patternType="gray125"/>
    </fill>
    <fill>
      <patternFill patternType="solid">
        <fgColor rgb="FF1A0F00"/>
        <bgColor rgb="FF2D1F0F"/>
      </patternFill>
    </fill>
    <fill>
      <patternFill patternType="solid">
        <fgColor rgb="FF3B2200"/>
        <bgColor rgb="FF2D1F0F"/>
      </patternFill>
    </fill>
    <fill>
      <patternFill patternType="solid">
        <fgColor rgb="FF7A5230"/>
        <bgColor rgb="FF6B4428"/>
      </patternFill>
    </fill>
    <fill>
      <patternFill patternType="solid">
        <fgColor rgb="FFFFF9C4"/>
        <bgColor rgb="FFFFF3E0"/>
      </patternFill>
    </fill>
    <fill>
      <patternFill patternType="solid">
        <fgColor rgb="FFFDF8EE"/>
        <bgColor rgb="FFFFF3E0"/>
      </patternFill>
    </fill>
    <fill>
      <patternFill patternType="solid">
        <fgColor rgb="FFF5ECD7"/>
        <bgColor rgb="FFFFF3E0"/>
      </patternFill>
    </fill>
    <fill>
      <patternFill patternType="solid">
        <fgColor rgb="FFEDE0FF"/>
        <bgColor rgb="FFE8D5FF"/>
      </patternFill>
    </fill>
    <fill>
      <patternFill patternType="solid">
        <fgColor rgb="FFE8D5FF"/>
        <bgColor rgb="FFEDE0FF"/>
      </patternFill>
    </fill>
    <fill>
      <patternFill patternType="solid">
        <fgColor rgb="FFE8F5E9"/>
        <bgColor rgb="FFE3F2FD"/>
      </patternFill>
    </fill>
    <fill>
      <patternFill patternType="solid">
        <fgColor rgb="FFFFE0E0"/>
        <bgColor rgb="FFF5ECD7"/>
      </patternFill>
    </fill>
    <fill>
      <patternFill patternType="solid">
        <fgColor rgb="FFFFF3E0"/>
        <bgColor rgb="FFFDF8EE"/>
      </patternFill>
    </fill>
    <fill>
      <patternFill patternType="solid">
        <fgColor rgb="FFE3F2FD"/>
        <bgColor rgb="FFE8F5E9"/>
      </patternFill>
    </fill>
  </fills>
  <borders count="4">
    <border diagonalUp="false" diagonalDown="false">
      <left/>
      <right/>
      <top/>
      <bottom/>
      <diagonal/>
    </border>
    <border diagonalUp="false" diagonalDown="false">
      <left style="thin">
        <color rgb="FF9E8060"/>
      </left>
      <right style="thin">
        <color rgb="FF9E8060"/>
      </right>
      <top style="thin">
        <color rgb="FF9E8060"/>
      </top>
      <bottom style="thin">
        <color rgb="FF9E8060"/>
      </bottom>
      <diagonal/>
    </border>
    <border diagonalUp="false" diagonalDown="false">
      <left style="thin">
        <color rgb="FF9E8060"/>
      </left>
      <right/>
      <top style="thin">
        <color rgb="FF9E8060"/>
      </top>
      <bottom style="thin">
        <color rgb="FF9E8060"/>
      </bottom>
      <diagonal/>
    </border>
    <border diagonalUp="false" diagonalDown="false">
      <left style="medium">
        <color rgb="FF6B4428"/>
      </left>
      <right/>
      <top style="medium">
        <color rgb="FF6B442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8" fontId="12" fillId="3"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14" fillId="6" borderId="1" xfId="0" applyFont="true" applyBorder="true" applyAlignment="true" applyProtection="false">
      <alignment horizontal="general" vertical="top" textRotation="0" wrapText="tru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15" fillId="7" borderId="2" xfId="0" applyFont="true" applyBorder="true" applyAlignment="true" applyProtection="false">
      <alignment horizontal="general" vertical="top" textRotation="0" wrapText="true" indent="0" shrinkToFit="false"/>
      <protection locked="true" hidden="false"/>
    </xf>
    <xf numFmtId="164" fontId="16" fillId="7" borderId="3" xfId="0" applyFont="true" applyBorder="true" applyAlignment="true" applyProtection="false">
      <alignment horizontal="general" vertical="top" textRotation="0" wrapText="true" indent="0" shrinkToFit="false"/>
      <protection locked="true" hidden="false"/>
    </xf>
    <xf numFmtId="168" fontId="5" fillId="8" borderId="1" xfId="0" applyFont="true" applyBorder="true" applyAlignment="true" applyProtection="false">
      <alignment horizontal="general" vertical="top" textRotation="0" wrapText="true" indent="0" shrinkToFit="false"/>
      <protection locked="true" hidden="false"/>
    </xf>
    <xf numFmtId="168" fontId="5" fillId="9" borderId="1" xfId="0" applyFont="true" applyBorder="true" applyAlignment="true" applyProtection="false">
      <alignment horizontal="general" vertical="top" textRotation="0" wrapText="true" indent="0" shrinkToFit="false"/>
      <protection locked="true" hidden="false"/>
    </xf>
    <xf numFmtId="164" fontId="14" fillId="10"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14" fillId="11"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4" fontId="14" fillId="12" borderId="1" xfId="0" applyFont="true" applyBorder="true" applyAlignment="true" applyProtection="false">
      <alignment horizontal="general" vertical="top" textRotation="0" wrapText="true" indent="0" shrinkToFit="false"/>
      <protection locked="true" hidden="false"/>
    </xf>
    <xf numFmtId="164" fontId="5" fillId="12" borderId="1" xfId="0" applyFont="true" applyBorder="true" applyAlignment="true" applyProtection="false">
      <alignment horizontal="general" vertical="top" textRotation="0" wrapText="true" indent="0" shrinkToFit="false"/>
      <protection locked="true" hidden="false"/>
    </xf>
    <xf numFmtId="164" fontId="17" fillId="7" borderId="2" xfId="0" applyFont="true" applyBorder="true" applyAlignment="true" applyProtection="false">
      <alignment horizontal="general" vertical="top" textRotation="0" wrapText="true" indent="0" shrinkToFit="false"/>
      <protection locked="true" hidden="false"/>
    </xf>
    <xf numFmtId="164" fontId="18" fillId="6" borderId="2" xfId="0" applyFont="true" applyBorder="true" applyAlignment="true" applyProtection="false">
      <alignment horizontal="general" vertical="top" textRotation="0" wrapText="true" indent="0" shrinkToFit="false"/>
      <protection locked="true" hidden="false"/>
    </xf>
    <xf numFmtId="164" fontId="18" fillId="7" borderId="2" xfId="0" applyFont="true" applyBorder="true" applyAlignment="true" applyProtection="false">
      <alignment horizontal="general" vertical="top" textRotation="0" wrapText="true" indent="0" shrinkToFit="false"/>
      <protection locked="true" hidden="false"/>
    </xf>
    <xf numFmtId="164" fontId="19" fillId="5" borderId="1" xfId="0" applyFont="true" applyBorder="true" applyAlignment="true" applyProtection="false">
      <alignment horizontal="general" vertical="top" textRotation="0" wrapText="true" indent="0" shrinkToFit="false"/>
      <protection locked="true" hidden="false"/>
    </xf>
    <xf numFmtId="164" fontId="20" fillId="5" borderId="1" xfId="0" applyFont="true" applyBorder="true" applyAlignment="true" applyProtection="false">
      <alignment horizontal="general" vertical="top" textRotation="0" wrapText="true" indent="0" shrinkToFit="false"/>
      <protection locked="true" hidden="false"/>
    </xf>
    <xf numFmtId="164" fontId="19" fillId="6" borderId="1" xfId="0" applyFont="true" applyBorder="true" applyAlignment="true" applyProtection="false">
      <alignment horizontal="general" vertical="top" textRotation="0" wrapText="true" indent="0" shrinkToFit="false"/>
      <protection locked="true" hidden="false"/>
    </xf>
    <xf numFmtId="164" fontId="20" fillId="6" borderId="1" xfId="0" applyFont="true" applyBorder="true" applyAlignment="true" applyProtection="false">
      <alignment horizontal="general" vertical="top" textRotation="0" wrapText="true" indent="0" shrinkToFit="false"/>
      <protection locked="true" hidden="false"/>
    </xf>
    <xf numFmtId="164" fontId="19" fillId="10" borderId="1" xfId="0" applyFont="true" applyBorder="true" applyAlignment="true" applyProtection="false">
      <alignment horizontal="general" vertical="top" textRotation="0" wrapText="true" indent="0" shrinkToFit="false"/>
      <protection locked="true" hidden="false"/>
    </xf>
    <xf numFmtId="164" fontId="20" fillId="10" borderId="1" xfId="0" applyFont="true" applyBorder="true" applyAlignment="true" applyProtection="false">
      <alignment horizontal="general" vertical="top" textRotation="0" wrapText="true" indent="0" shrinkToFit="false"/>
      <protection locked="true" hidden="false"/>
    </xf>
    <xf numFmtId="164" fontId="19" fillId="12" borderId="1" xfId="0" applyFont="true" applyBorder="true" applyAlignment="true" applyProtection="false">
      <alignment horizontal="general" vertical="top" textRotation="0" wrapText="true" indent="0" shrinkToFit="false"/>
      <protection locked="true" hidden="false"/>
    </xf>
    <xf numFmtId="164" fontId="20" fillId="12" borderId="1" xfId="0" applyFont="true" applyBorder="true" applyAlignment="true" applyProtection="false">
      <alignment horizontal="general" vertical="top" textRotation="0" wrapText="true" indent="0" shrinkToFit="false"/>
      <protection locked="true" hidden="false"/>
    </xf>
    <xf numFmtId="164" fontId="0" fillId="13" borderId="1" xfId="0" applyFont="false" applyBorder="true" applyAlignment="true" applyProtection="false">
      <alignment horizontal="general" vertical="bottom" textRotation="0" wrapText="fals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21" fillId="7" borderId="2" xfId="0" applyFont="true" applyBorder="true" applyAlignment="true" applyProtection="false">
      <alignment horizontal="general" vertical="top" textRotation="0" wrapText="true" indent="0" shrinkToFit="false"/>
      <protection locked="true" hidden="false"/>
    </xf>
    <xf numFmtId="164" fontId="21" fillId="6" borderId="2" xfId="0" applyFont="true" applyBorder="tru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8" fontId="2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DE0FF"/>
        </patternFill>
      </fill>
    </dxf>
    <dxf>
      <fill>
        <patternFill>
          <bgColor rgb="FFE3F2FD"/>
        </patternFill>
      </fill>
    </dxf>
    <dxf>
      <fill>
        <patternFill>
          <bgColor rgb="FFFFF9C4"/>
        </patternFill>
      </fill>
    </dxf>
  </dxfs>
  <colors>
    <indexedColors>
      <rgbColor rgb="FF000000"/>
      <rgbColor rgb="FFFDF8EE"/>
      <rgbColor rgb="FFFF0000"/>
      <rgbColor rgb="FF00FF00"/>
      <rgbColor rgb="FF0000FF"/>
      <rgbColor rgb="FFFFFF00"/>
      <rgbColor rgb="FFFF00FF"/>
      <rgbColor rgb="FF00FFFF"/>
      <rgbColor rgb="FF800000"/>
      <rgbColor rgb="FF008000"/>
      <rgbColor rgb="FF000080"/>
      <rgbColor rgb="FF808000"/>
      <rgbColor rgb="FF6A1B9A"/>
      <rgbColor rgb="FF008080"/>
      <rgbColor rgb="FFCCB48A"/>
      <rgbColor rgb="FF9E8060"/>
      <rgbColor rgb="FF9999FF"/>
      <rgbColor rgb="FF7A5230"/>
      <rgbColor rgb="FFFFF9C4"/>
      <rgbColor rgb="FFE3F2FD"/>
      <rgbColor rgb="FF660066"/>
      <rgbColor rgb="FFFF8080"/>
      <rgbColor rgb="FF1565C0"/>
      <rgbColor rgb="FFE8D5FF"/>
      <rgbColor rgb="FF000080"/>
      <rgbColor rgb="FFFF00FF"/>
      <rgbColor rgb="FFFFFF00"/>
      <rgbColor rgb="FF00FFFF"/>
      <rgbColor rgb="FF800080"/>
      <rgbColor rgb="FF800000"/>
      <rgbColor rgb="FF008080"/>
      <rgbColor rgb="FF0000FF"/>
      <rgbColor rgb="FF00CCFF"/>
      <rgbColor rgb="FFE8F5E9"/>
      <rgbColor rgb="FFF5ECD7"/>
      <rgbColor rgb="FFFFF3E0"/>
      <rgbColor rgb="FFEDE0FF"/>
      <rgbColor rgb="FFFF99CC"/>
      <rgbColor rgb="FFCC99FF"/>
      <rgbColor rgb="FFFFE0E0"/>
      <rgbColor rgb="FF3366FF"/>
      <rgbColor rgb="FF33CCCC"/>
      <rgbColor rgb="FF99CC00"/>
      <rgbColor rgb="FFFFCC00"/>
      <rgbColor rgb="FFC9902A"/>
      <rgbColor rgb="FFFF6600"/>
      <rgbColor rgb="FF546E7A"/>
      <rgbColor rgb="FF9E9E9E"/>
      <rgbColor rgb="FF1A0F00"/>
      <rgbColor rgb="FF2E7D32"/>
      <rgbColor rgb="FF2D1F0F"/>
      <rgbColor rgb="FF3B2200"/>
      <rgbColor rgb="FF6B4428"/>
      <rgbColor rgb="FF993366"/>
      <rgbColor rgb="FF333399"/>
      <rgbColor rgb="FF4E34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1F0F"/>
    <pageSetUpPr fitToPage="false"/>
  </sheetPr>
  <dimension ref="A1:X6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1"/>
    <col collapsed="false" customWidth="true" hidden="false" outlineLevel="0" max="3" min="3" style="1" width="22"/>
    <col collapsed="false" customWidth="true" hidden="false" outlineLevel="0" max="4" min="4" style="1" width="26"/>
    <col collapsed="false" customWidth="true" hidden="false" outlineLevel="0" max="5" min="5" style="1" width="20"/>
    <col collapsed="false" customWidth="true" hidden="false" outlineLevel="0" max="7" min="6" style="1" width="16"/>
    <col collapsed="false" customWidth="true" hidden="false" outlineLevel="0" max="8" min="8" style="1" width="20"/>
    <col collapsed="false" customWidth="true" hidden="false" outlineLevel="0" max="9" min="9" style="1" width="11"/>
    <col collapsed="false" customWidth="true" hidden="false" outlineLevel="0" max="10" min="10" style="1" width="24"/>
    <col collapsed="false" customWidth="true" hidden="false" outlineLevel="0" max="12" min="11" style="1" width="7"/>
    <col collapsed="false" customWidth="true" hidden="false" outlineLevel="0" max="13" min="13" style="1" width="8"/>
    <col collapsed="false" customWidth="true" hidden="false" outlineLevel="0" max="14" min="14" style="1" width="12"/>
    <col collapsed="false" customWidth="true" hidden="false" outlineLevel="0" max="15" min="15" style="1" width="20"/>
    <col collapsed="false" customWidth="true" hidden="false" outlineLevel="0" max="16" min="16" style="1" width="26"/>
    <col collapsed="false" customWidth="true" hidden="false" outlineLevel="0" max="17" min="17" style="1" width="8"/>
    <col collapsed="false" customWidth="true" hidden="false" outlineLevel="0" max="18" min="18" style="1" width="26"/>
    <col collapsed="false" customWidth="true" hidden="false" outlineLevel="0" max="20" min="19" style="1" width="50"/>
    <col collapsed="false" customWidth="true" hidden="false" outlineLevel="0" max="21" min="21" style="1" width="40"/>
    <col collapsed="false" customWidth="true" hidden="false" outlineLevel="0" max="22" min="22" style="1" width="24"/>
    <col collapsed="false" customWidth="true" hidden="false" outlineLevel="0" max="23" min="23" style="1" width="10"/>
    <col collapsed="false" customWidth="true" hidden="false" outlineLevel="0" max="24" min="24" style="0" width="46"/>
  </cols>
  <sheetData>
    <row r="1" customFormat="false" ht="18"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customFormat="false" ht="20.25" hidden="false" customHeight="true" outlineLevel="0" collapsed="false">
      <c r="A2" s="3" t="n">
        <v>46025</v>
      </c>
      <c r="B2" s="4" t="s">
        <v>24</v>
      </c>
      <c r="C2" s="4" t="s">
        <v>25</v>
      </c>
      <c r="D2" s="4" t="s">
        <v>26</v>
      </c>
      <c r="E2" s="4" t="s">
        <v>27</v>
      </c>
      <c r="F2" s="4" t="s">
        <v>28</v>
      </c>
      <c r="G2" s="4" t="s">
        <v>27</v>
      </c>
      <c r="H2" s="4" t="s">
        <v>29</v>
      </c>
      <c r="I2" s="4" t="s">
        <v>30</v>
      </c>
      <c r="J2" s="4" t="s">
        <v>31</v>
      </c>
      <c r="K2" s="4" t="s">
        <v>27</v>
      </c>
      <c r="L2" s="4" t="s">
        <v>27</v>
      </c>
      <c r="M2" s="4" t="s">
        <v>27</v>
      </c>
      <c r="N2" s="4" t="s">
        <v>27</v>
      </c>
      <c r="O2" s="4" t="s">
        <v>27</v>
      </c>
      <c r="P2" s="4" t="s">
        <v>27</v>
      </c>
      <c r="Q2" s="4" t="s">
        <v>27</v>
      </c>
      <c r="R2" s="4" t="s">
        <v>32</v>
      </c>
      <c r="S2" s="4" t="s">
        <v>33</v>
      </c>
      <c r="T2" s="4" t="s">
        <v>34</v>
      </c>
      <c r="U2" s="4" t="s">
        <v>35</v>
      </c>
      <c r="V2" s="4" t="s">
        <v>36</v>
      </c>
      <c r="W2" s="5" t="str">
        <f aca="false">IF(OR(ISNUMBER(SEARCH("gesha",G2)),ISNUMBER(SEARCH("geisha",G2))),"⭐ GESHA","")</f>
        <v/>
      </c>
      <c r="X2" s="4" t="s">
        <v>37</v>
      </c>
    </row>
    <row r="3" customFormat="false" ht="20.25" hidden="false" customHeight="true" outlineLevel="0" collapsed="false">
      <c r="A3" s="3" t="n">
        <v>46026</v>
      </c>
      <c r="B3" s="4" t="s">
        <v>24</v>
      </c>
      <c r="C3" s="4" t="s">
        <v>25</v>
      </c>
      <c r="D3" s="4" t="s">
        <v>38</v>
      </c>
      <c r="E3" s="4" t="s">
        <v>27</v>
      </c>
      <c r="F3" s="4" t="s">
        <v>39</v>
      </c>
      <c r="G3" s="4" t="s">
        <v>27</v>
      </c>
      <c r="H3" s="4" t="s">
        <v>40</v>
      </c>
      <c r="I3" s="4" t="s">
        <v>41</v>
      </c>
      <c r="J3" s="4" t="s">
        <v>42</v>
      </c>
      <c r="K3" s="4" t="s">
        <v>27</v>
      </c>
      <c r="L3" s="4" t="s">
        <v>27</v>
      </c>
      <c r="M3" s="4" t="s">
        <v>27</v>
      </c>
      <c r="N3" s="4" t="s">
        <v>27</v>
      </c>
      <c r="O3" s="4" t="s">
        <v>27</v>
      </c>
      <c r="P3" s="4" t="s">
        <v>27</v>
      </c>
      <c r="Q3" s="4" t="s">
        <v>27</v>
      </c>
      <c r="R3" s="4" t="s">
        <v>43</v>
      </c>
      <c r="S3" s="4" t="s">
        <v>44</v>
      </c>
      <c r="T3" s="4" t="s">
        <v>45</v>
      </c>
      <c r="U3" s="4" t="s">
        <v>35</v>
      </c>
      <c r="V3" s="4" t="s">
        <v>36</v>
      </c>
      <c r="W3" s="5" t="str">
        <f aca="false">IF(OR(ISNUMBER(SEARCH("gesha",G3)),ISNUMBER(SEARCH("geisha",G3))),"⭐ GESHA","")</f>
        <v/>
      </c>
      <c r="X3" s="4" t="s">
        <v>37</v>
      </c>
    </row>
    <row r="4" customFormat="false" ht="20.25" hidden="false" customHeight="true" outlineLevel="0" collapsed="false">
      <c r="A4" s="3" t="n">
        <v>46026</v>
      </c>
      <c r="B4" s="4" t="s">
        <v>24</v>
      </c>
      <c r="C4" s="4" t="s">
        <v>25</v>
      </c>
      <c r="D4" s="4" t="s">
        <v>46</v>
      </c>
      <c r="E4" s="4" t="s">
        <v>27</v>
      </c>
      <c r="F4" s="4" t="s">
        <v>27</v>
      </c>
      <c r="G4" s="4" t="s">
        <v>27</v>
      </c>
      <c r="H4" s="4" t="s">
        <v>27</v>
      </c>
      <c r="I4" s="4" t="s">
        <v>47</v>
      </c>
      <c r="J4" s="4" t="s">
        <v>48</v>
      </c>
      <c r="K4" s="4" t="s">
        <v>27</v>
      </c>
      <c r="L4" s="4" t="s">
        <v>27</v>
      </c>
      <c r="M4" s="4" t="s">
        <v>27</v>
      </c>
      <c r="N4" s="4" t="s">
        <v>27</v>
      </c>
      <c r="O4" s="4" t="s">
        <v>27</v>
      </c>
      <c r="P4" s="4" t="s">
        <v>27</v>
      </c>
      <c r="Q4" s="4" t="s">
        <v>27</v>
      </c>
      <c r="R4" s="4" t="s">
        <v>49</v>
      </c>
      <c r="S4" s="4" t="s">
        <v>50</v>
      </c>
      <c r="T4" s="4" t="s">
        <v>51</v>
      </c>
      <c r="U4" s="4" t="s">
        <v>35</v>
      </c>
      <c r="V4" s="4" t="s">
        <v>36</v>
      </c>
      <c r="W4" s="5" t="str">
        <f aca="false">IF(OR(ISNUMBER(SEARCH("gesha",G4)),ISNUMBER(SEARCH("geisha",G4))),"⭐ GESHA","")</f>
        <v/>
      </c>
      <c r="X4" s="4" t="s">
        <v>37</v>
      </c>
    </row>
    <row r="5" customFormat="false" ht="69" hidden="false" customHeight="true" outlineLevel="0" collapsed="false">
      <c r="A5" s="3" t="n">
        <v>46063</v>
      </c>
      <c r="B5" s="4" t="s">
        <v>52</v>
      </c>
      <c r="C5" s="4" t="s">
        <v>53</v>
      </c>
      <c r="D5" s="4" t="s">
        <v>54</v>
      </c>
      <c r="E5" s="4" t="s">
        <v>55</v>
      </c>
      <c r="F5" s="4" t="s">
        <v>56</v>
      </c>
      <c r="G5" s="4" t="s">
        <v>57</v>
      </c>
      <c r="H5" s="4" t="s">
        <v>58</v>
      </c>
      <c r="I5" s="4" t="s">
        <v>27</v>
      </c>
      <c r="J5" s="4" t="s">
        <v>59</v>
      </c>
      <c r="K5" s="4" t="n">
        <v>15</v>
      </c>
      <c r="L5" s="4" t="n">
        <v>240</v>
      </c>
      <c r="M5" s="4" t="s">
        <v>60</v>
      </c>
      <c r="N5" s="4" t="s">
        <v>61</v>
      </c>
      <c r="O5" s="4" t="s">
        <v>27</v>
      </c>
      <c r="P5" s="4" t="s">
        <v>62</v>
      </c>
      <c r="Q5" s="6" t="n">
        <v>8</v>
      </c>
      <c r="R5" s="4" t="s">
        <v>63</v>
      </c>
      <c r="S5" s="4" t="s">
        <v>64</v>
      </c>
      <c r="T5" s="4" t="s">
        <v>65</v>
      </c>
      <c r="U5" s="4" t="s">
        <v>66</v>
      </c>
      <c r="V5" s="4" t="s">
        <v>67</v>
      </c>
      <c r="W5" s="5" t="str">
        <f aca="false">IF(OR(ISNUMBER(SEARCH("gesha",G5)),ISNUMBER(SEARCH("geisha",G5))),"⭐ GESHA","")</f>
        <v/>
      </c>
      <c r="X5" s="4" t="s">
        <v>68</v>
      </c>
    </row>
    <row r="6" customFormat="false" ht="20.25" hidden="false" customHeight="true" outlineLevel="0" collapsed="false">
      <c r="A6" s="3" t="n">
        <v>46082</v>
      </c>
      <c r="B6" s="4" t="s">
        <v>69</v>
      </c>
      <c r="C6" s="4" t="s">
        <v>70</v>
      </c>
      <c r="D6" s="4" t="s">
        <v>71</v>
      </c>
      <c r="E6" s="4" t="s">
        <v>72</v>
      </c>
      <c r="F6" s="4" t="s">
        <v>73</v>
      </c>
      <c r="G6" s="4" t="s">
        <v>27</v>
      </c>
      <c r="H6" s="4" t="s">
        <v>74</v>
      </c>
      <c r="I6" s="4" t="s">
        <v>75</v>
      </c>
      <c r="J6" s="4" t="s">
        <v>31</v>
      </c>
      <c r="K6" s="4" t="s">
        <v>27</v>
      </c>
      <c r="L6" s="4" t="s">
        <v>27</v>
      </c>
      <c r="M6" s="4" t="s">
        <v>27</v>
      </c>
      <c r="N6" s="4" t="s">
        <v>27</v>
      </c>
      <c r="O6" s="4" t="s">
        <v>27</v>
      </c>
      <c r="P6" s="4" t="s">
        <v>27</v>
      </c>
      <c r="Q6" s="4" t="s">
        <v>27</v>
      </c>
      <c r="R6" s="4" t="s">
        <v>27</v>
      </c>
      <c r="S6" s="4" t="s">
        <v>76</v>
      </c>
      <c r="T6" s="4" t="s">
        <v>77</v>
      </c>
      <c r="U6" s="4" t="s">
        <v>78</v>
      </c>
      <c r="V6" s="4" t="s">
        <v>36</v>
      </c>
      <c r="W6" s="5" t="str">
        <f aca="false">IF(OR(ISNUMBER(SEARCH("gesha",G6)),ISNUMBER(SEARCH("geisha",G6))),"⭐ GESHA","")</f>
        <v/>
      </c>
      <c r="X6" s="4" t="s">
        <v>79</v>
      </c>
    </row>
    <row r="7" customFormat="false" ht="20.25" hidden="false" customHeight="true" outlineLevel="0" collapsed="false">
      <c r="A7" s="3" t="n">
        <v>46089</v>
      </c>
      <c r="B7" s="4" t="s">
        <v>69</v>
      </c>
      <c r="C7" s="4" t="s">
        <v>80</v>
      </c>
      <c r="D7" s="4" t="s">
        <v>81</v>
      </c>
      <c r="E7" s="4" t="s">
        <v>82</v>
      </c>
      <c r="F7" s="4" t="s">
        <v>73</v>
      </c>
      <c r="G7" s="4" t="s">
        <v>27</v>
      </c>
      <c r="H7" s="4" t="s">
        <v>83</v>
      </c>
      <c r="I7" s="4" t="s">
        <v>41</v>
      </c>
      <c r="J7" s="4" t="s">
        <v>31</v>
      </c>
      <c r="K7" s="4" t="s">
        <v>27</v>
      </c>
      <c r="L7" s="4" t="s">
        <v>27</v>
      </c>
      <c r="M7" s="4" t="s">
        <v>27</v>
      </c>
      <c r="N7" s="4" t="s">
        <v>27</v>
      </c>
      <c r="O7" s="4" t="s">
        <v>27</v>
      </c>
      <c r="P7" s="4" t="s">
        <v>27</v>
      </c>
      <c r="Q7" s="4" t="s">
        <v>27</v>
      </c>
      <c r="R7" s="4" t="s">
        <v>84</v>
      </c>
      <c r="S7" s="4" t="s">
        <v>85</v>
      </c>
      <c r="T7" s="4" t="s">
        <v>86</v>
      </c>
      <c r="U7" s="4" t="s">
        <v>78</v>
      </c>
      <c r="V7" s="4" t="s">
        <v>36</v>
      </c>
      <c r="W7" s="5" t="str">
        <f aca="false">IF(OR(ISNUMBER(SEARCH("gesha",G7)),ISNUMBER(SEARCH("geisha",G7))),"⭐ GESHA","")</f>
        <v/>
      </c>
      <c r="X7" s="4" t="s">
        <v>87</v>
      </c>
    </row>
    <row r="8" customFormat="false" ht="20.25" hidden="false" customHeight="true" outlineLevel="0" collapsed="false">
      <c r="A8" s="3" t="n">
        <v>46099</v>
      </c>
      <c r="B8" s="4" t="s">
        <v>52</v>
      </c>
      <c r="C8" s="4" t="s">
        <v>88</v>
      </c>
      <c r="D8" s="4" t="s">
        <v>89</v>
      </c>
      <c r="E8" s="4" t="s">
        <v>27</v>
      </c>
      <c r="F8" s="4" t="s">
        <v>90</v>
      </c>
      <c r="G8" s="4" t="s">
        <v>91</v>
      </c>
      <c r="H8" s="4" t="s">
        <v>29</v>
      </c>
      <c r="I8" s="4" t="s">
        <v>30</v>
      </c>
      <c r="J8" s="4" t="s">
        <v>42</v>
      </c>
      <c r="K8" s="4" t="s">
        <v>27</v>
      </c>
      <c r="L8" s="4" t="s">
        <v>27</v>
      </c>
      <c r="M8" s="4" t="s">
        <v>27</v>
      </c>
      <c r="N8" s="4" t="s">
        <v>27</v>
      </c>
      <c r="O8" s="4" t="s">
        <v>27</v>
      </c>
      <c r="P8" s="4" t="s">
        <v>27</v>
      </c>
      <c r="Q8" s="4" t="s">
        <v>27</v>
      </c>
      <c r="R8" s="4" t="s">
        <v>27</v>
      </c>
      <c r="S8" s="4" t="s">
        <v>92</v>
      </c>
      <c r="T8" s="4" t="s">
        <v>93</v>
      </c>
      <c r="U8" s="4" t="s">
        <v>94</v>
      </c>
      <c r="V8" s="4" t="s">
        <v>95</v>
      </c>
      <c r="W8" s="5" t="str">
        <f aca="false">IF(OR(ISNUMBER(SEARCH("gesha",G8)),ISNUMBER(SEARCH("geisha",G8))),"⭐ GESHA","")</f>
        <v/>
      </c>
      <c r="X8" s="4" t="s">
        <v>96</v>
      </c>
    </row>
    <row r="9" customFormat="false" ht="20.25" hidden="false" customHeight="true" outlineLevel="0" collapsed="false">
      <c r="A9" s="3" t="n">
        <v>46099</v>
      </c>
      <c r="B9" s="4" t="s">
        <v>52</v>
      </c>
      <c r="C9" s="4" t="s">
        <v>88</v>
      </c>
      <c r="D9" s="4" t="s">
        <v>97</v>
      </c>
      <c r="E9" s="4" t="s">
        <v>27</v>
      </c>
      <c r="F9" s="4" t="s">
        <v>98</v>
      </c>
      <c r="G9" s="4" t="s">
        <v>99</v>
      </c>
      <c r="H9" s="4" t="s">
        <v>58</v>
      </c>
      <c r="I9" s="4" t="s">
        <v>100</v>
      </c>
      <c r="J9" s="4" t="s">
        <v>101</v>
      </c>
      <c r="K9" s="4" t="s">
        <v>27</v>
      </c>
      <c r="L9" s="4" t="s">
        <v>27</v>
      </c>
      <c r="M9" s="4" t="s">
        <v>27</v>
      </c>
      <c r="N9" s="4" t="s">
        <v>27</v>
      </c>
      <c r="O9" s="4" t="s">
        <v>27</v>
      </c>
      <c r="P9" s="4" t="s">
        <v>27</v>
      </c>
      <c r="Q9" s="4" t="s">
        <v>27</v>
      </c>
      <c r="R9" s="4" t="s">
        <v>27</v>
      </c>
      <c r="S9" s="4" t="s">
        <v>102</v>
      </c>
      <c r="T9" s="4" t="s">
        <v>103</v>
      </c>
      <c r="U9" s="4" t="s">
        <v>94</v>
      </c>
      <c r="V9" s="4" t="s">
        <v>95</v>
      </c>
      <c r="W9" s="5" t="str">
        <f aca="false">IF(OR(ISNUMBER(SEARCH("gesha",G9)),ISNUMBER(SEARCH("geisha",G9))),"⭐ GESHA","")</f>
        <v/>
      </c>
      <c r="X9" s="4" t="s">
        <v>96</v>
      </c>
    </row>
    <row r="10" customFormat="false" ht="20.25" hidden="false" customHeight="true" outlineLevel="0" collapsed="false">
      <c r="A10" s="3" t="n">
        <v>46099</v>
      </c>
      <c r="B10" s="4" t="s">
        <v>52</v>
      </c>
      <c r="C10" s="4" t="s">
        <v>104</v>
      </c>
      <c r="D10" s="4" t="s">
        <v>105</v>
      </c>
      <c r="E10" s="4" t="s">
        <v>27</v>
      </c>
      <c r="F10" s="4" t="s">
        <v>98</v>
      </c>
      <c r="G10" s="4" t="s">
        <v>106</v>
      </c>
      <c r="H10" s="4" t="s">
        <v>107</v>
      </c>
      <c r="I10" s="4" t="s">
        <v>30</v>
      </c>
      <c r="J10" s="4" t="s">
        <v>42</v>
      </c>
      <c r="K10" s="4" t="s">
        <v>27</v>
      </c>
      <c r="L10" s="4" t="s">
        <v>27</v>
      </c>
      <c r="M10" s="4" t="s">
        <v>27</v>
      </c>
      <c r="N10" s="4" t="s">
        <v>27</v>
      </c>
      <c r="O10" s="4" t="s">
        <v>27</v>
      </c>
      <c r="P10" s="4" t="s">
        <v>27</v>
      </c>
      <c r="Q10" s="6" t="n">
        <v>15</v>
      </c>
      <c r="R10" s="4" t="s">
        <v>108</v>
      </c>
      <c r="S10" s="4" t="s">
        <v>109</v>
      </c>
      <c r="T10" s="4" t="s">
        <v>110</v>
      </c>
      <c r="U10" s="4" t="s">
        <v>94</v>
      </c>
      <c r="V10" s="4" t="s">
        <v>95</v>
      </c>
      <c r="W10" s="5" t="str">
        <f aca="false">IF(OR(ISNUMBER(SEARCH("gesha",G10)),ISNUMBER(SEARCH("geisha",G10))),"⭐ GESHA","")</f>
        <v/>
      </c>
      <c r="X10" s="4" t="s">
        <v>111</v>
      </c>
    </row>
    <row r="11" customFormat="false" ht="20.25" hidden="false" customHeight="true" outlineLevel="0" collapsed="false">
      <c r="A11" s="3" t="n">
        <v>46099</v>
      </c>
      <c r="B11" s="4" t="s">
        <v>52</v>
      </c>
      <c r="C11" s="4" t="s">
        <v>104</v>
      </c>
      <c r="D11" s="4" t="s">
        <v>46</v>
      </c>
      <c r="E11" s="4" t="s">
        <v>27</v>
      </c>
      <c r="F11" s="4" t="s">
        <v>27</v>
      </c>
      <c r="G11" s="4" t="s">
        <v>27</v>
      </c>
      <c r="H11" s="4" t="s">
        <v>27</v>
      </c>
      <c r="I11" s="4" t="s">
        <v>27</v>
      </c>
      <c r="J11" s="4" t="s">
        <v>112</v>
      </c>
      <c r="K11" s="4" t="s">
        <v>27</v>
      </c>
      <c r="L11" s="4" t="s">
        <v>27</v>
      </c>
      <c r="M11" s="4" t="s">
        <v>27</v>
      </c>
      <c r="N11" s="4" t="s">
        <v>27</v>
      </c>
      <c r="O11" s="4" t="s">
        <v>27</v>
      </c>
      <c r="P11" s="4" t="s">
        <v>27</v>
      </c>
      <c r="Q11" s="4" t="s">
        <v>27</v>
      </c>
      <c r="R11" s="4" t="s">
        <v>27</v>
      </c>
      <c r="S11" s="4" t="s">
        <v>113</v>
      </c>
      <c r="T11" s="4" t="s">
        <v>114</v>
      </c>
      <c r="U11" s="4" t="s">
        <v>94</v>
      </c>
      <c r="V11" s="4" t="s">
        <v>95</v>
      </c>
      <c r="W11" s="5" t="str">
        <f aca="false">IF(OR(ISNUMBER(SEARCH("gesha",G11)),ISNUMBER(SEARCH("geisha",G11))),"⭐ GESHA","")</f>
        <v/>
      </c>
      <c r="X11" s="4" t="s">
        <v>111</v>
      </c>
    </row>
    <row r="12" customFormat="false" ht="20.25" hidden="false" customHeight="true" outlineLevel="0" collapsed="false">
      <c r="A12" s="3" t="n">
        <v>46103</v>
      </c>
      <c r="B12" s="4" t="s">
        <v>52</v>
      </c>
      <c r="C12" s="4" t="s">
        <v>115</v>
      </c>
      <c r="D12" s="4" t="s">
        <v>116</v>
      </c>
      <c r="E12" s="4" t="s">
        <v>117</v>
      </c>
      <c r="F12" s="4" t="s">
        <v>118</v>
      </c>
      <c r="G12" s="4" t="s">
        <v>119</v>
      </c>
      <c r="H12" s="4" t="s">
        <v>58</v>
      </c>
      <c r="I12" s="4" t="s">
        <v>30</v>
      </c>
      <c r="J12" s="4" t="s">
        <v>59</v>
      </c>
      <c r="K12" s="4" t="s">
        <v>27</v>
      </c>
      <c r="L12" s="4" t="s">
        <v>27</v>
      </c>
      <c r="M12" s="4" t="s">
        <v>120</v>
      </c>
      <c r="N12" s="4" t="s">
        <v>27</v>
      </c>
      <c r="O12" s="4" t="s">
        <v>27</v>
      </c>
      <c r="P12" s="4" t="s">
        <v>27</v>
      </c>
      <c r="Q12" s="4" t="s">
        <v>27</v>
      </c>
      <c r="R12" s="4" t="s">
        <v>121</v>
      </c>
      <c r="S12" s="4" t="s">
        <v>122</v>
      </c>
      <c r="T12" s="4" t="s">
        <v>123</v>
      </c>
      <c r="U12" s="4" t="s">
        <v>124</v>
      </c>
      <c r="V12" s="4" t="s">
        <v>36</v>
      </c>
      <c r="W12" s="5" t="str">
        <f aca="false">IF(OR(ISNUMBER(SEARCH("gesha",G12)),ISNUMBER(SEARCH("geisha",G12))),"⭐ GESHA","")</f>
        <v/>
      </c>
      <c r="X12" s="4" t="s">
        <v>125</v>
      </c>
    </row>
    <row r="13" customFormat="false" ht="20.25" hidden="false" customHeight="true" outlineLevel="0" collapsed="false">
      <c r="A13" s="3" t="n">
        <v>46105</v>
      </c>
      <c r="B13" s="4" t="s">
        <v>52</v>
      </c>
      <c r="C13" s="4" t="s">
        <v>53</v>
      </c>
      <c r="D13" s="4" t="s">
        <v>126</v>
      </c>
      <c r="E13" s="4" t="s">
        <v>27</v>
      </c>
      <c r="F13" s="4" t="s">
        <v>127</v>
      </c>
      <c r="G13" s="4" t="s">
        <v>128</v>
      </c>
      <c r="H13" s="4" t="s">
        <v>58</v>
      </c>
      <c r="I13" s="4" t="s">
        <v>27</v>
      </c>
      <c r="J13" s="4" t="s">
        <v>42</v>
      </c>
      <c r="K13" s="4" t="s">
        <v>27</v>
      </c>
      <c r="L13" s="4" t="s">
        <v>27</v>
      </c>
      <c r="M13" s="4" t="s">
        <v>27</v>
      </c>
      <c r="N13" s="4" t="s">
        <v>27</v>
      </c>
      <c r="O13" s="4" t="s">
        <v>27</v>
      </c>
      <c r="P13" s="4" t="s">
        <v>27</v>
      </c>
      <c r="Q13" s="6" t="n">
        <v>9</v>
      </c>
      <c r="R13" s="4" t="s">
        <v>129</v>
      </c>
      <c r="S13" s="4" t="s">
        <v>130</v>
      </c>
      <c r="T13" s="4" t="s">
        <v>131</v>
      </c>
      <c r="U13" s="4" t="s">
        <v>124</v>
      </c>
      <c r="V13" s="4" t="s">
        <v>36</v>
      </c>
      <c r="W13" s="5" t="str">
        <f aca="false">IF(OR(ISNUMBER(SEARCH("gesha",G13)),ISNUMBER(SEARCH("geisha",G13))),"⭐ GESHA","")</f>
        <v/>
      </c>
      <c r="X13" s="4" t="s">
        <v>68</v>
      </c>
    </row>
    <row r="14" customFormat="false" ht="20.25" hidden="false" customHeight="true" outlineLevel="0" collapsed="false">
      <c r="A14" s="3" t="n">
        <v>46106</v>
      </c>
      <c r="B14" s="4" t="s">
        <v>52</v>
      </c>
      <c r="C14" s="4" t="s">
        <v>132</v>
      </c>
      <c r="D14" s="4" t="s">
        <v>133</v>
      </c>
      <c r="E14" s="4" t="s">
        <v>134</v>
      </c>
      <c r="F14" s="4" t="s">
        <v>135</v>
      </c>
      <c r="G14" s="4" t="s">
        <v>27</v>
      </c>
      <c r="H14" s="4" t="s">
        <v>136</v>
      </c>
      <c r="I14" s="4" t="s">
        <v>47</v>
      </c>
      <c r="J14" s="4" t="s">
        <v>137</v>
      </c>
      <c r="K14" s="4" t="s">
        <v>27</v>
      </c>
      <c r="L14" s="4" t="s">
        <v>27</v>
      </c>
      <c r="M14" s="4" t="s">
        <v>27</v>
      </c>
      <c r="N14" s="4" t="s">
        <v>27</v>
      </c>
      <c r="O14" s="4" t="s">
        <v>27</v>
      </c>
      <c r="P14" s="4" t="s">
        <v>27</v>
      </c>
      <c r="Q14" s="4" t="s">
        <v>27</v>
      </c>
      <c r="R14" s="4" t="s">
        <v>138</v>
      </c>
      <c r="S14" s="4" t="s">
        <v>139</v>
      </c>
      <c r="T14" s="4" t="s">
        <v>140</v>
      </c>
      <c r="U14" s="4" t="s">
        <v>124</v>
      </c>
      <c r="V14" s="4" t="s">
        <v>36</v>
      </c>
      <c r="W14" s="5" t="str">
        <f aca="false">IF(OR(ISNUMBER(SEARCH("gesha",G14)),ISNUMBER(SEARCH("geisha",G14))),"⭐ GESHA","")</f>
        <v/>
      </c>
      <c r="X14" s="4" t="s">
        <v>141</v>
      </c>
    </row>
    <row r="15" customFormat="false" ht="20.25" hidden="false" customHeight="true" outlineLevel="0" collapsed="false">
      <c r="A15" s="3" t="n">
        <v>46108</v>
      </c>
      <c r="B15" s="4" t="s">
        <v>52</v>
      </c>
      <c r="C15" s="4" t="s">
        <v>132</v>
      </c>
      <c r="D15" s="4" t="s">
        <v>142</v>
      </c>
      <c r="E15" s="4" t="s">
        <v>143</v>
      </c>
      <c r="F15" s="4" t="s">
        <v>144</v>
      </c>
      <c r="G15" s="4" t="s">
        <v>145</v>
      </c>
      <c r="H15" s="4" t="s">
        <v>29</v>
      </c>
      <c r="I15" s="4" t="s">
        <v>146</v>
      </c>
      <c r="J15" s="4" t="s">
        <v>147</v>
      </c>
      <c r="K15" s="4" t="n">
        <v>15</v>
      </c>
      <c r="L15" s="4" t="n">
        <v>220</v>
      </c>
      <c r="M15" s="4" t="s">
        <v>148</v>
      </c>
      <c r="N15" s="4" t="s">
        <v>27</v>
      </c>
      <c r="O15" s="4" t="s">
        <v>27</v>
      </c>
      <c r="P15" s="4" t="s">
        <v>149</v>
      </c>
      <c r="Q15" s="4" t="s">
        <v>27</v>
      </c>
      <c r="R15" s="4" t="s">
        <v>150</v>
      </c>
      <c r="S15" s="4" t="s">
        <v>151</v>
      </c>
      <c r="T15" s="4" t="s">
        <v>152</v>
      </c>
      <c r="U15" s="4" t="s">
        <v>124</v>
      </c>
      <c r="V15" s="4" t="s">
        <v>36</v>
      </c>
      <c r="W15" s="5" t="str">
        <f aca="false">IF(OR(ISNUMBER(SEARCH("gesha",G15)),ISNUMBER(SEARCH("geisha",G15))),"⭐ GESHA","")</f>
        <v/>
      </c>
      <c r="X15" s="4" t="s">
        <v>141</v>
      </c>
    </row>
    <row r="16" customFormat="false" ht="20.25" hidden="false" customHeight="true" outlineLevel="0" collapsed="false">
      <c r="A16" s="3" t="n">
        <v>46109</v>
      </c>
      <c r="B16" s="4" t="s">
        <v>52</v>
      </c>
      <c r="C16" s="4" t="s">
        <v>153</v>
      </c>
      <c r="D16" s="4" t="s">
        <v>154</v>
      </c>
      <c r="E16" s="4" t="s">
        <v>27</v>
      </c>
      <c r="F16" s="4" t="s">
        <v>155</v>
      </c>
      <c r="G16" s="4" t="s">
        <v>27</v>
      </c>
      <c r="H16" s="4" t="s">
        <v>29</v>
      </c>
      <c r="I16" s="4" t="s">
        <v>41</v>
      </c>
      <c r="J16" s="4" t="s">
        <v>42</v>
      </c>
      <c r="K16" s="4" t="n">
        <v>15</v>
      </c>
      <c r="L16" s="4" t="n">
        <v>225</v>
      </c>
      <c r="M16" s="4" t="s">
        <v>156</v>
      </c>
      <c r="N16" s="4" t="s">
        <v>27</v>
      </c>
      <c r="O16" s="4" t="s">
        <v>27</v>
      </c>
      <c r="P16" s="4" t="s">
        <v>27</v>
      </c>
      <c r="Q16" s="6" t="n">
        <v>8</v>
      </c>
      <c r="R16" s="4" t="s">
        <v>157</v>
      </c>
      <c r="S16" s="4" t="s">
        <v>158</v>
      </c>
      <c r="T16" s="4" t="s">
        <v>159</v>
      </c>
      <c r="U16" s="4" t="s">
        <v>124</v>
      </c>
      <c r="V16" s="4" t="s">
        <v>36</v>
      </c>
      <c r="W16" s="5" t="str">
        <f aca="false">IF(OR(ISNUMBER(SEARCH("gesha",G16)),ISNUMBER(SEARCH("geisha",G16))),"⭐ GESHA","")</f>
        <v/>
      </c>
      <c r="X16" s="4" t="s">
        <v>160</v>
      </c>
    </row>
    <row r="17" customFormat="false" ht="20.25" hidden="false" customHeight="true" outlineLevel="0" collapsed="false">
      <c r="A17" s="3" t="n">
        <v>46109</v>
      </c>
      <c r="B17" s="4" t="s">
        <v>52</v>
      </c>
      <c r="C17" s="4" t="s">
        <v>153</v>
      </c>
      <c r="D17" s="4" t="s">
        <v>161</v>
      </c>
      <c r="E17" s="4" t="s">
        <v>27</v>
      </c>
      <c r="F17" s="4" t="s">
        <v>162</v>
      </c>
      <c r="G17" s="4" t="s">
        <v>27</v>
      </c>
      <c r="H17" s="4" t="s">
        <v>27</v>
      </c>
      <c r="I17" s="4" t="s">
        <v>27</v>
      </c>
      <c r="J17" s="4" t="s">
        <v>163</v>
      </c>
      <c r="K17" s="4" t="s">
        <v>27</v>
      </c>
      <c r="L17" s="4" t="s">
        <v>27</v>
      </c>
      <c r="M17" s="4" t="s">
        <v>27</v>
      </c>
      <c r="N17" s="4" t="s">
        <v>27</v>
      </c>
      <c r="O17" s="4" t="s">
        <v>27</v>
      </c>
      <c r="P17" s="4" t="s">
        <v>27</v>
      </c>
      <c r="Q17" s="6" t="n">
        <v>5.1</v>
      </c>
      <c r="R17" s="4" t="s">
        <v>164</v>
      </c>
      <c r="S17" s="4" t="s">
        <v>165</v>
      </c>
      <c r="T17" s="4" t="s">
        <v>166</v>
      </c>
      <c r="U17" s="4" t="s">
        <v>124</v>
      </c>
      <c r="V17" s="4" t="s">
        <v>95</v>
      </c>
      <c r="W17" s="5" t="str">
        <f aca="false">IF(OR(ISNUMBER(SEARCH("gesha",G17)),ISNUMBER(SEARCH("geisha",G17))),"⭐ GESHA","")</f>
        <v/>
      </c>
      <c r="X17" s="4" t="s">
        <v>160</v>
      </c>
    </row>
    <row r="18" customFormat="false" ht="20.25" hidden="false" customHeight="true" outlineLevel="0" collapsed="false">
      <c r="A18" s="3" t="n">
        <v>46110</v>
      </c>
      <c r="B18" s="4" t="s">
        <v>52</v>
      </c>
      <c r="C18" s="4" t="s">
        <v>167</v>
      </c>
      <c r="D18" s="4" t="s">
        <v>168</v>
      </c>
      <c r="E18" s="4" t="s">
        <v>169</v>
      </c>
      <c r="F18" s="4" t="s">
        <v>170</v>
      </c>
      <c r="G18" s="4" t="s">
        <v>171</v>
      </c>
      <c r="H18" s="4" t="s">
        <v>58</v>
      </c>
      <c r="I18" s="4" t="s">
        <v>41</v>
      </c>
      <c r="J18" s="4" t="s">
        <v>172</v>
      </c>
      <c r="K18" s="4" t="n">
        <v>15</v>
      </c>
      <c r="L18" s="4" t="n">
        <v>240</v>
      </c>
      <c r="M18" s="4" t="s">
        <v>60</v>
      </c>
      <c r="N18" s="4" t="s">
        <v>173</v>
      </c>
      <c r="O18" s="4" t="s">
        <v>27</v>
      </c>
      <c r="P18" s="4" t="s">
        <v>174</v>
      </c>
      <c r="Q18" s="6" t="n">
        <v>11</v>
      </c>
      <c r="R18" s="4" t="s">
        <v>175</v>
      </c>
      <c r="S18" s="4" t="s">
        <v>176</v>
      </c>
      <c r="T18" s="4" t="s">
        <v>177</v>
      </c>
      <c r="U18" s="4" t="s">
        <v>124</v>
      </c>
      <c r="V18" s="4" t="s">
        <v>95</v>
      </c>
      <c r="W18" s="5" t="str">
        <f aca="false">IF(OR(ISNUMBER(SEARCH("gesha",G18)),ISNUMBER(SEARCH("geisha",G18))),"⭐ GESHA","")</f>
        <v>⭐ GESHA</v>
      </c>
      <c r="X18" s="4" t="s">
        <v>178</v>
      </c>
    </row>
    <row r="19" customFormat="false" ht="30" hidden="false" customHeight="true" outlineLevel="0" collapsed="false">
      <c r="A19" s="3" t="n">
        <v>46113</v>
      </c>
      <c r="B19" s="4" t="s">
        <v>52</v>
      </c>
      <c r="C19" s="4" t="s">
        <v>179</v>
      </c>
      <c r="D19" s="4" t="s">
        <v>180</v>
      </c>
      <c r="E19" s="4" t="s">
        <v>181</v>
      </c>
      <c r="F19" s="4" t="s">
        <v>182</v>
      </c>
      <c r="G19" s="4" t="s">
        <v>183</v>
      </c>
      <c r="H19" s="4" t="s">
        <v>58</v>
      </c>
      <c r="I19" s="4" t="s">
        <v>30</v>
      </c>
      <c r="J19" s="4" t="s">
        <v>59</v>
      </c>
      <c r="K19" s="4" t="n">
        <v>15</v>
      </c>
      <c r="L19" s="4" t="n">
        <v>230</v>
      </c>
      <c r="M19" s="4" t="s">
        <v>184</v>
      </c>
      <c r="N19" s="4" t="s">
        <v>185</v>
      </c>
      <c r="O19" s="4" t="s">
        <v>27</v>
      </c>
      <c r="P19" s="4" t="s">
        <v>186</v>
      </c>
      <c r="Q19" s="6" t="n">
        <v>9</v>
      </c>
      <c r="R19" s="4" t="s">
        <v>187</v>
      </c>
      <c r="S19" s="4" t="s">
        <v>188</v>
      </c>
      <c r="T19" s="4" t="s">
        <v>189</v>
      </c>
      <c r="U19" s="4" t="s">
        <v>190</v>
      </c>
      <c r="V19" s="4" t="s">
        <v>36</v>
      </c>
      <c r="W19" s="5" t="str">
        <f aca="false">IF(OR(ISNUMBER(SEARCH("gesha",G19)),ISNUMBER(SEARCH("geisha",G19))),"⭐ GESHA","")</f>
        <v/>
      </c>
      <c r="X19" s="4" t="s">
        <v>191</v>
      </c>
    </row>
    <row r="20" customFormat="false" ht="20.25" hidden="false" customHeight="true" outlineLevel="0" collapsed="false">
      <c r="A20" s="3" t="n">
        <v>46113</v>
      </c>
      <c r="B20" s="4" t="s">
        <v>52</v>
      </c>
      <c r="C20" s="4" t="s">
        <v>192</v>
      </c>
      <c r="D20" s="4" t="s">
        <v>193</v>
      </c>
      <c r="E20" s="4" t="s">
        <v>194</v>
      </c>
      <c r="F20" s="4" t="s">
        <v>195</v>
      </c>
      <c r="G20" s="4" t="s">
        <v>196</v>
      </c>
      <c r="H20" s="4" t="s">
        <v>197</v>
      </c>
      <c r="I20" s="4" t="s">
        <v>146</v>
      </c>
      <c r="J20" s="4" t="s">
        <v>147</v>
      </c>
      <c r="K20" s="4" t="s">
        <v>27</v>
      </c>
      <c r="L20" s="4" t="s">
        <v>27</v>
      </c>
      <c r="M20" s="4" t="s">
        <v>156</v>
      </c>
      <c r="N20" s="4" t="s">
        <v>198</v>
      </c>
      <c r="O20" s="4" t="s">
        <v>27</v>
      </c>
      <c r="P20" s="4" t="s">
        <v>149</v>
      </c>
      <c r="Q20" s="6" t="n">
        <v>12</v>
      </c>
      <c r="R20" s="4" t="s">
        <v>199</v>
      </c>
      <c r="S20" s="4" t="s">
        <v>200</v>
      </c>
      <c r="T20" s="4" t="s">
        <v>201</v>
      </c>
      <c r="U20" s="4" t="s">
        <v>202</v>
      </c>
      <c r="V20" s="4" t="s">
        <v>95</v>
      </c>
      <c r="W20" s="5" t="str">
        <f aca="false">IF(OR(ISNUMBER(SEARCH("gesha",G20)),ISNUMBER(SEARCH("geisha",G20))),"⭐ GESHA","")</f>
        <v>⭐ GESHA</v>
      </c>
      <c r="X20" s="4" t="s">
        <v>203</v>
      </c>
    </row>
    <row r="21" customFormat="false" ht="20.25" hidden="false" customHeight="true" outlineLevel="0" collapsed="false">
      <c r="A21" s="3" t="n">
        <v>46117</v>
      </c>
      <c r="B21" s="4" t="s">
        <v>52</v>
      </c>
      <c r="C21" s="4" t="s">
        <v>167</v>
      </c>
      <c r="D21" s="4" t="s">
        <v>204</v>
      </c>
      <c r="E21" s="4" t="s">
        <v>205</v>
      </c>
      <c r="F21" s="4" t="s">
        <v>206</v>
      </c>
      <c r="G21" s="4" t="s">
        <v>207</v>
      </c>
      <c r="H21" s="4" t="s">
        <v>208</v>
      </c>
      <c r="I21" s="4" t="s">
        <v>27</v>
      </c>
      <c r="J21" s="4" t="s">
        <v>209</v>
      </c>
      <c r="K21" s="4" t="n">
        <v>15</v>
      </c>
      <c r="L21" s="4" t="n">
        <v>225</v>
      </c>
      <c r="M21" s="4" t="s">
        <v>156</v>
      </c>
      <c r="N21" s="4" t="s">
        <v>198</v>
      </c>
      <c r="O21" s="4" t="s">
        <v>27</v>
      </c>
      <c r="P21" s="4" t="s">
        <v>149</v>
      </c>
      <c r="Q21" s="6" t="n">
        <v>12.5</v>
      </c>
      <c r="R21" s="4" t="s">
        <v>210</v>
      </c>
      <c r="S21" s="4" t="s">
        <v>211</v>
      </c>
      <c r="T21" s="4" t="s">
        <v>212</v>
      </c>
      <c r="U21" s="4" t="s">
        <v>213</v>
      </c>
      <c r="V21" s="4" t="s">
        <v>36</v>
      </c>
      <c r="W21" s="5" t="str">
        <f aca="false">IF(OR(ISNUMBER(SEARCH("gesha",G21)),ISNUMBER(SEARCH("geisha",G21))),"⭐ GESHA","")</f>
        <v/>
      </c>
      <c r="X21" s="4" t="s">
        <v>178</v>
      </c>
    </row>
    <row r="22" customFormat="false" ht="30" hidden="false" customHeight="true" outlineLevel="0" collapsed="false">
      <c r="A22" s="3" t="n">
        <v>46117</v>
      </c>
      <c r="B22" s="4" t="s">
        <v>52</v>
      </c>
      <c r="C22" s="4" t="s">
        <v>167</v>
      </c>
      <c r="D22" s="4" t="s">
        <v>214</v>
      </c>
      <c r="E22" s="4" t="s">
        <v>169</v>
      </c>
      <c r="F22" s="4" t="s">
        <v>215</v>
      </c>
      <c r="G22" s="4" t="s">
        <v>171</v>
      </c>
      <c r="H22" s="4" t="s">
        <v>58</v>
      </c>
      <c r="I22" s="4" t="s">
        <v>146</v>
      </c>
      <c r="J22" s="4" t="s">
        <v>209</v>
      </c>
      <c r="K22" s="4" t="n">
        <v>15</v>
      </c>
      <c r="L22" s="4" t="n">
        <v>225</v>
      </c>
      <c r="M22" s="4" t="s">
        <v>156</v>
      </c>
      <c r="N22" s="4" t="s">
        <v>198</v>
      </c>
      <c r="O22" s="4" t="s">
        <v>27</v>
      </c>
      <c r="P22" s="4" t="s">
        <v>149</v>
      </c>
      <c r="Q22" s="6" t="n">
        <v>12.5</v>
      </c>
      <c r="R22" s="4" t="s">
        <v>175</v>
      </c>
      <c r="S22" s="4" t="s">
        <v>216</v>
      </c>
      <c r="T22" s="4" t="s">
        <v>217</v>
      </c>
      <c r="U22" s="4" t="s">
        <v>213</v>
      </c>
      <c r="V22" s="4" t="s">
        <v>36</v>
      </c>
      <c r="W22" s="5" t="str">
        <f aca="false">IF(OR(ISNUMBER(SEARCH("gesha",G22)),ISNUMBER(SEARCH("geisha",G22))),"⭐ GESHA","")</f>
        <v>⭐ GESHA</v>
      </c>
      <c r="X22" s="4" t="s">
        <v>178</v>
      </c>
    </row>
    <row r="23" customFormat="false" ht="20.25" hidden="false" customHeight="true" outlineLevel="0" collapsed="false">
      <c r="A23" s="3" t="n">
        <v>46120</v>
      </c>
      <c r="B23" s="4" t="s">
        <v>52</v>
      </c>
      <c r="C23" s="4" t="s">
        <v>179</v>
      </c>
      <c r="D23" s="4" t="s">
        <v>218</v>
      </c>
      <c r="E23" s="4" t="s">
        <v>219</v>
      </c>
      <c r="F23" s="4" t="s">
        <v>220</v>
      </c>
      <c r="G23" s="4" t="s">
        <v>221</v>
      </c>
      <c r="H23" s="4" t="s">
        <v>29</v>
      </c>
      <c r="I23" s="4" t="s">
        <v>27</v>
      </c>
      <c r="J23" s="4" t="s">
        <v>59</v>
      </c>
      <c r="K23" s="4" t="n">
        <v>15</v>
      </c>
      <c r="L23" s="4" t="n">
        <v>225</v>
      </c>
      <c r="M23" s="4" t="s">
        <v>156</v>
      </c>
      <c r="N23" s="4" t="s">
        <v>27</v>
      </c>
      <c r="O23" s="4" t="s">
        <v>27</v>
      </c>
      <c r="P23" s="4" t="s">
        <v>222</v>
      </c>
      <c r="Q23" s="6" t="n">
        <v>9</v>
      </c>
      <c r="R23" s="4" t="s">
        <v>223</v>
      </c>
      <c r="S23" s="4" t="s">
        <v>224</v>
      </c>
      <c r="T23" s="4" t="s">
        <v>225</v>
      </c>
      <c r="U23" s="4" t="s">
        <v>226</v>
      </c>
      <c r="V23" s="4" t="s">
        <v>95</v>
      </c>
      <c r="W23" s="5" t="str">
        <f aca="false">IF(OR(ISNUMBER(SEARCH("gesha",G23)),ISNUMBER(SEARCH("geisha",G23))),"⭐ GESHA","")</f>
        <v/>
      </c>
      <c r="X23" s="4" t="s">
        <v>191</v>
      </c>
    </row>
    <row r="24" customFormat="false" ht="20.25" hidden="false" customHeight="true" outlineLevel="0" collapsed="false">
      <c r="A24" s="3" t="n">
        <v>46130</v>
      </c>
      <c r="B24" s="4" t="s">
        <v>227</v>
      </c>
      <c r="C24" s="4" t="s">
        <v>228</v>
      </c>
      <c r="D24" s="4" t="s">
        <v>229</v>
      </c>
      <c r="E24" s="4" t="s">
        <v>27</v>
      </c>
      <c r="F24" s="4" t="s">
        <v>27</v>
      </c>
      <c r="G24" s="4" t="s">
        <v>230</v>
      </c>
      <c r="H24" s="4" t="s">
        <v>231</v>
      </c>
      <c r="I24" s="4" t="s">
        <v>27</v>
      </c>
      <c r="J24" s="4" t="s">
        <v>232</v>
      </c>
      <c r="K24" s="4" t="n">
        <v>18</v>
      </c>
      <c r="L24" s="4" t="n">
        <v>277</v>
      </c>
      <c r="M24" s="4" t="s">
        <v>233</v>
      </c>
      <c r="N24" s="4" t="s">
        <v>27</v>
      </c>
      <c r="O24" s="4" t="s">
        <v>234</v>
      </c>
      <c r="P24" s="4" t="s">
        <v>235</v>
      </c>
      <c r="Q24" s="6" t="n">
        <v>11.08</v>
      </c>
      <c r="R24" s="4" t="s">
        <v>236</v>
      </c>
      <c r="S24" s="4" t="s">
        <v>237</v>
      </c>
      <c r="T24" s="4" t="s">
        <v>238</v>
      </c>
      <c r="U24" s="4" t="s">
        <v>27</v>
      </c>
      <c r="V24" s="4" t="s">
        <v>239</v>
      </c>
      <c r="W24" s="5" t="str">
        <f aca="false">IF(OR(ISNUMBER(SEARCH("gesha",G24)),ISNUMBER(SEARCH("geisha",G24))),"⭐ GESHA","")</f>
        <v/>
      </c>
      <c r="X24" s="4" t="s">
        <v>240</v>
      </c>
    </row>
    <row r="25" customFormat="false" ht="20.25" hidden="false" customHeight="true" outlineLevel="0" collapsed="false">
      <c r="A25" s="3" t="n">
        <v>46136</v>
      </c>
      <c r="B25" s="4" t="s">
        <v>52</v>
      </c>
      <c r="C25" s="4" t="s">
        <v>132</v>
      </c>
      <c r="D25" s="4" t="s">
        <v>241</v>
      </c>
      <c r="E25" s="4" t="s">
        <v>27</v>
      </c>
      <c r="F25" s="4" t="s">
        <v>242</v>
      </c>
      <c r="G25" s="4" t="s">
        <v>27</v>
      </c>
      <c r="H25" s="4" t="s">
        <v>243</v>
      </c>
      <c r="I25" s="4" t="s">
        <v>244</v>
      </c>
      <c r="J25" s="4" t="s">
        <v>147</v>
      </c>
      <c r="K25" s="4" t="n">
        <v>16</v>
      </c>
      <c r="L25" s="4" t="n">
        <v>224</v>
      </c>
      <c r="M25" s="4" t="s">
        <v>245</v>
      </c>
      <c r="N25" s="4" t="s">
        <v>246</v>
      </c>
      <c r="O25" s="4" t="s">
        <v>27</v>
      </c>
      <c r="P25" s="4" t="s">
        <v>149</v>
      </c>
      <c r="Q25" s="4" t="s">
        <v>27</v>
      </c>
      <c r="R25" s="4" t="s">
        <v>247</v>
      </c>
      <c r="S25" s="4" t="s">
        <v>248</v>
      </c>
      <c r="T25" s="4" t="s">
        <v>249</v>
      </c>
      <c r="U25" s="4" t="s">
        <v>250</v>
      </c>
      <c r="V25" s="4" t="s">
        <v>36</v>
      </c>
      <c r="W25" s="5" t="str">
        <f aca="false">IF(OR(ISNUMBER(SEARCH("gesha",G25)),ISNUMBER(SEARCH("geisha",G25))),"⭐ GESHA","")</f>
        <v/>
      </c>
      <c r="X25" s="4" t="s">
        <v>141</v>
      </c>
    </row>
    <row r="26" customFormat="false" ht="30" hidden="false" customHeight="true" outlineLevel="0" collapsed="false">
      <c r="A26" s="3" t="n">
        <v>46148</v>
      </c>
      <c r="B26" s="4" t="s">
        <v>52</v>
      </c>
      <c r="C26" s="4" t="s">
        <v>251</v>
      </c>
      <c r="D26" s="4" t="s">
        <v>252</v>
      </c>
      <c r="E26" s="4" t="s">
        <v>27</v>
      </c>
      <c r="F26" s="4" t="s">
        <v>253</v>
      </c>
      <c r="G26" s="4" t="s">
        <v>254</v>
      </c>
      <c r="H26" s="4" t="s">
        <v>29</v>
      </c>
      <c r="I26" s="4" t="s">
        <v>146</v>
      </c>
      <c r="J26" s="4" t="s">
        <v>255</v>
      </c>
      <c r="K26" s="4" t="s">
        <v>27</v>
      </c>
      <c r="L26" s="4" t="s">
        <v>27</v>
      </c>
      <c r="M26" s="4" t="s">
        <v>120</v>
      </c>
      <c r="N26" s="4" t="s">
        <v>27</v>
      </c>
      <c r="O26" s="4" t="s">
        <v>27</v>
      </c>
      <c r="P26" s="4" t="s">
        <v>235</v>
      </c>
      <c r="Q26" s="6" t="n">
        <v>7.5</v>
      </c>
      <c r="R26" s="4" t="s">
        <v>256</v>
      </c>
      <c r="S26" s="4" t="s">
        <v>257</v>
      </c>
      <c r="T26" s="4" t="s">
        <v>258</v>
      </c>
      <c r="U26" s="4" t="s">
        <v>27</v>
      </c>
      <c r="V26" s="4" t="s">
        <v>239</v>
      </c>
      <c r="W26" s="5" t="str">
        <f aca="false">IF(OR(ISNUMBER(SEARCH("gesha",G26)),ISNUMBER(SEARCH("geisha",G26))),"⭐ GESHA","")</f>
        <v/>
      </c>
      <c r="X26" s="4" t="s">
        <v>259</v>
      </c>
    </row>
    <row r="27" customFormat="false" ht="20.25" hidden="false" customHeight="true" outlineLevel="0" collapsed="false">
      <c r="A27" s="3" t="n">
        <v>46148</v>
      </c>
      <c r="B27" s="4" t="s">
        <v>52</v>
      </c>
      <c r="C27" s="4" t="s">
        <v>251</v>
      </c>
      <c r="D27" s="4" t="s">
        <v>260</v>
      </c>
      <c r="E27" s="4" t="s">
        <v>27</v>
      </c>
      <c r="F27" s="4" t="s">
        <v>253</v>
      </c>
      <c r="G27" s="4" t="s">
        <v>261</v>
      </c>
      <c r="H27" s="4" t="s">
        <v>29</v>
      </c>
      <c r="I27" s="4" t="s">
        <v>47</v>
      </c>
      <c r="J27" s="4" t="s">
        <v>137</v>
      </c>
      <c r="K27" s="4" t="s">
        <v>27</v>
      </c>
      <c r="L27" s="4" t="s">
        <v>27</v>
      </c>
      <c r="M27" s="4" t="s">
        <v>27</v>
      </c>
      <c r="N27" s="4" t="s">
        <v>27</v>
      </c>
      <c r="O27" s="4" t="s">
        <v>27</v>
      </c>
      <c r="P27" s="4" t="s">
        <v>27</v>
      </c>
      <c r="Q27" s="4" t="s">
        <v>27</v>
      </c>
      <c r="R27" s="4" t="s">
        <v>262</v>
      </c>
      <c r="S27" s="4" t="s">
        <v>263</v>
      </c>
      <c r="T27" s="4" t="s">
        <v>264</v>
      </c>
      <c r="U27" s="4" t="s">
        <v>27</v>
      </c>
      <c r="V27" s="4" t="s">
        <v>239</v>
      </c>
      <c r="W27" s="5" t="str">
        <f aca="false">IF(OR(ISNUMBER(SEARCH("gesha",G27)),ISNUMBER(SEARCH("geisha",G27))),"⭐ GESHA","")</f>
        <v/>
      </c>
      <c r="X27" s="4" t="s">
        <v>259</v>
      </c>
    </row>
    <row r="28" customFormat="false" ht="20.25" hidden="false" customHeight="true" outlineLevel="0" collapsed="false">
      <c r="A28" s="3" t="n">
        <v>46149</v>
      </c>
      <c r="B28" s="4" t="s">
        <v>52</v>
      </c>
      <c r="C28" s="4" t="s">
        <v>251</v>
      </c>
      <c r="D28" s="4" t="s">
        <v>265</v>
      </c>
      <c r="E28" s="4" t="s">
        <v>27</v>
      </c>
      <c r="F28" s="4" t="s">
        <v>266</v>
      </c>
      <c r="G28" s="4" t="s">
        <v>145</v>
      </c>
      <c r="H28" s="4" t="s">
        <v>58</v>
      </c>
      <c r="I28" s="4" t="s">
        <v>146</v>
      </c>
      <c r="J28" s="4" t="s">
        <v>255</v>
      </c>
      <c r="K28" s="4" t="s">
        <v>27</v>
      </c>
      <c r="L28" s="4" t="s">
        <v>27</v>
      </c>
      <c r="M28" s="4" t="s">
        <v>120</v>
      </c>
      <c r="N28" s="4" t="s">
        <v>27</v>
      </c>
      <c r="O28" s="4" t="s">
        <v>27</v>
      </c>
      <c r="P28" s="4" t="s">
        <v>235</v>
      </c>
      <c r="Q28" s="6" t="n">
        <v>8.5</v>
      </c>
      <c r="R28" s="4" t="s">
        <v>267</v>
      </c>
      <c r="S28" s="4" t="s">
        <v>268</v>
      </c>
      <c r="T28" s="4" t="s">
        <v>269</v>
      </c>
      <c r="U28" s="4" t="s">
        <v>27</v>
      </c>
      <c r="V28" s="4" t="s">
        <v>239</v>
      </c>
      <c r="W28" s="5" t="str">
        <f aca="false">IF(OR(ISNUMBER(SEARCH("gesha",G28)),ISNUMBER(SEARCH("geisha",G28))),"⭐ GESHA","")</f>
        <v/>
      </c>
      <c r="X28" s="4" t="s">
        <v>259</v>
      </c>
    </row>
    <row r="29" customFormat="false" ht="30" hidden="false" customHeight="true" outlineLevel="0" collapsed="false">
      <c r="A29" s="3" t="n">
        <v>46149</v>
      </c>
      <c r="B29" s="4" t="s">
        <v>52</v>
      </c>
      <c r="C29" s="4" t="s">
        <v>251</v>
      </c>
      <c r="D29" s="4" t="s">
        <v>270</v>
      </c>
      <c r="E29" s="4" t="s">
        <v>27</v>
      </c>
      <c r="F29" s="4" t="s">
        <v>135</v>
      </c>
      <c r="G29" s="4" t="s">
        <v>271</v>
      </c>
      <c r="H29" s="4" t="s">
        <v>272</v>
      </c>
      <c r="I29" s="4" t="s">
        <v>47</v>
      </c>
      <c r="J29" s="4" t="s">
        <v>273</v>
      </c>
      <c r="K29" s="4" t="s">
        <v>27</v>
      </c>
      <c r="L29" s="4" t="s">
        <v>27</v>
      </c>
      <c r="M29" s="4" t="s">
        <v>274</v>
      </c>
      <c r="N29" s="4" t="s">
        <v>27</v>
      </c>
      <c r="O29" s="4" t="s">
        <v>27</v>
      </c>
      <c r="P29" s="4" t="s">
        <v>27</v>
      </c>
      <c r="Q29" s="4" t="s">
        <v>27</v>
      </c>
      <c r="R29" s="4" t="s">
        <v>275</v>
      </c>
      <c r="S29" s="4" t="s">
        <v>276</v>
      </c>
      <c r="T29" s="4" t="s">
        <v>277</v>
      </c>
      <c r="U29" s="4" t="s">
        <v>27</v>
      </c>
      <c r="V29" s="4" t="s">
        <v>239</v>
      </c>
      <c r="W29" s="5" t="str">
        <f aca="false">IF(OR(ISNUMBER(SEARCH("gesha",G29)),ISNUMBER(SEARCH("geisha",G29))),"⭐ GESHA","")</f>
        <v/>
      </c>
      <c r="X29" s="4" t="s">
        <v>259</v>
      </c>
    </row>
    <row r="30" customFormat="false" ht="49.5" hidden="false" customHeight="true" outlineLevel="0" collapsed="false">
      <c r="A30" s="3" t="n">
        <v>46150</v>
      </c>
      <c r="B30" s="4" t="s">
        <v>52</v>
      </c>
      <c r="C30" s="4" t="s">
        <v>278</v>
      </c>
      <c r="D30" s="4" t="s">
        <v>279</v>
      </c>
      <c r="E30" s="4" t="s">
        <v>27</v>
      </c>
      <c r="F30" s="4" t="s">
        <v>118</v>
      </c>
      <c r="G30" s="4" t="s">
        <v>280</v>
      </c>
      <c r="H30" s="4" t="s">
        <v>58</v>
      </c>
      <c r="I30" s="4" t="s">
        <v>146</v>
      </c>
      <c r="J30" s="4" t="s">
        <v>281</v>
      </c>
      <c r="K30" s="4" t="n">
        <v>15</v>
      </c>
      <c r="L30" s="4" t="n">
        <v>240</v>
      </c>
      <c r="M30" s="4" t="s">
        <v>60</v>
      </c>
      <c r="N30" s="4" t="s">
        <v>27</v>
      </c>
      <c r="O30" s="4" t="s">
        <v>27</v>
      </c>
      <c r="P30" s="4" t="s">
        <v>282</v>
      </c>
      <c r="Q30" s="4" t="s">
        <v>27</v>
      </c>
      <c r="R30" s="4" t="s">
        <v>283</v>
      </c>
      <c r="S30" s="4" t="s">
        <v>284</v>
      </c>
      <c r="T30" s="4" t="s">
        <v>285</v>
      </c>
      <c r="U30" s="4" t="s">
        <v>286</v>
      </c>
      <c r="V30" s="4" t="s">
        <v>287</v>
      </c>
      <c r="W30" s="5" t="str">
        <f aca="false">IF(OR(ISNUMBER(SEARCH("gesha",G30)),ISNUMBER(SEARCH("geisha",G30))),"⭐ GESHA","")</f>
        <v/>
      </c>
      <c r="X30" s="4" t="s">
        <v>288</v>
      </c>
    </row>
    <row r="31" customFormat="false" ht="59.25" hidden="false" customHeight="true" outlineLevel="0" collapsed="false">
      <c r="A31" s="3" t="n">
        <v>46154</v>
      </c>
      <c r="B31" s="4" t="s">
        <v>52</v>
      </c>
      <c r="C31" s="4" t="s">
        <v>289</v>
      </c>
      <c r="D31" s="4" t="s">
        <v>290</v>
      </c>
      <c r="E31" s="4" t="s">
        <v>291</v>
      </c>
      <c r="F31" s="4" t="s">
        <v>292</v>
      </c>
      <c r="G31" s="4" t="s">
        <v>293</v>
      </c>
      <c r="H31" s="4" t="s">
        <v>294</v>
      </c>
      <c r="I31" s="4" t="s">
        <v>30</v>
      </c>
      <c r="J31" s="4" t="s">
        <v>295</v>
      </c>
      <c r="K31" s="4" t="n">
        <v>15</v>
      </c>
      <c r="L31" s="4" t="n">
        <v>225</v>
      </c>
      <c r="M31" s="4" t="s">
        <v>60</v>
      </c>
      <c r="N31" s="4" t="s">
        <v>296</v>
      </c>
      <c r="O31" s="4" t="s">
        <v>27</v>
      </c>
      <c r="P31" s="4" t="s">
        <v>282</v>
      </c>
      <c r="Q31" s="6" t="n">
        <v>9.5</v>
      </c>
      <c r="R31" s="4" t="s">
        <v>297</v>
      </c>
      <c r="S31" s="4" t="s">
        <v>298</v>
      </c>
      <c r="T31" s="4" t="s">
        <v>299</v>
      </c>
      <c r="U31" s="4" t="s">
        <v>300</v>
      </c>
      <c r="V31" s="4" t="s">
        <v>287</v>
      </c>
      <c r="W31" s="5" t="str">
        <f aca="false">IF(OR(ISNUMBER(SEARCH("gesha",G31)),ISNUMBER(SEARCH("geisha",G31))),"⭐ GESHA","")</f>
        <v/>
      </c>
      <c r="X31" s="4" t="s">
        <v>301</v>
      </c>
    </row>
    <row r="32" customFormat="false" ht="49.5" hidden="false" customHeight="true" outlineLevel="0" collapsed="false">
      <c r="A32" s="3" t="n">
        <v>46155</v>
      </c>
      <c r="B32" s="4" t="s">
        <v>52</v>
      </c>
      <c r="C32" s="4" t="s">
        <v>302</v>
      </c>
      <c r="D32" s="4" t="s">
        <v>303</v>
      </c>
      <c r="E32" s="4" t="s">
        <v>304</v>
      </c>
      <c r="F32" s="4" t="s">
        <v>98</v>
      </c>
      <c r="G32" s="4" t="s">
        <v>305</v>
      </c>
      <c r="H32" s="4" t="s">
        <v>29</v>
      </c>
      <c r="I32" s="4" t="s">
        <v>146</v>
      </c>
      <c r="J32" s="4" t="s">
        <v>306</v>
      </c>
      <c r="K32" s="4" t="n">
        <v>15</v>
      </c>
      <c r="L32" s="4" t="n">
        <v>255</v>
      </c>
      <c r="M32" s="4" t="s">
        <v>120</v>
      </c>
      <c r="N32" s="4" t="s">
        <v>27</v>
      </c>
      <c r="O32" s="4" t="s">
        <v>27</v>
      </c>
      <c r="P32" s="4" t="s">
        <v>307</v>
      </c>
      <c r="Q32" s="6" t="n">
        <v>9</v>
      </c>
      <c r="R32" s="4" t="s">
        <v>308</v>
      </c>
      <c r="S32" s="4" t="s">
        <v>309</v>
      </c>
      <c r="T32" s="4" t="s">
        <v>310</v>
      </c>
      <c r="U32" s="4" t="s">
        <v>311</v>
      </c>
      <c r="V32" s="4" t="s">
        <v>287</v>
      </c>
      <c r="W32" s="5" t="str">
        <f aca="false">IF(OR(ISNUMBER(SEARCH("gesha",G32)),ISNUMBER(SEARCH("geisha",G32))),"⭐ GESHA","")</f>
        <v/>
      </c>
      <c r="X32" s="4" t="s">
        <v>312</v>
      </c>
    </row>
    <row r="33" customFormat="false" ht="69" hidden="false" customHeight="true" outlineLevel="0" collapsed="false">
      <c r="A33" s="3" t="n">
        <v>46157</v>
      </c>
      <c r="B33" s="4" t="s">
        <v>52</v>
      </c>
      <c r="C33" s="4" t="s">
        <v>278</v>
      </c>
      <c r="D33" s="4" t="s">
        <v>313</v>
      </c>
      <c r="E33" s="4" t="s">
        <v>314</v>
      </c>
      <c r="F33" s="4" t="s">
        <v>315</v>
      </c>
      <c r="G33" s="4" t="s">
        <v>316</v>
      </c>
      <c r="H33" s="4" t="s">
        <v>74</v>
      </c>
      <c r="I33" s="4" t="s">
        <v>30</v>
      </c>
      <c r="J33" s="4" t="s">
        <v>281</v>
      </c>
      <c r="K33" s="4" t="n">
        <v>15</v>
      </c>
      <c r="L33" s="4" t="n">
        <v>240</v>
      </c>
      <c r="M33" s="4" t="s">
        <v>60</v>
      </c>
      <c r="N33" s="4" t="s">
        <v>317</v>
      </c>
      <c r="O33" s="4" t="s">
        <v>27</v>
      </c>
      <c r="P33" s="4" t="s">
        <v>282</v>
      </c>
      <c r="Q33" s="6" t="n">
        <v>8.5</v>
      </c>
      <c r="R33" s="4" t="s">
        <v>318</v>
      </c>
      <c r="S33" s="4" t="s">
        <v>319</v>
      </c>
      <c r="T33" s="4" t="s">
        <v>320</v>
      </c>
      <c r="U33" s="4" t="s">
        <v>321</v>
      </c>
      <c r="V33" s="4" t="s">
        <v>287</v>
      </c>
      <c r="W33" s="5" t="str">
        <f aca="false">IF(OR(ISNUMBER(SEARCH("gesha",G33)),ISNUMBER(SEARCH("geisha",G33))),"⭐ GESHA","")</f>
        <v/>
      </c>
      <c r="X33" s="4" t="s">
        <v>288</v>
      </c>
    </row>
    <row r="34" customFormat="false" ht="78.75" hidden="false" customHeight="true" outlineLevel="0" collapsed="false">
      <c r="A34" s="3" t="n">
        <v>46158</v>
      </c>
      <c r="B34" s="4" t="s">
        <v>52</v>
      </c>
      <c r="C34" s="4" t="s">
        <v>322</v>
      </c>
      <c r="D34" s="4" t="s">
        <v>323</v>
      </c>
      <c r="E34" s="4" t="s">
        <v>323</v>
      </c>
      <c r="F34" s="4" t="s">
        <v>220</v>
      </c>
      <c r="G34" s="4" t="s">
        <v>171</v>
      </c>
      <c r="H34" s="4" t="s">
        <v>58</v>
      </c>
      <c r="I34" s="4" t="s">
        <v>30</v>
      </c>
      <c r="J34" s="4" t="s">
        <v>324</v>
      </c>
      <c r="K34" s="4" t="n">
        <v>15</v>
      </c>
      <c r="L34" s="4" t="n">
        <v>230</v>
      </c>
      <c r="M34" s="4" t="s">
        <v>184</v>
      </c>
      <c r="N34" s="4" t="s">
        <v>325</v>
      </c>
      <c r="O34" s="4" t="s">
        <v>27</v>
      </c>
      <c r="P34" s="4" t="s">
        <v>326</v>
      </c>
      <c r="Q34" s="6" t="n">
        <v>14</v>
      </c>
      <c r="R34" s="4" t="s">
        <v>327</v>
      </c>
      <c r="S34" s="4" t="s">
        <v>328</v>
      </c>
      <c r="T34" s="4" t="s">
        <v>329</v>
      </c>
      <c r="U34" s="4" t="s">
        <v>330</v>
      </c>
      <c r="V34" s="4" t="s">
        <v>287</v>
      </c>
      <c r="W34" s="5" t="str">
        <f aca="false">IF(OR(ISNUMBER(SEARCH("gesha",G34)),ISNUMBER(SEARCH("geisha",G34))),"⭐ GESHA","")</f>
        <v>⭐ GESHA</v>
      </c>
      <c r="X34" s="4" t="s">
        <v>331</v>
      </c>
    </row>
    <row r="35" customFormat="false" ht="69" hidden="false" customHeight="true" outlineLevel="0" collapsed="false">
      <c r="A35" s="3" t="n">
        <v>46161</v>
      </c>
      <c r="B35" s="4" t="s">
        <v>52</v>
      </c>
      <c r="C35" s="4" t="s">
        <v>332</v>
      </c>
      <c r="D35" s="4" t="s">
        <v>333</v>
      </c>
      <c r="E35" s="4" t="s">
        <v>334</v>
      </c>
      <c r="F35" s="4" t="s">
        <v>335</v>
      </c>
      <c r="G35" s="4" t="s">
        <v>196</v>
      </c>
      <c r="H35" s="4" t="s">
        <v>58</v>
      </c>
      <c r="I35" s="4" t="s">
        <v>30</v>
      </c>
      <c r="J35" s="4" t="s">
        <v>336</v>
      </c>
      <c r="K35" s="4" t="n">
        <v>15</v>
      </c>
      <c r="L35" s="4" t="n">
        <v>225</v>
      </c>
      <c r="M35" s="4" t="s">
        <v>156</v>
      </c>
      <c r="N35" s="4" t="s">
        <v>337</v>
      </c>
      <c r="O35" s="4" t="s">
        <v>27</v>
      </c>
      <c r="P35" s="4" t="s">
        <v>338</v>
      </c>
      <c r="Q35" s="6" t="n">
        <v>18</v>
      </c>
      <c r="R35" s="4" t="s">
        <v>339</v>
      </c>
      <c r="S35" s="4" t="s">
        <v>340</v>
      </c>
      <c r="T35" s="4" t="s">
        <v>341</v>
      </c>
      <c r="U35" s="4" t="s">
        <v>342</v>
      </c>
      <c r="V35" s="4" t="s">
        <v>287</v>
      </c>
      <c r="W35" s="5" t="str">
        <f aca="false">IF(OR(ISNUMBER(SEARCH("gesha",G35)),ISNUMBER(SEARCH("geisha",G35))),"⭐ GESHA","")</f>
        <v>⭐ GESHA</v>
      </c>
      <c r="X35" s="4" t="s">
        <v>343</v>
      </c>
    </row>
    <row r="36" customFormat="false" ht="98.25" hidden="false" customHeight="true" outlineLevel="0" collapsed="false">
      <c r="A36" s="7" t="n">
        <v>46167</v>
      </c>
      <c r="B36" s="4" t="s">
        <v>52</v>
      </c>
      <c r="C36" s="4" t="s">
        <v>344</v>
      </c>
      <c r="D36" s="4" t="s">
        <v>345</v>
      </c>
      <c r="E36" s="4" t="s">
        <v>346</v>
      </c>
      <c r="F36" s="4" t="s">
        <v>347</v>
      </c>
      <c r="G36" s="4" t="s">
        <v>348</v>
      </c>
      <c r="H36" s="4" t="s">
        <v>58</v>
      </c>
      <c r="I36" s="4" t="s">
        <v>349</v>
      </c>
      <c r="J36" s="4" t="s">
        <v>350</v>
      </c>
      <c r="K36" s="4" t="n">
        <v>17</v>
      </c>
      <c r="L36" s="4" t="n">
        <v>270</v>
      </c>
      <c r="M36" s="4" t="s">
        <v>60</v>
      </c>
      <c r="N36" s="4" t="s">
        <v>27</v>
      </c>
      <c r="O36" s="4" t="s">
        <v>27</v>
      </c>
      <c r="P36" s="4" t="s">
        <v>351</v>
      </c>
      <c r="Q36" s="4" t="n">
        <v>10</v>
      </c>
      <c r="R36" s="4" t="s">
        <v>352</v>
      </c>
      <c r="S36" s="4" t="s">
        <v>353</v>
      </c>
      <c r="T36" s="4" t="s">
        <v>354</v>
      </c>
      <c r="U36" s="4" t="s">
        <v>355</v>
      </c>
      <c r="V36" s="4" t="s">
        <v>356</v>
      </c>
      <c r="W36" s="5" t="str">
        <f aca="false">IF(OR(ISNUMBER(SEARCH("gesha",G36)),ISNUMBER(SEARCH("geisha",G36))),"⭐ GESHA","")</f>
        <v/>
      </c>
      <c r="X36" s="4" t="s">
        <v>357</v>
      </c>
    </row>
    <row r="37" customFormat="false" ht="59.25" hidden="false" customHeight="true" outlineLevel="0" collapsed="false">
      <c r="A37" s="7" t="n">
        <v>46167</v>
      </c>
      <c r="B37" s="4" t="s">
        <v>52</v>
      </c>
      <c r="C37" s="4" t="s">
        <v>344</v>
      </c>
      <c r="D37" s="4" t="s">
        <v>358</v>
      </c>
      <c r="E37" s="4" t="s">
        <v>359</v>
      </c>
      <c r="F37" s="4" t="s">
        <v>360</v>
      </c>
      <c r="G37" s="4" t="s">
        <v>361</v>
      </c>
      <c r="H37" s="4" t="s">
        <v>58</v>
      </c>
      <c r="I37" s="4" t="s">
        <v>27</v>
      </c>
      <c r="J37" s="4" t="s">
        <v>362</v>
      </c>
      <c r="K37" s="4" t="s">
        <v>27</v>
      </c>
      <c r="L37" s="4" t="s">
        <v>27</v>
      </c>
      <c r="M37" s="4" t="s">
        <v>363</v>
      </c>
      <c r="N37" s="4" t="s">
        <v>27</v>
      </c>
      <c r="O37" s="4" t="s">
        <v>364</v>
      </c>
      <c r="P37" s="4" t="s">
        <v>365</v>
      </c>
      <c r="Q37" s="4" t="n">
        <v>9</v>
      </c>
      <c r="R37" s="4" t="s">
        <v>366</v>
      </c>
      <c r="S37" s="4" t="s">
        <v>367</v>
      </c>
      <c r="T37" s="4" t="s">
        <v>368</v>
      </c>
      <c r="U37" s="4" t="s">
        <v>369</v>
      </c>
      <c r="V37" s="4" t="s">
        <v>356</v>
      </c>
      <c r="W37" s="5" t="str">
        <f aca="false">IF(OR(ISNUMBER(SEARCH("gesha",G37)),ISNUMBER(SEARCH("geisha",G37))),"⭐ GESHA","")</f>
        <v/>
      </c>
      <c r="X37" s="4" t="s">
        <v>357</v>
      </c>
    </row>
    <row r="38" customFormat="false" ht="78.75" hidden="false" customHeight="true" outlineLevel="0" collapsed="false">
      <c r="A38" s="3" t="n">
        <v>46168</v>
      </c>
      <c r="B38" s="4" t="s">
        <v>52</v>
      </c>
      <c r="C38" s="4" t="s">
        <v>370</v>
      </c>
      <c r="D38" s="4" t="s">
        <v>371</v>
      </c>
      <c r="E38" s="4" t="s">
        <v>372</v>
      </c>
      <c r="F38" s="4" t="s">
        <v>220</v>
      </c>
      <c r="G38" s="4" t="s">
        <v>373</v>
      </c>
      <c r="H38" s="4" t="s">
        <v>374</v>
      </c>
      <c r="I38" s="4" t="s">
        <v>146</v>
      </c>
      <c r="J38" s="4" t="s">
        <v>375</v>
      </c>
      <c r="K38" s="4" t="n">
        <v>15</v>
      </c>
      <c r="L38" s="4" t="n">
        <v>240</v>
      </c>
      <c r="M38" s="4" t="s">
        <v>60</v>
      </c>
      <c r="N38" s="4" t="s">
        <v>325</v>
      </c>
      <c r="O38" s="4" t="s">
        <v>376</v>
      </c>
      <c r="P38" s="4" t="s">
        <v>377</v>
      </c>
      <c r="Q38" s="6" t="n">
        <v>12</v>
      </c>
      <c r="R38" s="4" t="s">
        <v>378</v>
      </c>
      <c r="S38" s="4" t="s">
        <v>379</v>
      </c>
      <c r="T38" s="4" t="s">
        <v>380</v>
      </c>
      <c r="U38" s="4" t="s">
        <v>381</v>
      </c>
      <c r="V38" s="4" t="s">
        <v>382</v>
      </c>
      <c r="W38" s="5" t="str">
        <f aca="false">IF(OR(ISNUMBER(SEARCH("gesha",G38)),ISNUMBER(SEARCH("geisha",G38))),"⭐ GESHA","")</f>
        <v/>
      </c>
      <c r="X38" s="4" t="s">
        <v>383</v>
      </c>
    </row>
    <row r="39" customFormat="false" ht="88.5" hidden="false" customHeight="true" outlineLevel="0" collapsed="false">
      <c r="A39" s="3" t="n">
        <v>46183</v>
      </c>
      <c r="B39" s="4" t="s">
        <v>52</v>
      </c>
      <c r="C39" s="4" t="s">
        <v>251</v>
      </c>
      <c r="D39" s="4" t="s">
        <v>384</v>
      </c>
      <c r="E39" s="4" t="s">
        <v>385</v>
      </c>
      <c r="F39" s="4" t="s">
        <v>118</v>
      </c>
      <c r="G39" s="4" t="s">
        <v>386</v>
      </c>
      <c r="H39" s="4" t="s">
        <v>58</v>
      </c>
      <c r="I39" s="4" t="s">
        <v>146</v>
      </c>
      <c r="J39" s="4" t="s">
        <v>255</v>
      </c>
      <c r="K39" s="4" t="s">
        <v>27</v>
      </c>
      <c r="L39" s="4" t="s">
        <v>27</v>
      </c>
      <c r="M39" s="4" t="s">
        <v>120</v>
      </c>
      <c r="N39" s="4" t="s">
        <v>27</v>
      </c>
      <c r="O39" s="4" t="s">
        <v>27</v>
      </c>
      <c r="P39" s="4" t="s">
        <v>387</v>
      </c>
      <c r="Q39" s="6" t="n">
        <v>7.5</v>
      </c>
      <c r="R39" s="4" t="s">
        <v>388</v>
      </c>
      <c r="S39" s="4" t="s">
        <v>389</v>
      </c>
      <c r="T39" s="4" t="s">
        <v>390</v>
      </c>
      <c r="U39" s="4" t="s">
        <v>391</v>
      </c>
      <c r="V39" s="4" t="s">
        <v>392</v>
      </c>
      <c r="W39" s="5" t="str">
        <f aca="false">IF(OR(ISNUMBER(SEARCH("gesha",G39)),ISNUMBER(SEARCH("geisha",G39))),"⭐ GESHA","")</f>
        <v/>
      </c>
      <c r="X39" s="4" t="s">
        <v>259</v>
      </c>
    </row>
    <row r="40" customFormat="false" ht="59.25" hidden="false" customHeight="true" outlineLevel="0" collapsed="false">
      <c r="A40" s="3" t="n">
        <v>46186</v>
      </c>
      <c r="B40" s="4" t="s">
        <v>52</v>
      </c>
      <c r="C40" s="4" t="s">
        <v>289</v>
      </c>
      <c r="D40" s="4" t="s">
        <v>393</v>
      </c>
      <c r="E40" s="4" t="s">
        <v>394</v>
      </c>
      <c r="F40" s="4" t="s">
        <v>395</v>
      </c>
      <c r="G40" s="4" t="s">
        <v>348</v>
      </c>
      <c r="H40" s="4" t="s">
        <v>136</v>
      </c>
      <c r="I40" s="4" t="s">
        <v>146</v>
      </c>
      <c r="J40" s="4" t="s">
        <v>281</v>
      </c>
      <c r="K40" s="4" t="s">
        <v>27</v>
      </c>
      <c r="L40" s="4" t="s">
        <v>27</v>
      </c>
      <c r="M40" s="4" t="s">
        <v>27</v>
      </c>
      <c r="N40" s="4" t="s">
        <v>27</v>
      </c>
      <c r="O40" s="4" t="s">
        <v>27</v>
      </c>
      <c r="P40" s="4" t="s">
        <v>307</v>
      </c>
      <c r="Q40" s="6" t="n">
        <v>9.27</v>
      </c>
      <c r="R40" s="4" t="s">
        <v>396</v>
      </c>
      <c r="S40" s="4" t="s">
        <v>397</v>
      </c>
      <c r="T40" s="4" t="s">
        <v>398</v>
      </c>
      <c r="U40" s="4" t="s">
        <v>399</v>
      </c>
      <c r="V40" s="4" t="s">
        <v>400</v>
      </c>
      <c r="W40" s="5" t="str">
        <f aca="false">IF(OR(ISNUMBER(SEARCH("gesha",G40)),ISNUMBER(SEARCH("geisha",G40))),"⭐ GESHA","")</f>
        <v/>
      </c>
      <c r="X40" s="4" t="s">
        <v>301</v>
      </c>
    </row>
    <row r="41" customFormat="false" ht="49.5" hidden="false" customHeight="true" outlineLevel="0" collapsed="false">
      <c r="A41" s="3" t="n">
        <v>46187</v>
      </c>
      <c r="B41" s="4" t="s">
        <v>52</v>
      </c>
      <c r="C41" s="4" t="s">
        <v>401</v>
      </c>
      <c r="D41" s="4" t="s">
        <v>402</v>
      </c>
      <c r="E41" s="4" t="s">
        <v>403</v>
      </c>
      <c r="F41" s="4" t="s">
        <v>118</v>
      </c>
      <c r="G41" s="4" t="s">
        <v>171</v>
      </c>
      <c r="H41" s="4" t="s">
        <v>404</v>
      </c>
      <c r="I41" s="4" t="s">
        <v>405</v>
      </c>
      <c r="J41" s="4" t="s">
        <v>406</v>
      </c>
      <c r="K41" s="4" t="n">
        <v>15</v>
      </c>
      <c r="L41" s="4" t="n">
        <v>210</v>
      </c>
      <c r="M41" s="4" t="s">
        <v>245</v>
      </c>
      <c r="N41" s="4" t="s">
        <v>407</v>
      </c>
      <c r="O41" s="4" t="s">
        <v>408</v>
      </c>
      <c r="P41" s="4" t="s">
        <v>409</v>
      </c>
      <c r="Q41" s="6" t="n">
        <v>15</v>
      </c>
      <c r="R41" s="4" t="s">
        <v>410</v>
      </c>
      <c r="S41" s="4" t="s">
        <v>411</v>
      </c>
      <c r="T41" s="4" t="s">
        <v>412</v>
      </c>
      <c r="U41" s="4" t="s">
        <v>413</v>
      </c>
      <c r="V41" s="4" t="s">
        <v>414</v>
      </c>
      <c r="W41" s="5" t="str">
        <f aca="false">IF(OR(ISNUMBER(SEARCH("gesha",G41)),ISNUMBER(SEARCH("geisha",G41))),"⭐ GESHA","")</f>
        <v>⭐ GESHA</v>
      </c>
      <c r="X41" s="4" t="s">
        <v>415</v>
      </c>
    </row>
    <row r="42" customFormat="false" ht="39.75" hidden="false" customHeight="true" outlineLevel="0" collapsed="false">
      <c r="A42" s="3" t="n">
        <v>46192</v>
      </c>
      <c r="B42" s="4" t="s">
        <v>52</v>
      </c>
      <c r="C42" s="4" t="s">
        <v>416</v>
      </c>
      <c r="D42" s="4" t="s">
        <v>417</v>
      </c>
      <c r="E42" s="4" t="s">
        <v>418</v>
      </c>
      <c r="F42" s="4" t="s">
        <v>419</v>
      </c>
      <c r="G42" s="4" t="s">
        <v>420</v>
      </c>
      <c r="H42" s="4" t="s">
        <v>421</v>
      </c>
      <c r="I42" s="4" t="s">
        <v>30</v>
      </c>
      <c r="J42" s="4" t="s">
        <v>422</v>
      </c>
      <c r="K42" s="4" t="n">
        <v>13</v>
      </c>
      <c r="L42" s="4" t="n">
        <v>190</v>
      </c>
      <c r="M42" s="4" t="s">
        <v>148</v>
      </c>
      <c r="N42" s="4" t="s">
        <v>423</v>
      </c>
      <c r="O42" s="4" t="s">
        <v>27</v>
      </c>
      <c r="P42" s="4" t="s">
        <v>424</v>
      </c>
      <c r="Q42" s="6" t="n">
        <v>13</v>
      </c>
      <c r="R42" s="4" t="s">
        <v>425</v>
      </c>
      <c r="S42" s="4" t="s">
        <v>426</v>
      </c>
      <c r="T42" s="4" t="s">
        <v>427</v>
      </c>
      <c r="U42" s="4" t="s">
        <v>428</v>
      </c>
      <c r="V42" s="4" t="s">
        <v>429</v>
      </c>
      <c r="W42" s="5" t="str">
        <f aca="false">IF(OR(ISNUMBER(SEARCH("gesha",G42)),ISNUMBER(SEARCH("geisha",G42))),"⭐ GESHA","")</f>
        <v/>
      </c>
      <c r="X42" s="4" t="s">
        <v>430</v>
      </c>
    </row>
    <row r="43" customFormat="false" ht="59.25" hidden="false" customHeight="true" outlineLevel="0" collapsed="false">
      <c r="A43" s="3" t="n">
        <v>46192</v>
      </c>
      <c r="B43" s="4" t="s">
        <v>52</v>
      </c>
      <c r="C43" s="4" t="s">
        <v>431</v>
      </c>
      <c r="D43" s="4" t="s">
        <v>432</v>
      </c>
      <c r="E43" s="4" t="s">
        <v>433</v>
      </c>
      <c r="F43" s="4" t="s">
        <v>434</v>
      </c>
      <c r="G43" s="4" t="s">
        <v>171</v>
      </c>
      <c r="H43" s="4" t="s">
        <v>58</v>
      </c>
      <c r="I43" s="4" t="s">
        <v>27</v>
      </c>
      <c r="J43" s="4" t="s">
        <v>435</v>
      </c>
      <c r="K43" s="4" t="n">
        <v>15</v>
      </c>
      <c r="L43" s="4" t="n">
        <v>210</v>
      </c>
      <c r="M43" s="4" t="s">
        <v>245</v>
      </c>
      <c r="N43" s="4" t="s">
        <v>436</v>
      </c>
      <c r="O43" s="4" t="s">
        <v>27</v>
      </c>
      <c r="P43" s="4" t="s">
        <v>437</v>
      </c>
      <c r="Q43" s="6" t="n">
        <v>13</v>
      </c>
      <c r="R43" s="4" t="s">
        <v>438</v>
      </c>
      <c r="S43" s="4" t="s">
        <v>439</v>
      </c>
      <c r="T43" s="4" t="s">
        <v>440</v>
      </c>
      <c r="U43" s="4" t="s">
        <v>441</v>
      </c>
      <c r="V43" s="4" t="s">
        <v>429</v>
      </c>
      <c r="W43" s="5" t="str">
        <f aca="false">IF(OR(ISNUMBER(SEARCH("gesha",G43)),ISNUMBER(SEARCH("geisha",G43))),"⭐ GESHA","")</f>
        <v>⭐ GESHA</v>
      </c>
      <c r="X43" s="4" t="s">
        <v>442</v>
      </c>
    </row>
    <row r="44" customFormat="false" ht="49.5" hidden="false" customHeight="true" outlineLevel="0" collapsed="false">
      <c r="A44" s="3" t="n">
        <v>46194</v>
      </c>
      <c r="B44" s="4" t="s">
        <v>52</v>
      </c>
      <c r="C44" s="4" t="s">
        <v>443</v>
      </c>
      <c r="D44" s="4" t="s">
        <v>444</v>
      </c>
      <c r="E44" s="4" t="s">
        <v>445</v>
      </c>
      <c r="F44" s="4" t="s">
        <v>446</v>
      </c>
      <c r="G44" s="4" t="s">
        <v>447</v>
      </c>
      <c r="H44" s="4" t="s">
        <v>58</v>
      </c>
      <c r="I44" s="4" t="s">
        <v>448</v>
      </c>
      <c r="J44" s="4" t="s">
        <v>449</v>
      </c>
      <c r="K44" s="4" t="n">
        <v>13</v>
      </c>
      <c r="L44" s="4" t="n">
        <v>220</v>
      </c>
      <c r="M44" s="4" t="s">
        <v>450</v>
      </c>
      <c r="N44" s="4" t="s">
        <v>246</v>
      </c>
      <c r="O44" s="4" t="s">
        <v>27</v>
      </c>
      <c r="P44" s="4" t="s">
        <v>149</v>
      </c>
      <c r="Q44" s="6" t="n">
        <v>9.5</v>
      </c>
      <c r="R44" s="4" t="s">
        <v>451</v>
      </c>
      <c r="S44" s="4" t="s">
        <v>452</v>
      </c>
      <c r="T44" s="4" t="s">
        <v>453</v>
      </c>
      <c r="U44" s="4" t="s">
        <v>454</v>
      </c>
      <c r="V44" s="4" t="s">
        <v>429</v>
      </c>
      <c r="W44" s="5" t="str">
        <f aca="false">IF(OR(ISNUMBER(SEARCH("gesha",G44)),ISNUMBER(SEARCH("geisha",G44))),"⭐ GESHA","")</f>
        <v/>
      </c>
      <c r="X44" s="4" t="s">
        <v>455</v>
      </c>
    </row>
    <row r="45" customFormat="false" ht="78.75" hidden="false" customHeight="true" outlineLevel="0" collapsed="false">
      <c r="A45" s="3" t="n">
        <v>46198</v>
      </c>
      <c r="B45" s="4" t="s">
        <v>52</v>
      </c>
      <c r="C45" s="4" t="s">
        <v>456</v>
      </c>
      <c r="D45" s="4" t="s">
        <v>457</v>
      </c>
      <c r="E45" s="4" t="s">
        <v>458</v>
      </c>
      <c r="F45" s="4" t="s">
        <v>266</v>
      </c>
      <c r="G45" s="4" t="s">
        <v>459</v>
      </c>
      <c r="H45" s="4" t="s">
        <v>460</v>
      </c>
      <c r="I45" s="4" t="s">
        <v>461</v>
      </c>
      <c r="J45" s="4" t="s">
        <v>281</v>
      </c>
      <c r="K45" s="4" t="n">
        <v>15</v>
      </c>
      <c r="L45" s="4" t="n">
        <v>225</v>
      </c>
      <c r="M45" s="4" t="s">
        <v>156</v>
      </c>
      <c r="N45" s="4" t="s">
        <v>27</v>
      </c>
      <c r="O45" s="4" t="s">
        <v>27</v>
      </c>
      <c r="P45" s="4" t="s">
        <v>462</v>
      </c>
      <c r="Q45" s="6" t="n">
        <v>9</v>
      </c>
      <c r="R45" s="4" t="s">
        <v>463</v>
      </c>
      <c r="S45" s="4" t="s">
        <v>464</v>
      </c>
      <c r="T45" s="4" t="s">
        <v>465</v>
      </c>
      <c r="U45" s="4" t="s">
        <v>466</v>
      </c>
      <c r="V45" s="4" t="s">
        <v>467</v>
      </c>
      <c r="W45" s="5" t="str">
        <f aca="false">IF(OR(ISNUMBER(SEARCH("gesha",G45)),ISNUMBER(SEARCH("geisha",G45))),"⭐ GESHA","")</f>
        <v/>
      </c>
      <c r="X45" s="4" t="s">
        <v>468</v>
      </c>
    </row>
    <row r="46" customFormat="false" ht="98.25" hidden="false" customHeight="true" outlineLevel="0" collapsed="false">
      <c r="A46" s="3" t="n">
        <v>46200</v>
      </c>
      <c r="B46" s="4" t="s">
        <v>52</v>
      </c>
      <c r="C46" s="4" t="s">
        <v>443</v>
      </c>
      <c r="D46" s="4" t="s">
        <v>469</v>
      </c>
      <c r="E46" s="4" t="s">
        <v>470</v>
      </c>
      <c r="F46" s="4" t="s">
        <v>471</v>
      </c>
      <c r="G46" s="4" t="s">
        <v>472</v>
      </c>
      <c r="H46" s="4" t="s">
        <v>473</v>
      </c>
      <c r="I46" s="4" t="s">
        <v>448</v>
      </c>
      <c r="J46" s="4" t="s">
        <v>449</v>
      </c>
      <c r="K46" s="4" t="n">
        <v>13</v>
      </c>
      <c r="L46" s="4" t="n">
        <v>215</v>
      </c>
      <c r="M46" s="4" t="s">
        <v>474</v>
      </c>
      <c r="N46" s="4" t="s">
        <v>246</v>
      </c>
      <c r="O46" s="4" t="s">
        <v>475</v>
      </c>
      <c r="P46" s="4" t="s">
        <v>149</v>
      </c>
      <c r="Q46" s="6" t="n">
        <v>9.5</v>
      </c>
      <c r="R46" s="4" t="s">
        <v>476</v>
      </c>
      <c r="S46" s="4" t="s">
        <v>477</v>
      </c>
      <c r="T46" s="4" t="s">
        <v>478</v>
      </c>
      <c r="U46" s="4" t="s">
        <v>479</v>
      </c>
      <c r="V46" s="4" t="s">
        <v>429</v>
      </c>
      <c r="W46" s="5" t="str">
        <f aca="false">IF(OR(ISNUMBER(SEARCH("gesha",G46)),ISNUMBER(SEARCH("geisha",G46))),"⭐ GESHA","")</f>
        <v/>
      </c>
      <c r="X46" s="4" t="s">
        <v>455</v>
      </c>
    </row>
    <row r="47" customFormat="false" ht="108" hidden="false" customHeight="true" outlineLevel="0" collapsed="false">
      <c r="A47" s="3" t="n">
        <v>46201</v>
      </c>
      <c r="B47" s="4" t="s">
        <v>52</v>
      </c>
      <c r="C47" s="4" t="s">
        <v>401</v>
      </c>
      <c r="D47" s="4" t="s">
        <v>480</v>
      </c>
      <c r="E47" s="4" t="s">
        <v>27</v>
      </c>
      <c r="F47" s="4" t="s">
        <v>481</v>
      </c>
      <c r="G47" s="4" t="s">
        <v>482</v>
      </c>
      <c r="H47" s="4" t="s">
        <v>483</v>
      </c>
      <c r="I47" s="4" t="s">
        <v>146</v>
      </c>
      <c r="J47" s="4" t="s">
        <v>406</v>
      </c>
      <c r="K47" s="4" t="n">
        <v>15</v>
      </c>
      <c r="L47" s="4" t="n">
        <v>210</v>
      </c>
      <c r="M47" s="4" t="s">
        <v>245</v>
      </c>
      <c r="N47" s="4" t="s">
        <v>484</v>
      </c>
      <c r="O47" s="4" t="s">
        <v>27</v>
      </c>
      <c r="P47" s="4" t="s">
        <v>409</v>
      </c>
      <c r="Q47" s="6" t="n">
        <v>13</v>
      </c>
      <c r="R47" s="4" t="s">
        <v>485</v>
      </c>
      <c r="S47" s="4" t="s">
        <v>486</v>
      </c>
      <c r="T47" s="4" t="s">
        <v>487</v>
      </c>
      <c r="U47" s="4" t="s">
        <v>488</v>
      </c>
      <c r="V47" s="4" t="s">
        <v>489</v>
      </c>
      <c r="W47" s="5" t="str">
        <f aca="false">IF(OR(ISNUMBER(SEARCH("gesha",G47)),ISNUMBER(SEARCH("geisha",G47))),"⭐ GESHA","")</f>
        <v/>
      </c>
      <c r="X47" s="4" t="s">
        <v>415</v>
      </c>
    </row>
    <row r="48" customFormat="false" ht="78.75" hidden="false" customHeight="true" outlineLevel="0" collapsed="false">
      <c r="A48" s="3" t="n">
        <v>46201</v>
      </c>
      <c r="B48" s="4" t="s">
        <v>52</v>
      </c>
      <c r="C48" s="4" t="s">
        <v>167</v>
      </c>
      <c r="D48" s="4" t="s">
        <v>490</v>
      </c>
      <c r="E48" s="4" t="s">
        <v>491</v>
      </c>
      <c r="F48" s="4" t="s">
        <v>492</v>
      </c>
      <c r="G48" s="4" t="s">
        <v>493</v>
      </c>
      <c r="H48" s="4" t="s">
        <v>494</v>
      </c>
      <c r="I48" s="4" t="s">
        <v>146</v>
      </c>
      <c r="J48" s="4" t="s">
        <v>495</v>
      </c>
      <c r="K48" s="4" t="n">
        <v>15</v>
      </c>
      <c r="L48" s="4" t="n">
        <v>240</v>
      </c>
      <c r="M48" s="4" t="s">
        <v>60</v>
      </c>
      <c r="N48" s="4" t="s">
        <v>317</v>
      </c>
      <c r="O48" s="4" t="s">
        <v>496</v>
      </c>
      <c r="P48" s="4" t="s">
        <v>174</v>
      </c>
      <c r="Q48" s="6" t="n">
        <v>14</v>
      </c>
      <c r="R48" s="4" t="s">
        <v>497</v>
      </c>
      <c r="S48" s="4" t="s">
        <v>498</v>
      </c>
      <c r="T48" s="4" t="s">
        <v>499</v>
      </c>
      <c r="U48" s="4" t="s">
        <v>500</v>
      </c>
      <c r="V48" s="4" t="s">
        <v>501</v>
      </c>
      <c r="W48" s="5" t="str">
        <f aca="false">IF(OR(ISNUMBER(SEARCH("gesha",G48)),ISNUMBER(SEARCH("geisha",G48))),"⭐ GESHA","")</f>
        <v/>
      </c>
      <c r="X48" s="4" t="s">
        <v>178</v>
      </c>
    </row>
    <row r="49" customFormat="false" ht="165.75" hidden="false" customHeight="true" outlineLevel="0" collapsed="false">
      <c r="A49" s="3" t="n">
        <v>46203</v>
      </c>
      <c r="B49" s="4" t="s">
        <v>52</v>
      </c>
      <c r="C49" s="4" t="s">
        <v>502</v>
      </c>
      <c r="D49" s="4" t="s">
        <v>503</v>
      </c>
      <c r="E49" s="4" t="s">
        <v>504</v>
      </c>
      <c r="F49" s="4" t="s">
        <v>505</v>
      </c>
      <c r="G49" s="4" t="s">
        <v>506</v>
      </c>
      <c r="H49" s="4" t="s">
        <v>507</v>
      </c>
      <c r="I49" s="4" t="s">
        <v>405</v>
      </c>
      <c r="J49" s="4" t="s">
        <v>508</v>
      </c>
      <c r="K49" s="4" t="s">
        <v>509</v>
      </c>
      <c r="L49" s="4" t="s">
        <v>509</v>
      </c>
      <c r="M49" s="4" t="s">
        <v>509</v>
      </c>
      <c r="N49" s="4" t="s">
        <v>509</v>
      </c>
      <c r="O49" s="4" t="s">
        <v>27</v>
      </c>
      <c r="P49" s="4" t="s">
        <v>509</v>
      </c>
      <c r="Q49" s="6" t="n">
        <v>6</v>
      </c>
      <c r="R49" s="4" t="s">
        <v>510</v>
      </c>
      <c r="S49" s="4" t="s">
        <v>511</v>
      </c>
      <c r="T49" s="4" t="s">
        <v>512</v>
      </c>
      <c r="U49" s="4" t="s">
        <v>513</v>
      </c>
      <c r="V49" s="4" t="s">
        <v>400</v>
      </c>
      <c r="W49" s="5" t="str">
        <f aca="false">IF(OR(ISNUMBER(SEARCH("gesha",G49)),ISNUMBER(SEARCH("geisha",G49))),"⭐ GESHA","")</f>
        <v/>
      </c>
      <c r="X49" s="4" t="s">
        <v>514</v>
      </c>
    </row>
    <row r="50" customFormat="false" ht="49.5" hidden="false" customHeight="true" outlineLevel="0" collapsed="false">
      <c r="A50" s="3" t="n">
        <v>46204</v>
      </c>
      <c r="B50" s="4" t="s">
        <v>52</v>
      </c>
      <c r="C50" s="4" t="s">
        <v>53</v>
      </c>
      <c r="D50" s="4" t="s">
        <v>515</v>
      </c>
      <c r="E50" s="4" t="s">
        <v>516</v>
      </c>
      <c r="F50" s="4" t="s">
        <v>517</v>
      </c>
      <c r="G50" s="4" t="s">
        <v>518</v>
      </c>
      <c r="H50" s="4" t="s">
        <v>58</v>
      </c>
      <c r="I50" s="4" t="s">
        <v>30</v>
      </c>
      <c r="J50" s="4" t="s">
        <v>519</v>
      </c>
      <c r="K50" s="4" t="n">
        <v>16</v>
      </c>
      <c r="L50" s="4" t="n">
        <v>240</v>
      </c>
      <c r="M50" s="4" t="s">
        <v>156</v>
      </c>
      <c r="N50" s="4" t="s">
        <v>520</v>
      </c>
      <c r="O50" s="4" t="s">
        <v>521</v>
      </c>
      <c r="P50" s="4" t="s">
        <v>522</v>
      </c>
      <c r="Q50" s="6" t="n">
        <v>9</v>
      </c>
      <c r="R50" s="4" t="s">
        <v>523</v>
      </c>
      <c r="S50" s="4" t="s">
        <v>524</v>
      </c>
      <c r="T50" s="4" t="s">
        <v>525</v>
      </c>
      <c r="U50" s="4" t="s">
        <v>526</v>
      </c>
      <c r="V50" s="4" t="s">
        <v>527</v>
      </c>
      <c r="W50" s="5" t="str">
        <f aca="false">IF(OR(ISNUMBER(SEARCH("gesha",G50)),ISNUMBER(SEARCH("geisha",G50))),"⭐ GESHA","")</f>
        <v/>
      </c>
      <c r="X50" s="4" t="s">
        <v>68</v>
      </c>
    </row>
    <row r="51" customFormat="false" ht="117.75" hidden="false" customHeight="true" outlineLevel="0" collapsed="false">
      <c r="A51" s="3" t="n">
        <v>46206</v>
      </c>
      <c r="B51" s="4" t="s">
        <v>52</v>
      </c>
      <c r="C51" s="4" t="s">
        <v>370</v>
      </c>
      <c r="D51" s="4" t="s">
        <v>528</v>
      </c>
      <c r="E51" s="4" t="s">
        <v>529</v>
      </c>
      <c r="F51" s="4" t="s">
        <v>118</v>
      </c>
      <c r="G51" s="4" t="s">
        <v>530</v>
      </c>
      <c r="H51" s="4" t="s">
        <v>58</v>
      </c>
      <c r="I51" s="4" t="s">
        <v>146</v>
      </c>
      <c r="J51" s="4" t="s">
        <v>531</v>
      </c>
      <c r="K51" s="4" t="n">
        <v>15</v>
      </c>
      <c r="L51" s="4" t="n">
        <v>240</v>
      </c>
      <c r="M51" s="4" t="s">
        <v>60</v>
      </c>
      <c r="N51" s="4" t="s">
        <v>532</v>
      </c>
      <c r="O51" s="4" t="s">
        <v>533</v>
      </c>
      <c r="P51" s="4" t="s">
        <v>534</v>
      </c>
      <c r="Q51" s="6" t="n">
        <v>9</v>
      </c>
      <c r="R51" s="4" t="s">
        <v>535</v>
      </c>
      <c r="S51" s="4" t="s">
        <v>536</v>
      </c>
      <c r="T51" s="4" t="s">
        <v>537</v>
      </c>
      <c r="U51" s="4" t="s">
        <v>538</v>
      </c>
      <c r="V51" s="4" t="s">
        <v>539</v>
      </c>
      <c r="W51" s="5" t="str">
        <f aca="false">IF(OR(ISNUMBER(SEARCH("gesha",G51)),ISNUMBER(SEARCH("geisha",G51))),"⭐ GESHA","")</f>
        <v/>
      </c>
      <c r="X51" s="4" t="s">
        <v>383</v>
      </c>
    </row>
    <row r="52" customFormat="false" ht="88.5" hidden="false" customHeight="true" outlineLevel="0" collapsed="false">
      <c r="A52" s="3" t="n">
        <v>46207</v>
      </c>
      <c r="B52" s="4" t="s">
        <v>52</v>
      </c>
      <c r="C52" s="4" t="s">
        <v>540</v>
      </c>
      <c r="D52" s="4" t="s">
        <v>541</v>
      </c>
      <c r="E52" s="4" t="s">
        <v>542</v>
      </c>
      <c r="F52" s="4" t="s">
        <v>543</v>
      </c>
      <c r="G52" s="4" t="s">
        <v>91</v>
      </c>
      <c r="H52" s="4" t="s">
        <v>544</v>
      </c>
      <c r="I52" s="4" t="s">
        <v>146</v>
      </c>
      <c r="J52" s="4" t="s">
        <v>545</v>
      </c>
      <c r="K52" s="4" t="n">
        <v>15</v>
      </c>
      <c r="L52" s="4" t="n">
        <v>240</v>
      </c>
      <c r="M52" s="4" t="s">
        <v>60</v>
      </c>
      <c r="N52" s="4" t="s">
        <v>546</v>
      </c>
      <c r="O52" s="4" t="s">
        <v>547</v>
      </c>
      <c r="P52" s="4" t="s">
        <v>548</v>
      </c>
      <c r="Q52" s="6" t="n">
        <v>9</v>
      </c>
      <c r="R52" s="4" t="s">
        <v>549</v>
      </c>
      <c r="S52" s="4" t="s">
        <v>550</v>
      </c>
      <c r="T52" s="4" t="s">
        <v>551</v>
      </c>
      <c r="U52" s="4" t="s">
        <v>552</v>
      </c>
      <c r="V52" s="4" t="s">
        <v>553</v>
      </c>
      <c r="W52" s="5" t="str">
        <f aca="false">IF(OR(ISNUMBER(SEARCH("gesha",G52)),ISNUMBER(SEARCH("geisha",G52))),"⭐ GESHA","")</f>
        <v/>
      </c>
      <c r="X52" s="4" t="s">
        <v>554</v>
      </c>
    </row>
    <row r="53" customFormat="false" ht="117.75" hidden="false" customHeight="true" outlineLevel="0" collapsed="false">
      <c r="A53" s="3" t="n">
        <v>46208</v>
      </c>
      <c r="B53" s="4" t="s">
        <v>52</v>
      </c>
      <c r="C53" s="4" t="s">
        <v>555</v>
      </c>
      <c r="D53" s="4" t="s">
        <v>556</v>
      </c>
      <c r="E53" s="4" t="s">
        <v>557</v>
      </c>
      <c r="F53" s="4" t="s">
        <v>558</v>
      </c>
      <c r="G53" s="4" t="s">
        <v>171</v>
      </c>
      <c r="H53" s="4" t="s">
        <v>29</v>
      </c>
      <c r="I53" s="4" t="s">
        <v>30</v>
      </c>
      <c r="J53" s="4" t="s">
        <v>559</v>
      </c>
      <c r="K53" s="4" t="n">
        <v>15</v>
      </c>
      <c r="L53" s="4" t="n">
        <v>247</v>
      </c>
      <c r="M53" s="4" t="s">
        <v>474</v>
      </c>
      <c r="N53" s="4" t="s">
        <v>560</v>
      </c>
      <c r="O53" s="4" t="s">
        <v>27</v>
      </c>
      <c r="P53" s="4" t="s">
        <v>307</v>
      </c>
      <c r="Q53" s="6" t="n">
        <v>19</v>
      </c>
      <c r="R53" s="4" t="s">
        <v>561</v>
      </c>
      <c r="S53" s="4" t="s">
        <v>562</v>
      </c>
      <c r="T53" s="4" t="s">
        <v>563</v>
      </c>
      <c r="U53" s="4" t="s">
        <v>564</v>
      </c>
      <c r="V53" s="4" t="s">
        <v>565</v>
      </c>
      <c r="W53" s="5" t="str">
        <f aca="false">IF(OR(ISNUMBER(SEARCH("gesha",G53)),ISNUMBER(SEARCH("geisha",G53))),"⭐ GESHA","")</f>
        <v>⭐ GESHA</v>
      </c>
      <c r="X53" s="4" t="s">
        <v>566</v>
      </c>
    </row>
    <row r="54" customFormat="false" ht="88.5" hidden="false" customHeight="true" outlineLevel="0" collapsed="false">
      <c r="A54" s="3" t="n">
        <v>46208</v>
      </c>
      <c r="B54" s="4" t="s">
        <v>52</v>
      </c>
      <c r="C54" s="4" t="s">
        <v>555</v>
      </c>
      <c r="D54" s="4" t="s">
        <v>567</v>
      </c>
      <c r="E54" s="4" t="s">
        <v>542</v>
      </c>
      <c r="F54" s="4" t="s">
        <v>568</v>
      </c>
      <c r="G54" s="4" t="s">
        <v>569</v>
      </c>
      <c r="H54" s="4" t="s">
        <v>58</v>
      </c>
      <c r="I54" s="4" t="s">
        <v>30</v>
      </c>
      <c r="J54" s="4" t="s">
        <v>559</v>
      </c>
      <c r="K54" s="4" t="n">
        <v>15</v>
      </c>
      <c r="L54" s="4" t="n">
        <v>244</v>
      </c>
      <c r="M54" s="4" t="s">
        <v>570</v>
      </c>
      <c r="N54" s="4" t="s">
        <v>571</v>
      </c>
      <c r="O54" s="4" t="s">
        <v>27</v>
      </c>
      <c r="P54" s="4" t="s">
        <v>307</v>
      </c>
      <c r="Q54" s="6" t="n">
        <v>10</v>
      </c>
      <c r="R54" s="4" t="s">
        <v>572</v>
      </c>
      <c r="S54" s="4" t="s">
        <v>573</v>
      </c>
      <c r="T54" s="4" t="s">
        <v>574</v>
      </c>
      <c r="U54" s="4" t="s">
        <v>575</v>
      </c>
      <c r="V54" s="4" t="s">
        <v>576</v>
      </c>
      <c r="W54" s="5" t="str">
        <f aca="false">IF(OR(ISNUMBER(SEARCH("gesha",G54)),ISNUMBER(SEARCH("geisha",G54))),"⭐ GESHA","")</f>
        <v/>
      </c>
      <c r="X54" s="4" t="s">
        <v>566</v>
      </c>
    </row>
    <row r="55" customFormat="false" ht="88.5" hidden="false" customHeight="true" outlineLevel="0" collapsed="false">
      <c r="A55" s="3" t="n">
        <v>46208</v>
      </c>
      <c r="B55" s="4" t="s">
        <v>52</v>
      </c>
      <c r="C55" s="4" t="s">
        <v>577</v>
      </c>
      <c r="D55" s="4" t="s">
        <v>578</v>
      </c>
      <c r="E55" s="4" t="s">
        <v>27</v>
      </c>
      <c r="F55" s="4" t="s">
        <v>579</v>
      </c>
      <c r="G55" s="4" t="s">
        <v>196</v>
      </c>
      <c r="H55" s="4" t="s">
        <v>29</v>
      </c>
      <c r="I55" s="4" t="s">
        <v>41</v>
      </c>
      <c r="J55" s="4" t="s">
        <v>580</v>
      </c>
      <c r="K55" s="4" t="n">
        <v>15</v>
      </c>
      <c r="L55" s="4" t="n">
        <v>225</v>
      </c>
      <c r="M55" s="4" t="s">
        <v>156</v>
      </c>
      <c r="N55" s="4" t="s">
        <v>325</v>
      </c>
      <c r="O55" s="4" t="s">
        <v>27</v>
      </c>
      <c r="P55" s="4" t="s">
        <v>581</v>
      </c>
      <c r="Q55" s="6" t="n">
        <v>9.9</v>
      </c>
      <c r="R55" s="4" t="s">
        <v>582</v>
      </c>
      <c r="S55" s="4" t="s">
        <v>583</v>
      </c>
      <c r="T55" s="4" t="s">
        <v>584</v>
      </c>
      <c r="U55" s="4" t="s">
        <v>585</v>
      </c>
      <c r="V55" s="4" t="s">
        <v>586</v>
      </c>
      <c r="W55" s="5" t="str">
        <f aca="false">IF(OR(ISNUMBER(SEARCH("gesha",G55)),ISNUMBER(SEARCH("geisha",G55))),"⭐ GESHA","")</f>
        <v>⭐ GESHA</v>
      </c>
      <c r="X55" s="4" t="s">
        <v>587</v>
      </c>
    </row>
    <row r="56" customFormat="false" ht="108" hidden="false" customHeight="true" outlineLevel="0" collapsed="false">
      <c r="A56" s="3" t="n">
        <v>46209</v>
      </c>
      <c r="B56" s="4" t="s">
        <v>52</v>
      </c>
      <c r="C56" s="4" t="s">
        <v>322</v>
      </c>
      <c r="D56" s="4" t="s">
        <v>588</v>
      </c>
      <c r="E56" s="4" t="s">
        <v>589</v>
      </c>
      <c r="F56" s="4" t="s">
        <v>266</v>
      </c>
      <c r="G56" s="4" t="s">
        <v>590</v>
      </c>
      <c r="H56" s="4" t="s">
        <v>272</v>
      </c>
      <c r="I56" s="4" t="s">
        <v>30</v>
      </c>
      <c r="J56" s="4" t="s">
        <v>591</v>
      </c>
      <c r="K56" s="4" t="n">
        <v>15</v>
      </c>
      <c r="L56" s="4" t="n">
        <v>225</v>
      </c>
      <c r="M56" s="4" t="s">
        <v>156</v>
      </c>
      <c r="N56" s="4" t="s">
        <v>592</v>
      </c>
      <c r="O56" s="4" t="s">
        <v>27</v>
      </c>
      <c r="P56" s="4" t="s">
        <v>593</v>
      </c>
      <c r="Q56" s="6" t="n">
        <v>11</v>
      </c>
      <c r="R56" s="4" t="s">
        <v>594</v>
      </c>
      <c r="S56" s="4" t="s">
        <v>595</v>
      </c>
      <c r="T56" s="4" t="s">
        <v>596</v>
      </c>
      <c r="U56" s="4" t="s">
        <v>597</v>
      </c>
      <c r="V56" s="4" t="s">
        <v>598</v>
      </c>
      <c r="W56" s="5" t="str">
        <f aca="false">IF(OR(ISNUMBER(SEARCH("gesha",G56)),ISNUMBER(SEARCH("geisha",G56))),"⭐ GESHA","")</f>
        <v/>
      </c>
      <c r="X56" s="4" t="s">
        <v>331</v>
      </c>
    </row>
    <row r="57" customFormat="false" ht="108" hidden="false" customHeight="true" outlineLevel="0" collapsed="false">
      <c r="A57" s="3" t="n">
        <v>46209</v>
      </c>
      <c r="B57" s="4" t="s">
        <v>52</v>
      </c>
      <c r="C57" s="4" t="s">
        <v>322</v>
      </c>
      <c r="D57" s="4" t="s">
        <v>599</v>
      </c>
      <c r="E57" s="4" t="s">
        <v>600</v>
      </c>
      <c r="F57" s="4" t="s">
        <v>266</v>
      </c>
      <c r="G57" s="4" t="s">
        <v>601</v>
      </c>
      <c r="H57" s="4" t="s">
        <v>602</v>
      </c>
      <c r="I57" s="4" t="s">
        <v>30</v>
      </c>
      <c r="J57" s="4" t="s">
        <v>591</v>
      </c>
      <c r="K57" s="4" t="n">
        <v>15</v>
      </c>
      <c r="L57" s="4" t="n">
        <v>225</v>
      </c>
      <c r="M57" s="4" t="s">
        <v>156</v>
      </c>
      <c r="N57" s="4" t="s">
        <v>592</v>
      </c>
      <c r="O57" s="4" t="s">
        <v>27</v>
      </c>
      <c r="P57" s="4" t="s">
        <v>593</v>
      </c>
      <c r="Q57" s="6" t="n">
        <v>9</v>
      </c>
      <c r="R57" s="4" t="s">
        <v>603</v>
      </c>
      <c r="S57" s="4" t="s">
        <v>604</v>
      </c>
      <c r="T57" s="4" t="s">
        <v>605</v>
      </c>
      <c r="U57" s="4" t="s">
        <v>606</v>
      </c>
      <c r="V57" s="4" t="s">
        <v>598</v>
      </c>
      <c r="W57" s="5" t="str">
        <f aca="false">IF(OR(ISNUMBER(SEARCH("gesha",G57)),ISNUMBER(SEARCH("geisha",G57))),"⭐ GESHA","")</f>
        <v/>
      </c>
      <c r="X57" s="4" t="s">
        <v>331</v>
      </c>
    </row>
    <row r="58" customFormat="false" ht="78.75" hidden="false" customHeight="true" outlineLevel="0" collapsed="false">
      <c r="A58" s="3" t="n">
        <v>46210</v>
      </c>
      <c r="B58" s="4" t="s">
        <v>52</v>
      </c>
      <c r="C58" s="4" t="s">
        <v>607</v>
      </c>
      <c r="D58" s="4" t="s">
        <v>608</v>
      </c>
      <c r="E58" s="4" t="s">
        <v>609</v>
      </c>
      <c r="F58" s="4" t="s">
        <v>610</v>
      </c>
      <c r="G58" s="4" t="s">
        <v>171</v>
      </c>
      <c r="H58" s="4" t="s">
        <v>404</v>
      </c>
      <c r="I58" s="4" t="s">
        <v>30</v>
      </c>
      <c r="J58" s="4" t="s">
        <v>611</v>
      </c>
      <c r="K58" s="4" t="n">
        <v>13.5</v>
      </c>
      <c r="L58" s="4" t="n">
        <v>200</v>
      </c>
      <c r="M58" s="4" t="s">
        <v>612</v>
      </c>
      <c r="N58" s="4" t="s">
        <v>613</v>
      </c>
      <c r="O58" s="4" t="s">
        <v>614</v>
      </c>
      <c r="P58" s="4" t="s">
        <v>615</v>
      </c>
      <c r="Q58" s="6" t="n">
        <v>15</v>
      </c>
      <c r="R58" s="4" t="s">
        <v>616</v>
      </c>
      <c r="S58" s="4" t="s">
        <v>617</v>
      </c>
      <c r="T58" s="4" t="s">
        <v>618</v>
      </c>
      <c r="U58" s="4" t="s">
        <v>619</v>
      </c>
      <c r="V58" s="4" t="s">
        <v>620</v>
      </c>
      <c r="W58" s="5" t="str">
        <f aca="false">IF(OR(ISNUMBER(SEARCH("gesha",G58)),ISNUMBER(SEARCH("geisha",G58))),"⭐ GESHA","")</f>
        <v>⭐ GESHA</v>
      </c>
      <c r="X58" s="4" t="s">
        <v>621</v>
      </c>
    </row>
    <row r="59" customFormat="false" ht="127.5" hidden="false" customHeight="true" outlineLevel="0" collapsed="false">
      <c r="A59" s="3" t="n">
        <v>46211</v>
      </c>
      <c r="B59" s="4" t="s">
        <v>52</v>
      </c>
      <c r="C59" s="4" t="s">
        <v>622</v>
      </c>
      <c r="D59" s="4" t="s">
        <v>623</v>
      </c>
      <c r="E59" s="4" t="s">
        <v>624</v>
      </c>
      <c r="F59" s="4" t="s">
        <v>625</v>
      </c>
      <c r="G59" s="4" t="s">
        <v>171</v>
      </c>
      <c r="H59" s="4" t="s">
        <v>29</v>
      </c>
      <c r="I59" s="4" t="s">
        <v>27</v>
      </c>
      <c r="J59" s="4" t="s">
        <v>626</v>
      </c>
      <c r="K59" s="4" t="n">
        <v>13.5</v>
      </c>
      <c r="L59" s="4" t="n">
        <v>180</v>
      </c>
      <c r="M59" s="4" t="s">
        <v>627</v>
      </c>
      <c r="N59" s="4" t="s">
        <v>628</v>
      </c>
      <c r="O59" s="4" t="s">
        <v>629</v>
      </c>
      <c r="P59" s="4" t="s">
        <v>630</v>
      </c>
      <c r="Q59" s="6" t="n">
        <v>16</v>
      </c>
      <c r="R59" s="4" t="s">
        <v>631</v>
      </c>
      <c r="S59" s="4" t="s">
        <v>632</v>
      </c>
      <c r="T59" s="4" t="s">
        <v>633</v>
      </c>
      <c r="U59" s="4" t="s">
        <v>634</v>
      </c>
      <c r="V59" s="4" t="s">
        <v>635</v>
      </c>
      <c r="W59" s="5" t="str">
        <f aca="false">IF(OR(ISNUMBER(SEARCH("gesha",G59)),ISNUMBER(SEARCH("geisha",G59))),"⭐ GESHA","")</f>
        <v>⭐ GESHA</v>
      </c>
      <c r="X59" s="4" t="s">
        <v>636</v>
      </c>
    </row>
    <row r="60" customFormat="false" ht="59.25" hidden="false" customHeight="true" outlineLevel="0" collapsed="false">
      <c r="A60" s="3" t="n">
        <v>46211</v>
      </c>
      <c r="B60" s="4" t="s">
        <v>52</v>
      </c>
      <c r="C60" s="4" t="s">
        <v>251</v>
      </c>
      <c r="D60" s="4" t="s">
        <v>637</v>
      </c>
      <c r="E60" s="4" t="s">
        <v>638</v>
      </c>
      <c r="F60" s="4" t="s">
        <v>639</v>
      </c>
      <c r="G60" s="4" t="s">
        <v>640</v>
      </c>
      <c r="H60" s="4" t="s">
        <v>29</v>
      </c>
      <c r="I60" s="4" t="s">
        <v>146</v>
      </c>
      <c r="J60" s="4" t="s">
        <v>255</v>
      </c>
      <c r="K60" s="4" t="s">
        <v>27</v>
      </c>
      <c r="L60" s="4" t="s">
        <v>27</v>
      </c>
      <c r="M60" s="4" t="s">
        <v>120</v>
      </c>
      <c r="N60" s="4" t="s">
        <v>61</v>
      </c>
      <c r="O60" s="4" t="s">
        <v>27</v>
      </c>
      <c r="P60" s="4" t="s">
        <v>387</v>
      </c>
      <c r="Q60" s="6" t="n">
        <v>8.5</v>
      </c>
      <c r="R60" s="4" t="s">
        <v>641</v>
      </c>
      <c r="S60" s="4" t="s">
        <v>642</v>
      </c>
      <c r="T60" s="4" t="s">
        <v>643</v>
      </c>
      <c r="U60" s="4" t="s">
        <v>644</v>
      </c>
      <c r="V60" s="4" t="s">
        <v>645</v>
      </c>
      <c r="W60" s="5" t="str">
        <f aca="false">IF(OR(ISNUMBER(SEARCH("gesha",G60)),ISNUMBER(SEARCH("geisha",G60))),"⭐ GESHA","")</f>
        <v/>
      </c>
      <c r="X60" s="4" t="s">
        <v>259</v>
      </c>
    </row>
    <row r="61" customFormat="false" ht="175.5" hidden="false" customHeight="true" outlineLevel="0" collapsed="false">
      <c r="A61" s="3" t="n">
        <v>46212</v>
      </c>
      <c r="B61" s="4" t="s">
        <v>52</v>
      </c>
      <c r="C61" s="4" t="s">
        <v>646</v>
      </c>
      <c r="D61" s="4" t="s">
        <v>647</v>
      </c>
      <c r="E61" s="4" t="s">
        <v>648</v>
      </c>
      <c r="F61" s="4" t="s">
        <v>118</v>
      </c>
      <c r="G61" s="4" t="s">
        <v>171</v>
      </c>
      <c r="H61" s="4" t="s">
        <v>58</v>
      </c>
      <c r="I61" s="4" t="s">
        <v>30</v>
      </c>
      <c r="J61" s="4" t="s">
        <v>649</v>
      </c>
      <c r="K61" s="4" t="n">
        <v>15</v>
      </c>
      <c r="L61" s="4" t="n">
        <v>232</v>
      </c>
      <c r="M61" s="4" t="s">
        <v>650</v>
      </c>
      <c r="N61" s="4" t="s">
        <v>651</v>
      </c>
      <c r="O61" s="4" t="s">
        <v>652</v>
      </c>
      <c r="P61" s="4" t="s">
        <v>326</v>
      </c>
      <c r="Q61" s="6" t="n">
        <v>21</v>
      </c>
      <c r="R61" s="4" t="s">
        <v>653</v>
      </c>
      <c r="S61" s="4" t="s">
        <v>654</v>
      </c>
      <c r="T61" s="4" t="s">
        <v>655</v>
      </c>
      <c r="U61" s="4" t="s">
        <v>656</v>
      </c>
      <c r="V61" s="4" t="s">
        <v>657</v>
      </c>
      <c r="W61" s="5" t="str">
        <f aca="false">IF(OR(ISNUMBER(SEARCH("gesha",G61)),ISNUMBER(SEARCH("geisha",G61))),"⭐ GESHA","")</f>
        <v>⭐ GESHA</v>
      </c>
      <c r="X61" s="4" t="s">
        <v>658</v>
      </c>
    </row>
    <row r="62" customFormat="false" ht="59.7" hidden="false" customHeight="false" outlineLevel="0" collapsed="false">
      <c r="A62" s="3" t="n">
        <v>46213</v>
      </c>
      <c r="B62" s="4" t="s">
        <v>52</v>
      </c>
      <c r="C62" s="4" t="s">
        <v>540</v>
      </c>
      <c r="D62" s="4" t="s">
        <v>659</v>
      </c>
      <c r="E62" s="4" t="s">
        <v>660</v>
      </c>
      <c r="F62" s="4" t="s">
        <v>118</v>
      </c>
      <c r="G62" s="4" t="s">
        <v>661</v>
      </c>
      <c r="H62" s="4" t="s">
        <v>662</v>
      </c>
      <c r="I62" s="4" t="s">
        <v>146</v>
      </c>
      <c r="J62" s="4" t="s">
        <v>545</v>
      </c>
      <c r="K62" s="4" t="s">
        <v>27</v>
      </c>
      <c r="L62" s="4" t="s">
        <v>27</v>
      </c>
      <c r="M62" s="4" t="s">
        <v>27</v>
      </c>
      <c r="N62" s="4" t="s">
        <v>27</v>
      </c>
      <c r="O62" s="4" t="s">
        <v>27</v>
      </c>
      <c r="P62" s="4" t="s">
        <v>663</v>
      </c>
      <c r="Q62" s="6" t="n">
        <v>9</v>
      </c>
      <c r="R62" s="4" t="s">
        <v>664</v>
      </c>
      <c r="S62" s="4" t="s">
        <v>665</v>
      </c>
      <c r="T62" s="4" t="s">
        <v>666</v>
      </c>
      <c r="U62" s="4" t="s">
        <v>667</v>
      </c>
      <c r="V62" s="4" t="s">
        <v>400</v>
      </c>
      <c r="W62" s="5" t="str">
        <f aca="false">IF(OR(ISNUMBER(SEARCH("gesha",G62)),ISNUMBER(SEARCH("geisha",G62))),"⭐ GESHA","")</f>
        <v/>
      </c>
      <c r="X62" s="4" t="s">
        <v>554</v>
      </c>
    </row>
    <row r="63" customFormat="false" ht="176.1" hidden="false" customHeight="false" outlineLevel="0" collapsed="false">
      <c r="A63" s="8" t="n">
        <v>46214</v>
      </c>
      <c r="B63" s="9" t="s">
        <v>52</v>
      </c>
      <c r="C63" s="9" t="s">
        <v>668</v>
      </c>
      <c r="D63" s="9" t="s">
        <v>669</v>
      </c>
      <c r="E63" s="9" t="s">
        <v>670</v>
      </c>
      <c r="F63" s="9" t="s">
        <v>671</v>
      </c>
      <c r="G63" s="9" t="s">
        <v>196</v>
      </c>
      <c r="H63" s="9" t="s">
        <v>74</v>
      </c>
      <c r="I63" s="9" t="s">
        <v>146</v>
      </c>
      <c r="J63" s="9" t="s">
        <v>672</v>
      </c>
      <c r="K63" s="9" t="n">
        <v>15</v>
      </c>
      <c r="L63" s="9" t="n">
        <v>225</v>
      </c>
      <c r="M63" s="9" t="s">
        <v>156</v>
      </c>
      <c r="N63" s="9" t="s">
        <v>673</v>
      </c>
      <c r="O63" s="9" t="s">
        <v>27</v>
      </c>
      <c r="P63" s="9" t="s">
        <v>282</v>
      </c>
      <c r="Q63" s="9" t="n">
        <v>10</v>
      </c>
      <c r="R63" s="9" t="s">
        <v>674</v>
      </c>
      <c r="S63" s="9" t="s">
        <v>675</v>
      </c>
      <c r="T63" s="9" t="s">
        <v>676</v>
      </c>
      <c r="U63" s="9" t="s">
        <v>677</v>
      </c>
      <c r="V63" s="9" t="s">
        <v>678</v>
      </c>
      <c r="W63" s="10" t="str">
        <f aca="false">IF(OR(ISNUMBER(SEARCH("gesha",G63)),ISNUMBER(SEARCH("geisha",G63))),"⭐ GESHA","")</f>
        <v>⭐ GESHA</v>
      </c>
      <c r="X63" s="9" t="s">
        <v>679</v>
      </c>
    </row>
  </sheetData>
  <conditionalFormatting sqref="A2:W2000">
    <cfRule type="expression" priority="2" aboveAverage="0" equalAverage="0" bottom="0" percent="0" rank="0" text="" dxfId="0">
      <formula>AND($A2&lt;&gt;"",OR(ISNUMBER(SEARCH("gesha",$G2)),ISNUMBER(SEARCH("geisha",$G2))))</formula>
    </cfRule>
    <cfRule type="expression" priority="3" aboveAverage="0" equalAverage="0" bottom="0" percent="0" rank="0" text="" dxfId="1">
      <formula>AND($A2&lt;&gt;"",MOD(ROW(),2)=0)</formula>
    </cfRule>
    <cfRule type="expression" priority="4" aboveAverage="0" equalAverage="0" bottom="0" percent="0" rank="0" text="" dxfId="2">
      <formula>AND($A2&lt;&gt;"",MOD(ROW(),2)=1)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902A"/>
    <pageSetUpPr fitToPage="false"/>
  </sheetPr>
  <dimension ref="B1:M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4"/>
    <col collapsed="false" customWidth="true" hidden="false" outlineLevel="0" max="3" min="3" style="1" width="22"/>
    <col collapsed="false" customWidth="true" hidden="false" outlineLevel="0" max="4" min="4" style="1" width="7"/>
    <col collapsed="false" customWidth="true" hidden="false" outlineLevel="0" max="6" min="5" style="1" width="9"/>
    <col collapsed="false" customWidth="true" hidden="false" outlineLevel="0" max="7" min="7" style="1" width="34"/>
    <col collapsed="false" customWidth="true" hidden="false" outlineLevel="0" max="8" min="8" style="1" width="28"/>
    <col collapsed="false" customWidth="true" hidden="false" outlineLevel="0" max="10" min="9" style="1" width="10"/>
    <col collapsed="false" customWidth="true" hidden="false" outlineLevel="0" max="11" min="11" style="1" width="42"/>
    <col collapsed="false" customWidth="true" hidden="false" outlineLevel="0" max="13" min="12" style="1" width="10"/>
  </cols>
  <sheetData>
    <row r="1" customFormat="false" ht="27.75" hidden="false" customHeight="true" outlineLevel="0" collapsed="false">
      <c r="B1" s="11" t="s">
        <v>680</v>
      </c>
      <c r="C1" s="11"/>
      <c r="D1" s="11"/>
      <c r="E1" s="11"/>
      <c r="F1" s="11"/>
      <c r="G1" s="11"/>
      <c r="H1" s="11"/>
      <c r="I1" s="11"/>
      <c r="J1" s="11"/>
      <c r="K1" s="11"/>
      <c r="L1" s="11"/>
      <c r="M1" s="11"/>
    </row>
    <row r="2" customFormat="false" ht="12.75" hidden="false" customHeight="true" outlineLevel="0" collapsed="false">
      <c r="B2" s="12" t="s">
        <v>681</v>
      </c>
      <c r="C2" s="12"/>
      <c r="D2" s="12"/>
      <c r="E2" s="12"/>
      <c r="F2" s="12"/>
      <c r="G2" s="12"/>
      <c r="H2" s="12"/>
      <c r="I2" s="12"/>
      <c r="J2" s="12"/>
      <c r="K2" s="12"/>
      <c r="L2" s="12"/>
      <c r="M2" s="12"/>
    </row>
    <row r="3" customFormat="false" ht="7.5" hidden="false" customHeight="true" outlineLevel="0" collapsed="false"/>
    <row r="4" customFormat="false" ht="15.75" hidden="false" customHeight="true" outlineLevel="0" collapsed="false">
      <c r="B4" s="13" t="s">
        <v>682</v>
      </c>
      <c r="C4" s="13"/>
      <c r="D4" s="13"/>
      <c r="E4" s="13"/>
      <c r="F4" s="13"/>
      <c r="G4" s="13"/>
      <c r="H4" s="13"/>
      <c r="I4" s="13"/>
      <c r="J4" s="13"/>
      <c r="K4" s="13"/>
      <c r="L4" s="13"/>
      <c r="M4" s="13"/>
    </row>
    <row r="5" customFormat="false" ht="4.5" hidden="false" customHeight="true" outlineLevel="0" collapsed="false"/>
    <row r="6" customFormat="false" ht="13.5" hidden="false" customHeight="true" outlineLevel="0" collapsed="false">
      <c r="B6" s="14" t="s">
        <v>683</v>
      </c>
      <c r="C6" s="14" t="s">
        <v>684</v>
      </c>
      <c r="D6" s="14" t="s">
        <v>685</v>
      </c>
      <c r="E6" s="14" t="s">
        <v>686</v>
      </c>
      <c r="F6" s="14" t="s">
        <v>687</v>
      </c>
      <c r="G6" s="14" t="s">
        <v>688</v>
      </c>
      <c r="H6" s="14" t="s">
        <v>689</v>
      </c>
      <c r="I6" s="14" t="s">
        <v>690</v>
      </c>
      <c r="J6" s="14" t="s">
        <v>691</v>
      </c>
    </row>
    <row r="7" customFormat="false" ht="30" hidden="false" customHeight="true" outlineLevel="0" collapsed="false">
      <c r="B7" s="15" t="n">
        <f aca="false">COUNTA('Coffee Audit'!A2:A2000)</f>
        <v>62</v>
      </c>
      <c r="C7" s="15" t="n">
        <f aca="false">SUMPRODUCT(('Coffee Audit'!C2:C2000&lt;&gt;"")/COUNTIF('Coffee Audit'!C2:C2000,'Coffee Audit'!C2:C2000&amp;""))</f>
        <v>34</v>
      </c>
      <c r="D7" s="15" t="n">
        <v>4</v>
      </c>
      <c r="E7" s="15" t="n">
        <v>18</v>
      </c>
      <c r="F7" s="15" t="n">
        <f aca="false">COUNTIF('Coffee Audit'!W2:W2000,"⭐ GESHA")</f>
        <v>13</v>
      </c>
      <c r="G7" s="15" t="n">
        <f aca="false">SUMPRODUCT(('Coffee Audit'!G2:G2000&lt;&gt;"")/COUNTIF('Coffee Audit'!G2:G2000,'Coffee Audit'!G2:G2000&amp;""))</f>
        <v>39</v>
      </c>
      <c r="H7" s="15" t="str">
        <f aca="false">IFERROR("S$"&amp;TEXT(AVERAGEIF('Coffee Audit'!Q2:Q2000,"&gt;0"),"0.00"),"—")</f>
        <v>S$10.90</v>
      </c>
      <c r="I7" s="15" t="str">
        <f aca="false">TEXT(MIN('Coffee Audit'!A2:A2000),"DD MMM YYYY")</f>
        <v>03 Jan 2026</v>
      </c>
      <c r="J7" s="15" t="str">
        <f aca="false">TEXT(MAX('Coffee Audit'!A2:A2000),"DD MMM YYYY")</f>
        <v>11 Jul 2026</v>
      </c>
    </row>
    <row r="8" customFormat="false" ht="12" hidden="false" customHeight="true" outlineLevel="0" collapsed="false">
      <c r="B8" s="16" t="s">
        <v>692</v>
      </c>
      <c r="C8" s="16" t="s">
        <v>693</v>
      </c>
      <c r="D8" s="16" t="s">
        <v>694</v>
      </c>
      <c r="E8" s="16" t="s">
        <v>695</v>
      </c>
      <c r="F8" s="16" t="s">
        <v>696</v>
      </c>
      <c r="G8" s="16" t="s">
        <v>697</v>
      </c>
      <c r="H8" s="16" t="s">
        <v>698</v>
      </c>
      <c r="I8" s="16" t="s">
        <v>699</v>
      </c>
      <c r="J8" s="16" t="s">
        <v>700</v>
      </c>
    </row>
    <row r="10" customFormat="false" ht="9.75" hidden="false" customHeight="true" outlineLevel="0" collapsed="false"/>
    <row r="11" customFormat="false" ht="15.75" hidden="false" customHeight="true" outlineLevel="0" collapsed="false">
      <c r="B11" s="13" t="s">
        <v>701</v>
      </c>
      <c r="C11" s="13"/>
      <c r="D11" s="13"/>
      <c r="E11" s="13"/>
      <c r="F11" s="13"/>
      <c r="G11" s="13"/>
      <c r="H11" s="13" t="s">
        <v>702</v>
      </c>
      <c r="I11" s="13"/>
      <c r="J11" s="13"/>
      <c r="K11" s="13"/>
      <c r="L11" s="13"/>
      <c r="M11" s="13"/>
    </row>
    <row r="12" customFormat="false" ht="15.75" hidden="false" customHeight="true" outlineLevel="0" collapsed="false">
      <c r="B12" s="17" t="s">
        <v>703</v>
      </c>
      <c r="C12" s="17" t="s">
        <v>704</v>
      </c>
      <c r="D12" s="17" t="s">
        <v>5</v>
      </c>
      <c r="E12" s="17" t="s">
        <v>7</v>
      </c>
      <c r="F12" s="17" t="s">
        <v>705</v>
      </c>
      <c r="H12" s="17" t="s">
        <v>704</v>
      </c>
      <c r="I12" s="17" t="s">
        <v>706</v>
      </c>
      <c r="J12" s="17" t="s">
        <v>707</v>
      </c>
      <c r="K12" s="17" t="s">
        <v>1</v>
      </c>
      <c r="L12" s="17" t="s">
        <v>708</v>
      </c>
    </row>
    <row r="13" customFormat="false" ht="12.75" hidden="false" customHeight="true" outlineLevel="0" collapsed="false">
      <c r="B13" s="18" t="n">
        <v>1</v>
      </c>
      <c r="C13" s="18" t="s">
        <v>167</v>
      </c>
      <c r="D13" s="18" t="s">
        <v>709</v>
      </c>
      <c r="E13" s="18" t="s">
        <v>58</v>
      </c>
      <c r="F13" s="18" t="s">
        <v>710</v>
      </c>
      <c r="H13" s="19" t="s">
        <v>251</v>
      </c>
      <c r="I13" s="18" t="n">
        <v>6</v>
      </c>
      <c r="J13" s="18" t="s">
        <v>711</v>
      </c>
      <c r="K13" s="18" t="s">
        <v>52</v>
      </c>
      <c r="L13" s="18" t="s">
        <v>712</v>
      </c>
    </row>
    <row r="14" customFormat="false" ht="12.75" hidden="false" customHeight="true" outlineLevel="0" collapsed="false">
      <c r="B14" s="20" t="n">
        <v>2</v>
      </c>
      <c r="C14" s="20" t="s">
        <v>192</v>
      </c>
      <c r="D14" s="20" t="s">
        <v>713</v>
      </c>
      <c r="E14" s="20" t="s">
        <v>197</v>
      </c>
      <c r="F14" s="20" t="s">
        <v>714</v>
      </c>
      <c r="H14" s="21" t="s">
        <v>167</v>
      </c>
      <c r="I14" s="20" t="n">
        <v>4</v>
      </c>
      <c r="J14" s="20" t="s">
        <v>715</v>
      </c>
      <c r="K14" s="20" t="s">
        <v>52</v>
      </c>
      <c r="L14" s="20" t="s">
        <v>716</v>
      </c>
    </row>
    <row r="15" customFormat="false" ht="12.75" hidden="false" customHeight="true" outlineLevel="0" collapsed="false">
      <c r="B15" s="18" t="n">
        <v>3</v>
      </c>
      <c r="C15" s="18" t="s">
        <v>167</v>
      </c>
      <c r="D15" s="18" t="s">
        <v>717</v>
      </c>
      <c r="E15" s="18" t="s">
        <v>58</v>
      </c>
      <c r="F15" s="18" t="s">
        <v>715</v>
      </c>
      <c r="H15" s="19" t="s">
        <v>322</v>
      </c>
      <c r="I15" s="18" t="n">
        <v>3</v>
      </c>
      <c r="J15" s="18" t="s">
        <v>718</v>
      </c>
      <c r="K15" s="18" t="s">
        <v>52</v>
      </c>
      <c r="L15" s="18" t="s">
        <v>719</v>
      </c>
    </row>
    <row r="16" customFormat="false" ht="12.75" hidden="false" customHeight="true" outlineLevel="0" collapsed="false">
      <c r="B16" s="20" t="n">
        <v>4</v>
      </c>
      <c r="C16" s="20" t="s">
        <v>322</v>
      </c>
      <c r="D16" s="20" t="s">
        <v>720</v>
      </c>
      <c r="E16" s="20" t="s">
        <v>58</v>
      </c>
      <c r="F16" s="20" t="s">
        <v>721</v>
      </c>
      <c r="H16" s="21" t="s">
        <v>25</v>
      </c>
      <c r="I16" s="20" t="n">
        <v>3</v>
      </c>
      <c r="J16" s="20" t="s">
        <v>722</v>
      </c>
      <c r="K16" s="20" t="s">
        <v>24</v>
      </c>
      <c r="L16" s="20" t="s">
        <v>723</v>
      </c>
    </row>
    <row r="17" customFormat="false" ht="12.75" hidden="false" customHeight="true" outlineLevel="0" collapsed="false">
      <c r="B17" s="18" t="n">
        <v>5</v>
      </c>
      <c r="C17" s="18" t="s">
        <v>332</v>
      </c>
      <c r="D17" s="18" t="s">
        <v>724</v>
      </c>
      <c r="E17" s="18" t="s">
        <v>58</v>
      </c>
      <c r="F17" s="18" t="s">
        <v>725</v>
      </c>
      <c r="H17" s="19" t="s">
        <v>53</v>
      </c>
      <c r="I17" s="18" t="n">
        <v>3</v>
      </c>
      <c r="J17" s="18" t="s">
        <v>726</v>
      </c>
      <c r="K17" s="18" t="s">
        <v>52</v>
      </c>
      <c r="L17" s="18"/>
    </row>
    <row r="18" customFormat="false" ht="12.75" hidden="false" customHeight="true" outlineLevel="0" collapsed="false">
      <c r="B18" s="20" t="n">
        <v>6</v>
      </c>
      <c r="C18" s="20" t="s">
        <v>727</v>
      </c>
      <c r="D18" s="20" t="s">
        <v>118</v>
      </c>
      <c r="E18" s="20" t="s">
        <v>404</v>
      </c>
      <c r="F18" s="20" t="s">
        <v>728</v>
      </c>
      <c r="H18" s="21" t="s">
        <v>132</v>
      </c>
      <c r="I18" s="20" t="n">
        <v>3</v>
      </c>
      <c r="J18" s="20" t="s">
        <v>722</v>
      </c>
      <c r="K18" s="20" t="s">
        <v>52</v>
      </c>
      <c r="L18" s="20"/>
    </row>
    <row r="19" customFormat="false" ht="12.75" hidden="false" customHeight="true" outlineLevel="0" collapsed="false">
      <c r="B19" s="18" t="n">
        <v>7</v>
      </c>
      <c r="C19" s="18" t="s">
        <v>431</v>
      </c>
      <c r="D19" s="18" t="s">
        <v>720</v>
      </c>
      <c r="E19" s="18" t="s">
        <v>58</v>
      </c>
      <c r="F19" s="18" t="s">
        <v>729</v>
      </c>
      <c r="H19" s="19" t="s">
        <v>370</v>
      </c>
      <c r="I19" s="18" t="n">
        <v>2</v>
      </c>
      <c r="J19" s="18" t="s">
        <v>730</v>
      </c>
      <c r="K19" s="18" t="s">
        <v>52</v>
      </c>
      <c r="L19" s="18" t="s">
        <v>731</v>
      </c>
    </row>
    <row r="20" customFormat="false" ht="12.75" hidden="false" customHeight="true" outlineLevel="0" collapsed="false">
      <c r="B20" s="20" t="n">
        <v>8</v>
      </c>
      <c r="C20" s="20" t="s">
        <v>555</v>
      </c>
      <c r="D20" s="20" t="s">
        <v>732</v>
      </c>
      <c r="E20" s="20" t="s">
        <v>29</v>
      </c>
      <c r="F20" s="20" t="s">
        <v>733</v>
      </c>
      <c r="H20" s="21" t="s">
        <v>555</v>
      </c>
      <c r="I20" s="20" t="n">
        <v>2</v>
      </c>
      <c r="J20" s="20" t="s">
        <v>734</v>
      </c>
      <c r="K20" s="20" t="s">
        <v>52</v>
      </c>
      <c r="L20" s="20" t="s">
        <v>735</v>
      </c>
    </row>
    <row r="21" customFormat="false" ht="12.75" hidden="false" customHeight="true" outlineLevel="0" collapsed="false">
      <c r="B21" s="18" t="n">
        <v>9</v>
      </c>
      <c r="C21" s="18" t="s">
        <v>577</v>
      </c>
      <c r="D21" s="18" t="s">
        <v>732</v>
      </c>
      <c r="E21" s="18" t="s">
        <v>29</v>
      </c>
      <c r="F21" s="18" t="s">
        <v>736</v>
      </c>
      <c r="H21" s="19" t="s">
        <v>727</v>
      </c>
      <c r="I21" s="18" t="n">
        <v>2</v>
      </c>
      <c r="J21" s="18" t="s">
        <v>721</v>
      </c>
      <c r="K21" s="18" t="s">
        <v>52</v>
      </c>
      <c r="L21" s="18" t="s">
        <v>735</v>
      </c>
    </row>
    <row r="22" customFormat="false" ht="12.75" hidden="false" customHeight="true" outlineLevel="0" collapsed="false">
      <c r="B22" s="20" t="n">
        <v>10</v>
      </c>
      <c r="C22" s="20" t="s">
        <v>607</v>
      </c>
      <c r="D22" s="20" t="s">
        <v>720</v>
      </c>
      <c r="E22" s="20" t="s">
        <v>404</v>
      </c>
      <c r="F22" s="20" t="s">
        <v>728</v>
      </c>
      <c r="H22" s="21" t="s">
        <v>179</v>
      </c>
      <c r="I22" s="20" t="n">
        <v>2</v>
      </c>
      <c r="J22" s="20" t="s">
        <v>737</v>
      </c>
      <c r="K22" s="20" t="s">
        <v>52</v>
      </c>
      <c r="L22" s="20"/>
    </row>
    <row r="23" customFormat="false" ht="12.75" hidden="false" customHeight="true" outlineLevel="0" collapsed="false">
      <c r="B23" s="18" t="n">
        <v>11</v>
      </c>
      <c r="C23" s="18" t="s">
        <v>622</v>
      </c>
      <c r="D23" s="18" t="s">
        <v>738</v>
      </c>
      <c r="E23" s="18" t="s">
        <v>29</v>
      </c>
      <c r="F23" s="18" t="s">
        <v>739</v>
      </c>
      <c r="H23" s="22"/>
      <c r="I23" s="22"/>
      <c r="J23" s="22"/>
      <c r="K23" s="22"/>
      <c r="L23" s="22"/>
    </row>
    <row r="24" customFormat="false" ht="12.75" hidden="false" customHeight="true" outlineLevel="0" collapsed="false">
      <c r="B24" s="20" t="n">
        <v>12</v>
      </c>
      <c r="C24" s="20" t="s">
        <v>646</v>
      </c>
      <c r="D24" s="20" t="s">
        <v>118</v>
      </c>
      <c r="E24" s="20" t="s">
        <v>58</v>
      </c>
      <c r="F24" s="20" t="s">
        <v>740</v>
      </c>
      <c r="H24" s="22"/>
      <c r="I24" s="22"/>
      <c r="J24" s="22"/>
      <c r="K24" s="22"/>
      <c r="L24" s="22"/>
    </row>
    <row r="25" customFormat="false" ht="27.75" hidden="false" customHeight="true" outlineLevel="0" collapsed="false">
      <c r="B25" s="23" t="s">
        <v>741</v>
      </c>
      <c r="C25" s="23"/>
      <c r="D25" s="23"/>
      <c r="E25" s="23"/>
      <c r="F25" s="23"/>
    </row>
    <row r="26" customFormat="false" ht="9.75" hidden="false" customHeight="true" outlineLevel="0" collapsed="false"/>
    <row r="27" customFormat="false" ht="15.75" hidden="false" customHeight="true" outlineLevel="0" collapsed="false">
      <c r="B27" s="13" t="s">
        <v>742</v>
      </c>
      <c r="C27" s="13"/>
      <c r="D27" s="13"/>
      <c r="E27" s="13"/>
      <c r="F27" s="13"/>
      <c r="G27" s="13"/>
      <c r="H27" s="13" t="s">
        <v>743</v>
      </c>
      <c r="I27" s="13"/>
      <c r="J27" s="13"/>
      <c r="K27" s="13"/>
      <c r="L27" s="13"/>
      <c r="M27" s="13"/>
    </row>
    <row r="28" customFormat="false" ht="15.75" hidden="false" customHeight="true" outlineLevel="0" collapsed="false">
      <c r="B28" s="17" t="s">
        <v>7</v>
      </c>
      <c r="C28" s="17" t="s">
        <v>744</v>
      </c>
      <c r="D28" s="17" t="s">
        <v>745</v>
      </c>
      <c r="E28" s="17" t="s">
        <v>746</v>
      </c>
      <c r="F28" s="17" t="s">
        <v>747</v>
      </c>
      <c r="H28" s="17" t="s">
        <v>5</v>
      </c>
      <c r="I28" s="17" t="s">
        <v>748</v>
      </c>
      <c r="J28" s="17" t="s">
        <v>745</v>
      </c>
      <c r="K28" s="17" t="s">
        <v>749</v>
      </c>
      <c r="L28" s="17" t="s">
        <v>750</v>
      </c>
    </row>
    <row r="29" customFormat="false" ht="12.75" hidden="false" customHeight="true" outlineLevel="0" collapsed="false">
      <c r="B29" s="19" t="s">
        <v>58</v>
      </c>
      <c r="C29" s="18" t="n">
        <f aca="false">COUNTIF('Coffee Audit'!H2:H2000,"*Washed*")-COUNTIF('Coffee Audit'!H2:H2000,"*Anaerobic*")</f>
        <v>19</v>
      </c>
      <c r="D29" s="18" t="s">
        <v>751</v>
      </c>
      <c r="E29" s="18" t="s">
        <v>752</v>
      </c>
      <c r="F29" s="18" t="s">
        <v>753</v>
      </c>
      <c r="H29" s="19" t="s">
        <v>118</v>
      </c>
      <c r="I29" s="18" t="n">
        <f aca="false">COUNTIF('Coffee Audit'!F2:F2000,"*Colombia*")</f>
        <v>18</v>
      </c>
      <c r="J29" s="18" t="s">
        <v>754</v>
      </c>
      <c r="K29" s="18" t="s">
        <v>755</v>
      </c>
      <c r="L29" s="18" t="s">
        <v>756</v>
      </c>
    </row>
    <row r="30" customFormat="false" ht="12.75" hidden="false" customHeight="true" outlineLevel="0" collapsed="false">
      <c r="B30" s="21" t="s">
        <v>29</v>
      </c>
      <c r="C30" s="20" t="n">
        <f aca="false">COUNTIF('Coffee Audit'!H2:H2000,"*Natural*")-COUNTIF('Coffee Audit'!H2:H2000,"*Anaerobic*")</f>
        <v>12</v>
      </c>
      <c r="D30" s="20" t="s">
        <v>757</v>
      </c>
      <c r="E30" s="20" t="s">
        <v>758</v>
      </c>
      <c r="F30" s="20" t="s">
        <v>759</v>
      </c>
      <c r="H30" s="21" t="s">
        <v>266</v>
      </c>
      <c r="I30" s="20" t="n">
        <f aca="false">COUNTIF('Coffee Audit'!F2:F2000,"*Ethiopia*")</f>
        <v>7</v>
      </c>
      <c r="J30" s="20" t="s">
        <v>760</v>
      </c>
      <c r="K30" s="20" t="s">
        <v>722</v>
      </c>
      <c r="L30" s="20" t="s">
        <v>761</v>
      </c>
    </row>
    <row r="31" customFormat="false" ht="12.75" hidden="false" customHeight="true" outlineLevel="0" collapsed="false">
      <c r="B31" s="19" t="s">
        <v>404</v>
      </c>
      <c r="C31" s="18" t="n">
        <f aca="false">COUNTIF('Coffee Audit'!H2:H2000,"*Honey*")</f>
        <v>6</v>
      </c>
      <c r="D31" s="18" t="s">
        <v>762</v>
      </c>
      <c r="E31" s="18" t="s">
        <v>763</v>
      </c>
      <c r="F31" s="18" t="s">
        <v>759</v>
      </c>
      <c r="H31" s="19" t="s">
        <v>253</v>
      </c>
      <c r="I31" s="18" t="n">
        <f aca="false">COUNTIF('Coffee Audit'!F2:F2000,"*Brazil*")</f>
        <v>5</v>
      </c>
      <c r="J31" s="18" t="s">
        <v>762</v>
      </c>
      <c r="K31" s="18" t="s">
        <v>722</v>
      </c>
      <c r="L31" s="18" t="s">
        <v>764</v>
      </c>
    </row>
    <row r="32" customFormat="false" ht="12.75" hidden="false" customHeight="true" outlineLevel="0" collapsed="false">
      <c r="B32" s="21" t="s">
        <v>74</v>
      </c>
      <c r="C32" s="20" t="n">
        <f aca="false">COUNTIF('Coffee Audit'!H2:H2000,"*Anaerobic Nat*")+COUNTIF('Coffee Audit'!H2:H2000,"*Natural Anaerobic*")</f>
        <v>7</v>
      </c>
      <c r="D32" s="20" t="s">
        <v>762</v>
      </c>
      <c r="E32" s="20" t="s">
        <v>765</v>
      </c>
      <c r="F32" s="20" t="s">
        <v>766</v>
      </c>
      <c r="H32" s="21" t="s">
        <v>767</v>
      </c>
      <c r="I32" s="20" t="n">
        <f aca="false">COUNTIF('Coffee Audit'!F2:F2000,"*Indonesia*")</f>
        <v>3</v>
      </c>
      <c r="J32" s="20" t="s">
        <v>768</v>
      </c>
      <c r="K32" s="20" t="s">
        <v>722</v>
      </c>
      <c r="L32" s="20" t="s">
        <v>769</v>
      </c>
    </row>
    <row r="33" customFormat="false" ht="12.75" hidden="false" customHeight="true" outlineLevel="0" collapsed="false">
      <c r="B33" s="19" t="s">
        <v>770</v>
      </c>
      <c r="C33" s="18" t="n">
        <f aca="false">COUNTIF('Coffee Audit'!H2:H2000,"*Co-Ferment*")+COUNTIF('Coffee Audit'!H2:H2000,"*Mosto*")+COUNTIF('Coffee Audit'!H2:H2000,"*Yeast*")</f>
        <v>4</v>
      </c>
      <c r="D33" s="18" t="s">
        <v>771</v>
      </c>
      <c r="E33" s="18" t="s">
        <v>772</v>
      </c>
      <c r="F33" s="18" t="s">
        <v>773</v>
      </c>
      <c r="H33" s="19" t="s">
        <v>98</v>
      </c>
      <c r="I33" s="18" t="n">
        <f aca="false">COUNTIF('Coffee Audit'!F2:F2000,"*Honduras*")</f>
        <v>3</v>
      </c>
      <c r="J33" s="18" t="s">
        <v>771</v>
      </c>
      <c r="K33" s="18" t="s">
        <v>774</v>
      </c>
      <c r="L33" s="18" t="s">
        <v>775</v>
      </c>
    </row>
    <row r="34" customFormat="false" ht="12.75" hidden="false" customHeight="true" outlineLevel="0" collapsed="false">
      <c r="B34" s="21" t="s">
        <v>776</v>
      </c>
      <c r="C34" s="20" t="n">
        <f aca="false">COUNTIF('Coffee Audit'!H2:H2000,"*Wet*")</f>
        <v>1</v>
      </c>
      <c r="D34" s="20" t="s">
        <v>777</v>
      </c>
      <c r="E34" s="20" t="s">
        <v>778</v>
      </c>
      <c r="F34" s="20" t="s">
        <v>779</v>
      </c>
      <c r="H34" s="21" t="s">
        <v>639</v>
      </c>
      <c r="I34" s="20" t="n">
        <f aca="false">COUNTIF('Coffee Audit'!F2:F2000,"*Peru*")</f>
        <v>3</v>
      </c>
      <c r="J34" s="20" t="s">
        <v>771</v>
      </c>
      <c r="K34" s="20" t="s">
        <v>780</v>
      </c>
      <c r="L34" s="20" t="s">
        <v>781</v>
      </c>
    </row>
    <row r="35" customFormat="false" ht="12.75" hidden="false" customHeight="true" outlineLevel="0" collapsed="false">
      <c r="B35" s="19" t="s">
        <v>782</v>
      </c>
      <c r="C35" s="18" t="n">
        <f aca="false">COUNTIF('Coffee Audit'!H2:H2000,"*Thermal*")</f>
        <v>1</v>
      </c>
      <c r="D35" s="18" t="s">
        <v>777</v>
      </c>
      <c r="E35" s="18" t="s">
        <v>783</v>
      </c>
      <c r="F35" s="18" t="s">
        <v>784</v>
      </c>
      <c r="H35" s="19" t="s">
        <v>127</v>
      </c>
      <c r="I35" s="18" t="n">
        <f aca="false">COUNTIF('Coffee Audit'!F2:F2000,"*Kenya*")</f>
        <v>3</v>
      </c>
      <c r="J35" s="18" t="s">
        <v>785</v>
      </c>
      <c r="K35" s="18" t="s">
        <v>722</v>
      </c>
      <c r="L35" s="18" t="s">
        <v>786</v>
      </c>
    </row>
    <row r="36" customFormat="false" ht="12.75" hidden="false" customHeight="true" outlineLevel="0" collapsed="false">
      <c r="B36" s="21" t="s">
        <v>544</v>
      </c>
      <c r="C36" s="20" t="n">
        <f aca="false">COUNTIF('Coffee Audit'!H2:H2000,"*Lactic*")</f>
        <v>1</v>
      </c>
      <c r="D36" s="20" t="s">
        <v>777</v>
      </c>
      <c r="E36" s="20" t="s">
        <v>787</v>
      </c>
      <c r="F36" s="20" t="s">
        <v>766</v>
      </c>
      <c r="H36" s="21" t="s">
        <v>788</v>
      </c>
      <c r="I36" s="20" t="n">
        <f aca="false">COUNTIF('Coffee Audit'!F2:F2000,"*Panama*")</f>
        <v>2</v>
      </c>
      <c r="J36" s="20" t="s">
        <v>785</v>
      </c>
      <c r="K36" s="20" t="s">
        <v>780</v>
      </c>
      <c r="L36" s="20" t="s">
        <v>789</v>
      </c>
    </row>
    <row r="37" customFormat="false" ht="12.75" hidden="false" customHeight="true" outlineLevel="0" collapsed="false">
      <c r="H37" s="19" t="s">
        <v>790</v>
      </c>
      <c r="I37" s="18" t="n">
        <f aca="false">COUNTIF('Coffee Audit'!F2:F2000,"*Ecuador*")</f>
        <v>1</v>
      </c>
      <c r="J37" s="18" t="s">
        <v>777</v>
      </c>
      <c r="K37" s="18" t="s">
        <v>774</v>
      </c>
      <c r="L37" s="18" t="s">
        <v>791</v>
      </c>
    </row>
    <row r="38" customFormat="false" ht="12.75" hidden="false" customHeight="true" outlineLevel="0" collapsed="false">
      <c r="H38" s="21" t="s">
        <v>543</v>
      </c>
      <c r="I38" s="20" t="n">
        <f aca="false">COUNTIF('Coffee Audit'!F2:F2000,"*Bolivia*")</f>
        <v>2</v>
      </c>
      <c r="J38" s="20" t="s">
        <v>792</v>
      </c>
      <c r="K38" s="20" t="s">
        <v>722</v>
      </c>
      <c r="L38" s="20" t="s">
        <v>793</v>
      </c>
    </row>
    <row r="39" customFormat="false" ht="9.75" hidden="false" customHeight="true" outlineLevel="0" collapsed="false"/>
    <row r="40" customFormat="false" ht="15.75" hidden="false" customHeight="true" outlineLevel="0" collapsed="false">
      <c r="B40" s="13" t="s">
        <v>794</v>
      </c>
      <c r="C40" s="13"/>
      <c r="D40" s="13"/>
      <c r="E40" s="13"/>
      <c r="F40" s="13"/>
      <c r="G40" s="13"/>
      <c r="H40" s="13" t="s">
        <v>795</v>
      </c>
      <c r="I40" s="13"/>
      <c r="J40" s="13"/>
      <c r="K40" s="13"/>
      <c r="L40" s="13"/>
      <c r="M40" s="13"/>
    </row>
    <row r="41" customFormat="false" ht="15.75" hidden="false" customHeight="true" outlineLevel="0" collapsed="false">
      <c r="B41" s="17" t="s">
        <v>796</v>
      </c>
      <c r="C41" s="17" t="s">
        <v>748</v>
      </c>
      <c r="D41" s="17" t="s">
        <v>797</v>
      </c>
      <c r="E41" s="17" t="s">
        <v>798</v>
      </c>
      <c r="H41" s="17" t="s">
        <v>799</v>
      </c>
      <c r="I41" s="17" t="s">
        <v>800</v>
      </c>
      <c r="J41" s="17" t="s">
        <v>801</v>
      </c>
    </row>
    <row r="42" customFormat="false" ht="12.75" hidden="false" customHeight="true" outlineLevel="0" collapsed="false">
      <c r="B42" s="21" t="s">
        <v>802</v>
      </c>
      <c r="C42" s="20" t="s">
        <v>803</v>
      </c>
      <c r="D42" s="20" t="s">
        <v>804</v>
      </c>
      <c r="E42" s="20" t="s">
        <v>805</v>
      </c>
      <c r="H42" s="21" t="s">
        <v>719</v>
      </c>
      <c r="I42" s="20" t="s">
        <v>806</v>
      </c>
      <c r="J42" s="20" t="s">
        <v>807</v>
      </c>
    </row>
    <row r="43" customFormat="false" ht="12.75" hidden="false" customHeight="true" outlineLevel="0" collapsed="false">
      <c r="B43" s="19" t="s">
        <v>808</v>
      </c>
      <c r="C43" s="18" t="s">
        <v>803</v>
      </c>
      <c r="D43" s="18" t="s">
        <v>809</v>
      </c>
      <c r="E43" s="18" t="s">
        <v>810</v>
      </c>
      <c r="H43" s="19" t="s">
        <v>811</v>
      </c>
      <c r="I43" s="18" t="s">
        <v>812</v>
      </c>
      <c r="J43" s="18" t="s">
        <v>813</v>
      </c>
    </row>
    <row r="44" customFormat="false" ht="12.75" hidden="false" customHeight="true" outlineLevel="0" collapsed="false">
      <c r="B44" s="21" t="s">
        <v>814</v>
      </c>
      <c r="C44" s="20" t="s">
        <v>815</v>
      </c>
      <c r="D44" s="20" t="s">
        <v>804</v>
      </c>
      <c r="E44" s="20" t="s">
        <v>816</v>
      </c>
      <c r="H44" s="21" t="s">
        <v>811</v>
      </c>
      <c r="I44" s="20" t="s">
        <v>817</v>
      </c>
      <c r="J44" s="20" t="s">
        <v>818</v>
      </c>
    </row>
    <row r="45" customFormat="false" ht="12.75" hidden="false" customHeight="true" outlineLevel="0" collapsed="false">
      <c r="B45" s="19" t="s">
        <v>819</v>
      </c>
      <c r="C45" s="18" t="s">
        <v>820</v>
      </c>
      <c r="D45" s="18" t="s">
        <v>821</v>
      </c>
      <c r="E45" s="18" t="s">
        <v>822</v>
      </c>
      <c r="H45" s="19" t="s">
        <v>823</v>
      </c>
      <c r="I45" s="18" t="s">
        <v>824</v>
      </c>
      <c r="J45" s="18" t="s">
        <v>825</v>
      </c>
    </row>
    <row r="46" customFormat="false" ht="12.75" hidden="false" customHeight="true" outlineLevel="0" collapsed="false">
      <c r="B46" s="21" t="s">
        <v>826</v>
      </c>
      <c r="C46" s="20" t="s">
        <v>827</v>
      </c>
      <c r="D46" s="20" t="s">
        <v>722</v>
      </c>
      <c r="E46" s="20" t="s">
        <v>828</v>
      </c>
      <c r="H46" s="21" t="s">
        <v>829</v>
      </c>
      <c r="I46" s="20" t="s">
        <v>830</v>
      </c>
      <c r="J46" s="20" t="s">
        <v>831</v>
      </c>
    </row>
    <row r="47" customFormat="false" ht="12.75" hidden="false" customHeight="true" outlineLevel="0" collapsed="false">
      <c r="B47" s="19" t="s">
        <v>27</v>
      </c>
      <c r="C47" s="18" t="s">
        <v>832</v>
      </c>
      <c r="D47" s="18" t="s">
        <v>722</v>
      </c>
      <c r="E47" s="18" t="s">
        <v>833</v>
      </c>
      <c r="H47" s="19" t="s">
        <v>834</v>
      </c>
      <c r="I47" s="18" t="s">
        <v>835</v>
      </c>
      <c r="J47" s="18" t="s">
        <v>836</v>
      </c>
    </row>
    <row r="48" customFormat="false" ht="12.75" hidden="false" customHeight="true" outlineLevel="0" collapsed="false">
      <c r="H48" s="21" t="s">
        <v>837</v>
      </c>
      <c r="I48" s="20" t="s">
        <v>838</v>
      </c>
      <c r="J48" s="20" t="s">
        <v>839</v>
      </c>
    </row>
    <row r="49" customFormat="false" ht="12.75" hidden="false" customHeight="true" outlineLevel="0" collapsed="false">
      <c r="H49" s="19" t="s">
        <v>840</v>
      </c>
      <c r="I49" s="18" t="s">
        <v>841</v>
      </c>
      <c r="J49" s="18" t="s">
        <v>842</v>
      </c>
    </row>
    <row r="50" customFormat="false" ht="12.75" hidden="false" customHeight="true" outlineLevel="0" collapsed="false">
      <c r="H50" s="21" t="s">
        <v>843</v>
      </c>
      <c r="I50" s="20" t="s">
        <v>844</v>
      </c>
      <c r="J50" s="20" t="s">
        <v>845</v>
      </c>
    </row>
    <row r="51" customFormat="false" ht="7.5" hidden="false" customHeight="true" outlineLevel="0" collapsed="false"/>
    <row r="52" customFormat="false" ht="15.75" hidden="false" customHeight="true" outlineLevel="0" collapsed="false">
      <c r="B52" s="13" t="s">
        <v>846</v>
      </c>
      <c r="C52" s="13"/>
      <c r="D52" s="13"/>
      <c r="E52" s="13"/>
      <c r="F52" s="13"/>
      <c r="G52" s="13"/>
      <c r="H52" s="13"/>
      <c r="I52" s="13"/>
      <c r="J52" s="13"/>
      <c r="K52" s="13"/>
      <c r="L52" s="13"/>
      <c r="M52" s="13"/>
    </row>
    <row r="53" customFormat="false" ht="13.5" hidden="false" customHeight="true" outlineLevel="0" collapsed="false">
      <c r="B53" s="24" t="s">
        <v>847</v>
      </c>
      <c r="C53" s="24"/>
      <c r="D53" s="24"/>
      <c r="E53" s="24"/>
      <c r="F53" s="24"/>
      <c r="G53" s="24"/>
      <c r="H53" s="24"/>
      <c r="I53" s="24"/>
      <c r="J53" s="24"/>
      <c r="K53" s="24"/>
      <c r="L53" s="24"/>
      <c r="M53" s="24"/>
    </row>
    <row r="54" customFormat="false" ht="13.5" hidden="false" customHeight="true" outlineLevel="0" collapsed="false">
      <c r="B54" s="24"/>
      <c r="C54" s="24"/>
      <c r="D54" s="24"/>
      <c r="E54" s="24"/>
      <c r="F54" s="24"/>
      <c r="G54" s="24"/>
      <c r="H54" s="24"/>
      <c r="I54" s="24"/>
      <c r="J54" s="24"/>
      <c r="K54" s="24"/>
      <c r="L54" s="24"/>
      <c r="M54" s="24"/>
    </row>
    <row r="55" customFormat="false" ht="13.5" hidden="false" customHeight="true" outlineLevel="0" collapsed="false">
      <c r="B55" s="24"/>
      <c r="C55" s="24"/>
      <c r="D55" s="24"/>
      <c r="E55" s="24"/>
      <c r="F55" s="24"/>
      <c r="G55" s="24"/>
      <c r="H55" s="24"/>
      <c r="I55" s="24"/>
      <c r="J55" s="24"/>
      <c r="K55" s="24"/>
      <c r="L55" s="24"/>
      <c r="M55" s="24"/>
    </row>
  </sheetData>
  <mergeCells count="12">
    <mergeCell ref="B1:M1"/>
    <mergeCell ref="B2:M2"/>
    <mergeCell ref="B4:M4"/>
    <mergeCell ref="B11:G11"/>
    <mergeCell ref="H11:M11"/>
    <mergeCell ref="B25:F25"/>
    <mergeCell ref="B27:G27"/>
    <mergeCell ref="H27:M27"/>
    <mergeCell ref="B40:G40"/>
    <mergeCell ref="H40:M40"/>
    <mergeCell ref="B52:M52"/>
    <mergeCell ref="B53:M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B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8"/>
    <col collapsed="false" customWidth="true" hidden="false" outlineLevel="0" max="4" min="4" style="1" width="6"/>
    <col collapsed="false" customWidth="true" hidden="false" outlineLevel="0" max="5" min="5" style="1" width="30"/>
    <col collapsed="false" customWidth="true" hidden="false" outlineLevel="0" max="6" min="6" style="1" width="14"/>
    <col collapsed="false" customWidth="true" hidden="false" outlineLevel="0" max="7" min="7" style="1" width="5"/>
    <col collapsed="false" customWidth="true" hidden="false" outlineLevel="0" max="8" min="8" style="1" width="14"/>
    <col collapsed="false" customWidth="true" hidden="false" outlineLevel="0" max="9" min="9" style="1" width="8"/>
    <col collapsed="false" customWidth="true" hidden="false" outlineLevel="0" max="10" min="10"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11" t="s">
        <v>848</v>
      </c>
      <c r="C1" s="11"/>
      <c r="D1" s="11"/>
      <c r="E1" s="11"/>
      <c r="F1" s="11"/>
      <c r="G1" s="11"/>
      <c r="H1" s="11"/>
      <c r="I1" s="11"/>
      <c r="J1" s="11"/>
      <c r="K1" s="11"/>
      <c r="L1" s="11"/>
    </row>
    <row r="2" customFormat="false" ht="13.5" hidden="false" customHeight="true" outlineLevel="0" collapsed="false">
      <c r="B2" s="12" t="s">
        <v>849</v>
      </c>
      <c r="C2" s="12"/>
      <c r="D2" s="12"/>
      <c r="E2" s="12"/>
      <c r="F2" s="12"/>
      <c r="G2" s="12"/>
      <c r="H2" s="12"/>
      <c r="I2" s="12"/>
      <c r="J2" s="12"/>
      <c r="K2" s="12"/>
      <c r="L2" s="12"/>
    </row>
    <row r="3" customFormat="false" ht="6" hidden="false" customHeight="true" outlineLevel="0" collapsed="false"/>
    <row r="4" customFormat="false" ht="15.75" hidden="false" customHeight="true" outlineLevel="0" collapsed="false">
      <c r="B4" s="13" t="s">
        <v>850</v>
      </c>
      <c r="C4" s="13"/>
      <c r="D4" s="13"/>
      <c r="E4" s="13"/>
      <c r="F4" s="13"/>
      <c r="G4" s="13"/>
      <c r="H4" s="13"/>
      <c r="I4" s="13"/>
      <c r="J4" s="13"/>
      <c r="K4" s="13"/>
      <c r="L4" s="13"/>
    </row>
    <row r="5" customFormat="false" ht="13.5" hidden="false" customHeight="true" outlineLevel="0" collapsed="false">
      <c r="B5" s="24" t="s">
        <v>851</v>
      </c>
      <c r="C5" s="24"/>
      <c r="D5" s="24"/>
      <c r="E5" s="24"/>
      <c r="F5" s="24"/>
      <c r="G5" s="24"/>
      <c r="H5" s="24"/>
      <c r="I5" s="24"/>
      <c r="J5" s="24"/>
      <c r="K5" s="24"/>
      <c r="L5" s="24"/>
    </row>
    <row r="6" customFormat="false" ht="13.5" hidden="false" customHeight="true" outlineLevel="0" collapsed="false">
      <c r="B6" s="24"/>
      <c r="C6" s="24"/>
      <c r="D6" s="24"/>
      <c r="E6" s="24"/>
      <c r="F6" s="24"/>
      <c r="G6" s="24"/>
      <c r="H6" s="24"/>
      <c r="I6" s="24"/>
      <c r="J6" s="24"/>
      <c r="K6" s="24"/>
      <c r="L6" s="24"/>
    </row>
    <row r="7" customFormat="false" ht="13.5" hidden="false" customHeight="true" outlineLevel="0" collapsed="false">
      <c r="B7" s="24"/>
      <c r="C7" s="24"/>
      <c r="D7" s="24"/>
      <c r="E7" s="24"/>
      <c r="F7" s="24"/>
      <c r="G7" s="24"/>
      <c r="H7" s="24"/>
      <c r="I7" s="24"/>
      <c r="J7" s="24"/>
      <c r="K7" s="24"/>
      <c r="L7" s="24"/>
    </row>
    <row r="9" customFormat="false" ht="6" hidden="false" customHeight="true" outlineLevel="0" collapsed="false"/>
    <row r="10" customFormat="false" ht="15.75" hidden="false" customHeight="true" outlineLevel="0" collapsed="false">
      <c r="B10" s="13" t="s">
        <v>852</v>
      </c>
      <c r="C10" s="13"/>
      <c r="D10" s="13"/>
      <c r="E10" s="13"/>
      <c r="F10" s="13"/>
      <c r="G10" s="13"/>
      <c r="H10" s="13" t="s">
        <v>853</v>
      </c>
      <c r="I10" s="13"/>
      <c r="J10" s="13"/>
      <c r="K10" s="13"/>
      <c r="L10" s="13"/>
    </row>
    <row r="11" customFormat="false" ht="15.75" hidden="false" customHeight="true" outlineLevel="0" collapsed="false">
      <c r="B11" s="17" t="s">
        <v>7</v>
      </c>
      <c r="C11" s="17" t="s">
        <v>748</v>
      </c>
      <c r="D11" s="17" t="s">
        <v>854</v>
      </c>
      <c r="E11" s="17" t="s">
        <v>746</v>
      </c>
      <c r="F11" s="17" t="s">
        <v>747</v>
      </c>
      <c r="H11" s="17" t="s">
        <v>855</v>
      </c>
      <c r="I11" s="17" t="s">
        <v>748</v>
      </c>
      <c r="J11" s="17" t="s">
        <v>856</v>
      </c>
    </row>
    <row r="12" customFormat="false" ht="12.75" hidden="false" customHeight="true" outlineLevel="0" collapsed="false">
      <c r="B12" s="21" t="s">
        <v>58</v>
      </c>
      <c r="C12" s="20" t="s">
        <v>857</v>
      </c>
      <c r="D12" s="20" t="s">
        <v>751</v>
      </c>
      <c r="E12" s="20" t="s">
        <v>858</v>
      </c>
      <c r="F12" s="20" t="s">
        <v>859</v>
      </c>
      <c r="H12" s="21" t="s">
        <v>860</v>
      </c>
      <c r="I12" s="20" t="s">
        <v>803</v>
      </c>
      <c r="J12" s="20" t="s">
        <v>861</v>
      </c>
    </row>
    <row r="13" customFormat="false" ht="12.75" hidden="false" customHeight="true" outlineLevel="0" collapsed="false">
      <c r="B13" s="19" t="s">
        <v>29</v>
      </c>
      <c r="C13" s="18" t="s">
        <v>862</v>
      </c>
      <c r="D13" s="18" t="s">
        <v>757</v>
      </c>
      <c r="E13" s="18" t="s">
        <v>863</v>
      </c>
      <c r="F13" s="18" t="s">
        <v>864</v>
      </c>
      <c r="H13" s="19" t="s">
        <v>865</v>
      </c>
      <c r="I13" s="18" t="s">
        <v>866</v>
      </c>
      <c r="J13" s="18" t="s">
        <v>867</v>
      </c>
    </row>
    <row r="14" customFormat="false" ht="12.75" hidden="false" customHeight="true" outlineLevel="0" collapsed="false">
      <c r="B14" s="21" t="s">
        <v>404</v>
      </c>
      <c r="C14" s="20" t="s">
        <v>868</v>
      </c>
      <c r="D14" s="20" t="s">
        <v>762</v>
      </c>
      <c r="E14" s="20" t="s">
        <v>763</v>
      </c>
      <c r="F14" s="20" t="s">
        <v>869</v>
      </c>
      <c r="H14" s="21" t="s">
        <v>870</v>
      </c>
      <c r="I14" s="20" t="s">
        <v>815</v>
      </c>
      <c r="J14" s="20" t="s">
        <v>871</v>
      </c>
    </row>
    <row r="15" customFormat="false" ht="12.75" hidden="false" customHeight="true" outlineLevel="0" collapsed="false">
      <c r="B15" s="19" t="s">
        <v>74</v>
      </c>
      <c r="C15" s="18" t="s">
        <v>868</v>
      </c>
      <c r="D15" s="18" t="s">
        <v>762</v>
      </c>
      <c r="E15" s="18" t="s">
        <v>872</v>
      </c>
      <c r="F15" s="18" t="s">
        <v>873</v>
      </c>
      <c r="H15" s="19" t="s">
        <v>874</v>
      </c>
      <c r="I15" s="18" t="s">
        <v>875</v>
      </c>
      <c r="J15" s="18" t="s">
        <v>876</v>
      </c>
    </row>
    <row r="16" customFormat="false" ht="12.75" hidden="false" customHeight="true" outlineLevel="0" collapsed="false">
      <c r="B16" s="21" t="s">
        <v>770</v>
      </c>
      <c r="C16" s="20" t="s">
        <v>875</v>
      </c>
      <c r="D16" s="20" t="s">
        <v>771</v>
      </c>
      <c r="E16" s="20" t="s">
        <v>877</v>
      </c>
      <c r="F16" s="20" t="s">
        <v>773</v>
      </c>
      <c r="H16" s="21" t="s">
        <v>878</v>
      </c>
      <c r="I16" s="20" t="s">
        <v>815</v>
      </c>
      <c r="J16" s="20" t="s">
        <v>879</v>
      </c>
    </row>
    <row r="17" customFormat="false" ht="12.75" hidden="false" customHeight="true" outlineLevel="0" collapsed="false">
      <c r="B17" s="19" t="s">
        <v>544</v>
      </c>
      <c r="C17" s="18" t="s">
        <v>803</v>
      </c>
      <c r="D17" s="18" t="s">
        <v>777</v>
      </c>
      <c r="E17" s="18" t="s">
        <v>880</v>
      </c>
      <c r="F17" s="18" t="s">
        <v>881</v>
      </c>
      <c r="H17" s="19" t="s">
        <v>882</v>
      </c>
      <c r="I17" s="18" t="s">
        <v>868</v>
      </c>
      <c r="J17" s="18" t="s">
        <v>883</v>
      </c>
    </row>
    <row r="18" customFormat="false" ht="12.75" hidden="false" customHeight="true" outlineLevel="0" collapsed="false">
      <c r="B18" s="21" t="s">
        <v>782</v>
      </c>
      <c r="C18" s="20" t="s">
        <v>803</v>
      </c>
      <c r="D18" s="20" t="s">
        <v>777</v>
      </c>
      <c r="E18" s="20" t="s">
        <v>884</v>
      </c>
      <c r="F18" s="20" t="s">
        <v>885</v>
      </c>
      <c r="H18" s="21" t="s">
        <v>886</v>
      </c>
      <c r="I18" s="20" t="s">
        <v>803</v>
      </c>
      <c r="J18" s="20" t="s">
        <v>887</v>
      </c>
    </row>
    <row r="19" customFormat="false" ht="12.75" hidden="false" customHeight="true" outlineLevel="0" collapsed="false">
      <c r="B19" s="19" t="s">
        <v>40</v>
      </c>
      <c r="C19" s="18" t="s">
        <v>803</v>
      </c>
      <c r="D19" s="18" t="s">
        <v>777</v>
      </c>
      <c r="E19" s="18" t="s">
        <v>888</v>
      </c>
      <c r="F19" s="18" t="s">
        <v>889</v>
      </c>
      <c r="H19" s="19" t="s">
        <v>890</v>
      </c>
      <c r="I19" s="18" t="s">
        <v>803</v>
      </c>
      <c r="J19" s="18" t="s">
        <v>891</v>
      </c>
    </row>
    <row r="20" customFormat="false" ht="7.5" hidden="false" customHeight="true" outlineLevel="0" collapsed="false"/>
    <row r="21" customFormat="false" ht="15.75" hidden="false" customHeight="true" outlineLevel="0" collapsed="false">
      <c r="B21" s="13" t="s">
        <v>892</v>
      </c>
      <c r="C21" s="13"/>
      <c r="D21" s="13"/>
      <c r="E21" s="13"/>
      <c r="F21" s="13"/>
      <c r="G21" s="13"/>
      <c r="H21" s="13" t="s">
        <v>893</v>
      </c>
      <c r="I21" s="13"/>
      <c r="J21" s="13"/>
      <c r="K21" s="13"/>
      <c r="L21" s="13"/>
    </row>
    <row r="22" customFormat="false" ht="15.75" hidden="false" customHeight="true" outlineLevel="0" collapsed="false">
      <c r="B22" s="17" t="s">
        <v>7</v>
      </c>
      <c r="C22" s="17" t="s">
        <v>704</v>
      </c>
      <c r="D22" s="17" t="s">
        <v>894</v>
      </c>
      <c r="E22" s="17" t="s">
        <v>895</v>
      </c>
      <c r="H22" s="17" t="s">
        <v>896</v>
      </c>
      <c r="I22" s="17" t="s">
        <v>897</v>
      </c>
      <c r="J22" s="17" t="s">
        <v>898</v>
      </c>
      <c r="K22" s="17" t="s">
        <v>798</v>
      </c>
    </row>
    <row r="23" customFormat="false" ht="12.75" hidden="false" customHeight="true" outlineLevel="0" collapsed="false">
      <c r="B23" s="19" t="s">
        <v>899</v>
      </c>
      <c r="C23" s="18" t="s">
        <v>900</v>
      </c>
      <c r="D23" s="18" t="s">
        <v>901</v>
      </c>
      <c r="E23" s="18" t="s">
        <v>902</v>
      </c>
      <c r="H23" s="19" t="s">
        <v>802</v>
      </c>
      <c r="I23" s="18" t="s">
        <v>803</v>
      </c>
      <c r="J23" s="18" t="s">
        <v>903</v>
      </c>
      <c r="K23" s="18" t="s">
        <v>904</v>
      </c>
    </row>
    <row r="24" customFormat="false" ht="12.75" hidden="false" customHeight="true" outlineLevel="0" collapsed="false">
      <c r="B24" s="21" t="s">
        <v>404</v>
      </c>
      <c r="C24" s="20" t="s">
        <v>905</v>
      </c>
      <c r="D24" s="20" t="s">
        <v>906</v>
      </c>
      <c r="E24" s="20" t="s">
        <v>907</v>
      </c>
      <c r="H24" s="21" t="s">
        <v>808</v>
      </c>
      <c r="I24" s="20" t="s">
        <v>803</v>
      </c>
      <c r="J24" s="20" t="s">
        <v>809</v>
      </c>
      <c r="K24" s="20" t="s">
        <v>908</v>
      </c>
    </row>
    <row r="25" customFormat="false" ht="12.75" hidden="false" customHeight="true" outlineLevel="0" collapsed="false">
      <c r="B25" s="19" t="s">
        <v>404</v>
      </c>
      <c r="C25" s="18" t="s">
        <v>909</v>
      </c>
      <c r="D25" s="18" t="s">
        <v>910</v>
      </c>
      <c r="E25" s="18" t="s">
        <v>911</v>
      </c>
      <c r="H25" s="19" t="s">
        <v>814</v>
      </c>
      <c r="I25" s="18" t="s">
        <v>815</v>
      </c>
      <c r="J25" s="18" t="s">
        <v>804</v>
      </c>
      <c r="K25" s="18" t="s">
        <v>912</v>
      </c>
    </row>
    <row r="26" customFormat="false" ht="12.75" hidden="false" customHeight="true" outlineLevel="0" collapsed="false">
      <c r="B26" s="21" t="s">
        <v>29</v>
      </c>
      <c r="C26" s="20" t="s">
        <v>913</v>
      </c>
      <c r="D26" s="20" t="s">
        <v>914</v>
      </c>
      <c r="E26" s="20" t="s">
        <v>907</v>
      </c>
      <c r="H26" s="21" t="s">
        <v>819</v>
      </c>
      <c r="I26" s="20" t="s">
        <v>820</v>
      </c>
      <c r="J26" s="20" t="s">
        <v>821</v>
      </c>
      <c r="K26" s="20" t="s">
        <v>915</v>
      </c>
    </row>
    <row r="27" customFormat="false" ht="12.75" hidden="false" customHeight="true" outlineLevel="0" collapsed="false">
      <c r="B27" s="19" t="s">
        <v>29</v>
      </c>
      <c r="C27" s="18" t="s">
        <v>916</v>
      </c>
      <c r="D27" s="18" t="s">
        <v>917</v>
      </c>
      <c r="E27" s="18" t="s">
        <v>918</v>
      </c>
      <c r="H27" s="19" t="s">
        <v>826</v>
      </c>
      <c r="I27" s="18" t="s">
        <v>827</v>
      </c>
      <c r="J27" s="18" t="s">
        <v>722</v>
      </c>
      <c r="K27" s="18" t="s">
        <v>919</v>
      </c>
    </row>
    <row r="28" customFormat="false" ht="12.75" hidden="false" customHeight="true" outlineLevel="0" collapsed="false">
      <c r="B28" s="23" t="s">
        <v>920</v>
      </c>
      <c r="C28" s="23"/>
      <c r="D28" s="23"/>
      <c r="E28" s="23"/>
      <c r="F28" s="23"/>
      <c r="H28" s="21" t="s">
        <v>27</v>
      </c>
      <c r="I28" s="20" t="s">
        <v>832</v>
      </c>
      <c r="J28" s="20" t="s">
        <v>722</v>
      </c>
      <c r="K28" s="20" t="s">
        <v>921</v>
      </c>
    </row>
  </sheetData>
  <mergeCells count="9">
    <mergeCell ref="B1:L1"/>
    <mergeCell ref="B2:L2"/>
    <mergeCell ref="B4:L4"/>
    <mergeCell ref="B5:L7"/>
    <mergeCell ref="B10:G10"/>
    <mergeCell ref="H10:L10"/>
    <mergeCell ref="B21:G21"/>
    <mergeCell ref="H21:L21"/>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B1:L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14"/>
    <col collapsed="false" customWidth="true" hidden="false" outlineLevel="0" max="4" min="4" style="1" width="22"/>
    <col collapsed="false" customWidth="true" hidden="false" outlineLevel="0" max="6" min="5" style="1" width="24"/>
    <col collapsed="false" customWidth="true" hidden="false" outlineLevel="0" max="7" min="7" style="1" width="30"/>
    <col collapsed="false" customWidth="true" hidden="false" outlineLevel="0" max="8" min="8" style="1" width="16"/>
    <col collapsed="false" customWidth="true" hidden="false" outlineLevel="0" max="10" min="9"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11" t="s">
        <v>922</v>
      </c>
      <c r="C1" s="11"/>
      <c r="D1" s="11"/>
      <c r="E1" s="11"/>
      <c r="F1" s="11"/>
      <c r="G1" s="11"/>
      <c r="H1" s="11"/>
      <c r="I1" s="11"/>
      <c r="J1" s="11"/>
      <c r="K1" s="11"/>
      <c r="L1" s="11"/>
    </row>
    <row r="2" customFormat="false" ht="13.5" hidden="false" customHeight="true" outlineLevel="0" collapsed="false">
      <c r="B2" s="12" t="s">
        <v>923</v>
      </c>
      <c r="C2" s="12"/>
      <c r="D2" s="12"/>
      <c r="E2" s="12"/>
      <c r="F2" s="12"/>
      <c r="G2" s="12"/>
      <c r="H2" s="12"/>
      <c r="I2" s="12"/>
      <c r="J2" s="12"/>
      <c r="K2" s="12"/>
      <c r="L2" s="12"/>
    </row>
    <row r="3" customFormat="false" ht="6" hidden="false" customHeight="true" outlineLevel="0" collapsed="false"/>
    <row r="4" customFormat="false" ht="15.75" hidden="false" customHeight="true" outlineLevel="0" collapsed="false">
      <c r="B4" s="13" t="s">
        <v>924</v>
      </c>
      <c r="C4" s="13"/>
      <c r="D4" s="13"/>
      <c r="E4" s="13"/>
      <c r="F4" s="13"/>
      <c r="G4" s="13"/>
      <c r="H4" s="13" t="s">
        <v>925</v>
      </c>
      <c r="I4" s="13"/>
      <c r="J4" s="13"/>
      <c r="K4" s="13"/>
      <c r="L4" s="13"/>
    </row>
    <row r="5" customFormat="false" ht="15.75" hidden="false" customHeight="true" outlineLevel="0" collapsed="false">
      <c r="B5" s="17" t="s">
        <v>5</v>
      </c>
      <c r="C5" s="17" t="s">
        <v>748</v>
      </c>
      <c r="D5" s="17" t="s">
        <v>926</v>
      </c>
      <c r="E5" s="17" t="s">
        <v>749</v>
      </c>
      <c r="F5" s="17" t="s">
        <v>927</v>
      </c>
      <c r="H5" s="17" t="s">
        <v>928</v>
      </c>
      <c r="I5" s="17" t="s">
        <v>929</v>
      </c>
    </row>
    <row r="6" customFormat="false" ht="12.75" hidden="false" customHeight="true" outlineLevel="0" collapsed="false">
      <c r="B6" s="21" t="s">
        <v>118</v>
      </c>
      <c r="C6" s="20" t="n">
        <f aca="false">COUNTIF('Coffee Audit'!F2:F2000,"*Colombia*")</f>
        <v>18</v>
      </c>
      <c r="D6" s="20" t="s">
        <v>754</v>
      </c>
      <c r="E6" s="20" t="n">
        <f aca="false">COUNTIF('Coffee Audit'!G2:G2000,"*Gesha*")</f>
        <v>9</v>
      </c>
      <c r="F6" s="20" t="s">
        <v>930</v>
      </c>
      <c r="H6" s="21" t="s">
        <v>931</v>
      </c>
      <c r="I6" s="25" t="n">
        <f aca="false">COUNTIF('Coffee Audit'!W2:W2000,"⭐ GESHA")</f>
        <v>13</v>
      </c>
    </row>
    <row r="7" customFormat="false" ht="12.75" hidden="false" customHeight="true" outlineLevel="0" collapsed="false">
      <c r="B7" s="19" t="s">
        <v>266</v>
      </c>
      <c r="C7" s="18" t="n">
        <f aca="false">COUNTIF('Coffee Audit'!F2:F2000,"*Ethiopia*")</f>
        <v>7</v>
      </c>
      <c r="D7" s="18" t="s">
        <v>760</v>
      </c>
      <c r="E7" s="18" t="s">
        <v>722</v>
      </c>
      <c r="F7" s="18" t="s">
        <v>761</v>
      </c>
      <c r="H7" s="19" t="s">
        <v>932</v>
      </c>
      <c r="I7" s="26" t="n">
        <f aca="false">SUMPRODUCT(('Coffee Audit'!W2:W2000="⭐ GESHA")*(ISNUMBER(SEARCH("washed",'Coffee Audit'!H2:H2000))))</f>
        <v>6</v>
      </c>
    </row>
    <row r="8" customFormat="false" ht="12.75" hidden="false" customHeight="true" outlineLevel="0" collapsed="false">
      <c r="B8" s="21" t="s">
        <v>253</v>
      </c>
      <c r="C8" s="20" t="n">
        <f aca="false">COUNTIF('Coffee Audit'!F2:F2000,"*Brazil*")</f>
        <v>5</v>
      </c>
      <c r="D8" s="20" t="s">
        <v>762</v>
      </c>
      <c r="E8" s="20" t="s">
        <v>722</v>
      </c>
      <c r="F8" s="20" t="s">
        <v>933</v>
      </c>
      <c r="H8" s="21" t="s">
        <v>934</v>
      </c>
      <c r="I8" s="25" t="n">
        <f aca="false">SUMPRODUCT(('Coffee Audit'!W2:W2000="⭐ GESHA")*(ISNUMBER(SEARCH("honey",'Coffee Audit'!H2:H2000))))</f>
        <v>3</v>
      </c>
    </row>
    <row r="9" customFormat="false" ht="12.75" hidden="false" customHeight="true" outlineLevel="0" collapsed="false">
      <c r="B9" s="19" t="s">
        <v>98</v>
      </c>
      <c r="C9" s="18" t="n">
        <f aca="false">COUNTIF('Coffee Audit'!F2:F2000,"*Honduras*")</f>
        <v>3</v>
      </c>
      <c r="D9" s="18" t="s">
        <v>771</v>
      </c>
      <c r="E9" s="18" t="n">
        <f aca="false">COUNTIF('Coffee Audit'!G2:G2000,"*Gesha*")</f>
        <v>9</v>
      </c>
      <c r="F9" s="18" t="s">
        <v>935</v>
      </c>
      <c r="H9" s="19" t="s">
        <v>936</v>
      </c>
      <c r="I9" s="26" t="n">
        <f aca="false">SUMPRODUCT(('Coffee Audit'!W2:W2000="⭐ GESHA")*(ISNUMBER(SEARCH("natural",'Coffee Audit'!H2:H2000))))</f>
        <v>4</v>
      </c>
    </row>
    <row r="10" customFormat="false" ht="12.75" hidden="false" customHeight="true" outlineLevel="0" collapsed="false">
      <c r="B10" s="21" t="s">
        <v>767</v>
      </c>
      <c r="C10" s="20" t="n">
        <f aca="false">COUNTIF('Coffee Audit'!F2:F2000,"*Indonesia*")</f>
        <v>3</v>
      </c>
      <c r="D10" s="20" t="s">
        <v>771</v>
      </c>
      <c r="E10" s="20" t="s">
        <v>722</v>
      </c>
      <c r="F10" s="20" t="s">
        <v>769</v>
      </c>
      <c r="H10" s="21" t="s">
        <v>937</v>
      </c>
      <c r="I10" s="25" t="s">
        <v>938</v>
      </c>
    </row>
    <row r="11" customFormat="false" ht="12.75" hidden="false" customHeight="true" outlineLevel="0" collapsed="false">
      <c r="B11" s="19" t="s">
        <v>639</v>
      </c>
      <c r="C11" s="18" t="n">
        <f aca="false">COUNTIF('Coffee Audit'!F2:F2000,"*Peru*")</f>
        <v>3</v>
      </c>
      <c r="D11" s="18" t="s">
        <v>771</v>
      </c>
      <c r="E11" s="18" t="s">
        <v>780</v>
      </c>
      <c r="F11" s="18" t="s">
        <v>939</v>
      </c>
      <c r="H11" s="19" t="s">
        <v>940</v>
      </c>
      <c r="I11" s="26" t="s">
        <v>941</v>
      </c>
    </row>
    <row r="12" customFormat="false" ht="12.75" hidden="false" customHeight="true" outlineLevel="0" collapsed="false">
      <c r="B12" s="21" t="s">
        <v>127</v>
      </c>
      <c r="C12" s="20" t="n">
        <f aca="false">COUNTIF('Coffee Audit'!F2:F2000,"*Kenya*")</f>
        <v>3</v>
      </c>
      <c r="D12" s="20" t="s">
        <v>785</v>
      </c>
      <c r="E12" s="20" t="s">
        <v>722</v>
      </c>
      <c r="F12" s="20" t="s">
        <v>942</v>
      </c>
      <c r="H12" s="21" t="s">
        <v>943</v>
      </c>
      <c r="I12" s="25" t="s">
        <v>944</v>
      </c>
    </row>
    <row r="13" customFormat="false" ht="12.75" hidden="false" customHeight="true" outlineLevel="0" collapsed="false">
      <c r="B13" s="19" t="s">
        <v>788</v>
      </c>
      <c r="C13" s="18" t="n">
        <f aca="false">COUNTIF('Coffee Audit'!F2:F2000,"*Panama*")</f>
        <v>2</v>
      </c>
      <c r="D13" s="18" t="s">
        <v>785</v>
      </c>
      <c r="E13" s="18" t="s">
        <v>780</v>
      </c>
      <c r="F13" s="18" t="s">
        <v>945</v>
      </c>
      <c r="H13" s="19" t="s">
        <v>946</v>
      </c>
      <c r="I13" s="26" t="s">
        <v>947</v>
      </c>
    </row>
    <row r="14" customFormat="false" ht="12.75" hidden="false" customHeight="true" outlineLevel="0" collapsed="false">
      <c r="B14" s="21" t="s">
        <v>135</v>
      </c>
      <c r="C14" s="20" t="n">
        <f aca="false">COUNTIF('Coffee Audit'!F2:F2000,"*Nicaragua*")</f>
        <v>2</v>
      </c>
      <c r="D14" s="20" t="s">
        <v>785</v>
      </c>
      <c r="E14" s="20" t="s">
        <v>722</v>
      </c>
      <c r="F14" s="20" t="s">
        <v>948</v>
      </c>
      <c r="H14" s="21" t="s">
        <v>949</v>
      </c>
      <c r="I14" s="25" t="s">
        <v>950</v>
      </c>
    </row>
    <row r="15" customFormat="false" ht="12.75" hidden="false" customHeight="true" outlineLevel="0" collapsed="false">
      <c r="B15" s="19" t="s">
        <v>543</v>
      </c>
      <c r="C15" s="18" t="n">
        <f aca="false">COUNTIF('Coffee Audit'!F2:F2000,"*Bolivia*")</f>
        <v>2</v>
      </c>
      <c r="D15" s="18" t="s">
        <v>792</v>
      </c>
      <c r="E15" s="18" t="s">
        <v>722</v>
      </c>
      <c r="F15" s="18" t="s">
        <v>951</v>
      </c>
      <c r="H15" s="19" t="s">
        <v>952</v>
      </c>
      <c r="I15" s="26" t="s">
        <v>953</v>
      </c>
    </row>
    <row r="16" customFormat="false" ht="12.75" hidden="false" customHeight="true" outlineLevel="0" collapsed="false">
      <c r="B16" s="21" t="s">
        <v>790</v>
      </c>
      <c r="C16" s="20" t="n">
        <f aca="false">COUNTIF('Coffee Audit'!F2:F2000,"*Ecuador*")</f>
        <v>1</v>
      </c>
      <c r="D16" s="20" t="s">
        <v>777</v>
      </c>
      <c r="E16" s="20" t="s">
        <v>774</v>
      </c>
      <c r="F16" s="20" t="s">
        <v>954</v>
      </c>
      <c r="H16" s="21" t="s">
        <v>955</v>
      </c>
      <c r="I16" s="25" t="s">
        <v>956</v>
      </c>
    </row>
    <row r="17" customFormat="false" ht="12.75" hidden="false" customHeight="true" outlineLevel="0" collapsed="false">
      <c r="B17" s="19" t="s">
        <v>73</v>
      </c>
      <c r="C17" s="18" t="n">
        <f aca="false">COUNTIF('Coffee Audit'!F2:F2000,"*India*")</f>
        <v>3</v>
      </c>
      <c r="D17" s="18" t="s">
        <v>785</v>
      </c>
      <c r="E17" s="18" t="s">
        <v>722</v>
      </c>
      <c r="F17" s="18" t="s">
        <v>957</v>
      </c>
    </row>
    <row r="18" customFormat="false" ht="12.75" hidden="false" customHeight="true" outlineLevel="0" collapsed="false">
      <c r="B18" s="21" t="s">
        <v>958</v>
      </c>
      <c r="C18" s="20" t="n">
        <f aca="false">COUNTIF('Coffee Audit'!F2:F2000,"*Malaysia*")</f>
        <v>1</v>
      </c>
      <c r="D18" s="20" t="s">
        <v>777</v>
      </c>
      <c r="E18" s="20" t="s">
        <v>722</v>
      </c>
      <c r="F18" s="20" t="s">
        <v>959</v>
      </c>
    </row>
    <row r="19" customFormat="false" ht="12.75" hidden="false" customHeight="true" outlineLevel="0" collapsed="false">
      <c r="B19" s="19" t="s">
        <v>960</v>
      </c>
      <c r="C19" s="18" t="n">
        <f aca="false">COUNTIF('Coffee Audit'!F2:F2000,"*China*")</f>
        <v>1</v>
      </c>
      <c r="D19" s="18" t="s">
        <v>777</v>
      </c>
      <c r="E19" s="18" t="s">
        <v>722</v>
      </c>
      <c r="F19" s="18" t="s">
        <v>961</v>
      </c>
    </row>
    <row r="20" customFormat="false" ht="12.75" hidden="false" customHeight="true" outlineLevel="0" collapsed="false">
      <c r="B20" s="21" t="s">
        <v>395</v>
      </c>
      <c r="C20" s="20" t="n">
        <f aca="false">COUNTIF('Coffee Audit'!F2:F2000,"*Rwanda*")</f>
        <v>2</v>
      </c>
      <c r="D20" s="20" t="s">
        <v>777</v>
      </c>
      <c r="E20" s="20" t="s">
        <v>722</v>
      </c>
      <c r="F20" s="20" t="s">
        <v>962</v>
      </c>
    </row>
    <row r="21" customFormat="false" ht="12.75" hidden="false" customHeight="true" outlineLevel="0" collapsed="false">
      <c r="B21" s="19" t="s">
        <v>963</v>
      </c>
      <c r="C21" s="18" t="n">
        <f aca="false">COUNTIF('Coffee Audit'!F2:F2000,"*Myanmar*")</f>
        <v>1</v>
      </c>
      <c r="D21" s="18" t="s">
        <v>777</v>
      </c>
      <c r="E21" s="18" t="s">
        <v>722</v>
      </c>
      <c r="F21" s="18" t="s">
        <v>964</v>
      </c>
    </row>
    <row r="22" customFormat="false" ht="12.75" hidden="false" customHeight="true" outlineLevel="0" collapsed="false">
      <c r="B22" s="21" t="s">
        <v>90</v>
      </c>
      <c r="C22" s="20" t="n">
        <f aca="false">COUNTIF('Coffee Audit'!F2:F2000,"*Salvador*")</f>
        <v>1</v>
      </c>
      <c r="D22" s="20" t="s">
        <v>777</v>
      </c>
      <c r="E22" s="20" t="s">
        <v>722</v>
      </c>
      <c r="F22" s="20" t="s">
        <v>965</v>
      </c>
    </row>
    <row r="23" customFormat="false" ht="7.5" hidden="false" customHeight="true" outlineLevel="0" collapsed="false"/>
    <row r="24" customFormat="false" ht="15.75" hidden="false" customHeight="true" outlineLevel="0" collapsed="false">
      <c r="B24" s="13" t="s">
        <v>966</v>
      </c>
      <c r="C24" s="13"/>
      <c r="D24" s="13"/>
      <c r="E24" s="13"/>
      <c r="F24" s="13"/>
      <c r="G24" s="13"/>
      <c r="H24" s="13"/>
      <c r="I24" s="13"/>
      <c r="J24" s="13"/>
      <c r="K24" s="13"/>
      <c r="L24" s="13"/>
    </row>
    <row r="25" customFormat="false" ht="15.75" hidden="false" customHeight="true" outlineLevel="0" collapsed="false">
      <c r="B25" s="17" t="s">
        <v>6</v>
      </c>
      <c r="C25" s="17" t="s">
        <v>898</v>
      </c>
      <c r="D25" s="17" t="s">
        <v>967</v>
      </c>
      <c r="E25" s="17" t="s">
        <v>968</v>
      </c>
      <c r="F25" s="17" t="s">
        <v>708</v>
      </c>
    </row>
    <row r="26" customFormat="false" ht="12.75" hidden="false" customHeight="true" outlineLevel="0" collapsed="false">
      <c r="B26" s="27" t="s">
        <v>969</v>
      </c>
      <c r="C26" s="28" t="s">
        <v>970</v>
      </c>
      <c r="D26" s="28" t="s">
        <v>971</v>
      </c>
      <c r="E26" s="28" t="s">
        <v>972</v>
      </c>
      <c r="F26" s="28" t="s">
        <v>973</v>
      </c>
    </row>
    <row r="27" customFormat="false" ht="12.75" hidden="false" customHeight="true" outlineLevel="0" collapsed="false">
      <c r="B27" s="27" t="s">
        <v>91</v>
      </c>
      <c r="C27" s="28" t="s">
        <v>970</v>
      </c>
      <c r="D27" s="28" t="s">
        <v>974</v>
      </c>
      <c r="E27" s="28" t="s">
        <v>975</v>
      </c>
      <c r="F27" s="28" t="s">
        <v>976</v>
      </c>
    </row>
    <row r="28" customFormat="false" ht="12.75" hidden="false" customHeight="true" outlineLevel="0" collapsed="false">
      <c r="B28" s="27" t="s">
        <v>661</v>
      </c>
      <c r="C28" s="28" t="s">
        <v>970</v>
      </c>
      <c r="D28" s="28" t="s">
        <v>977</v>
      </c>
      <c r="E28" s="28" t="s">
        <v>662</v>
      </c>
      <c r="F28" s="28" t="s">
        <v>978</v>
      </c>
    </row>
    <row r="29" customFormat="false" ht="12.75" hidden="false" customHeight="true" outlineLevel="0" collapsed="false">
      <c r="B29" s="27" t="s">
        <v>183</v>
      </c>
      <c r="C29" s="28" t="s">
        <v>970</v>
      </c>
      <c r="D29" s="28" t="s">
        <v>979</v>
      </c>
      <c r="E29" s="28" t="s">
        <v>58</v>
      </c>
      <c r="F29" s="28" t="s">
        <v>980</v>
      </c>
    </row>
    <row r="30" customFormat="false" ht="12.75" hidden="false" customHeight="true" outlineLevel="0" collapsed="false">
      <c r="B30" s="27" t="s">
        <v>530</v>
      </c>
      <c r="C30" s="28" t="s">
        <v>970</v>
      </c>
      <c r="D30" s="28" t="s">
        <v>981</v>
      </c>
      <c r="E30" s="28" t="s">
        <v>58</v>
      </c>
      <c r="F30" s="28" t="s">
        <v>982</v>
      </c>
    </row>
    <row r="31" customFormat="false" ht="12.75" hidden="false" customHeight="true" outlineLevel="0" collapsed="false">
      <c r="B31" s="27" t="s">
        <v>119</v>
      </c>
      <c r="C31" s="28" t="s">
        <v>970</v>
      </c>
      <c r="D31" s="28" t="s">
        <v>983</v>
      </c>
      <c r="E31" s="28" t="s">
        <v>58</v>
      </c>
      <c r="F31" s="28" t="s">
        <v>984</v>
      </c>
    </row>
    <row r="32" customFormat="false" ht="12.75" hidden="false" customHeight="true" outlineLevel="0" collapsed="false">
      <c r="B32" s="27" t="s">
        <v>316</v>
      </c>
      <c r="C32" s="28" t="s">
        <v>970</v>
      </c>
      <c r="D32" s="28" t="s">
        <v>985</v>
      </c>
      <c r="E32" s="28" t="s">
        <v>74</v>
      </c>
      <c r="F32" s="28" t="s">
        <v>986</v>
      </c>
    </row>
    <row r="33" customFormat="false" ht="12.75" hidden="false" customHeight="true" outlineLevel="0" collapsed="false">
      <c r="B33" s="27" t="s">
        <v>373</v>
      </c>
      <c r="C33" s="28" t="s">
        <v>970</v>
      </c>
      <c r="D33" s="28" t="s">
        <v>987</v>
      </c>
      <c r="E33" s="28" t="s">
        <v>374</v>
      </c>
      <c r="F33" s="28" t="s">
        <v>988</v>
      </c>
    </row>
    <row r="34" customFormat="false" ht="12.75" hidden="false" customHeight="true" outlineLevel="0" collapsed="false">
      <c r="B34" s="27" t="s">
        <v>989</v>
      </c>
      <c r="C34" s="28" t="s">
        <v>970</v>
      </c>
      <c r="D34" s="28" t="s">
        <v>990</v>
      </c>
      <c r="E34" s="28" t="s">
        <v>991</v>
      </c>
      <c r="F34" s="28" t="s">
        <v>992</v>
      </c>
    </row>
    <row r="35" customFormat="false" ht="12.75" hidden="false" customHeight="true" outlineLevel="0" collapsed="false">
      <c r="B35" s="27" t="s">
        <v>472</v>
      </c>
      <c r="C35" s="28" t="s">
        <v>970</v>
      </c>
      <c r="D35" s="28" t="s">
        <v>993</v>
      </c>
      <c r="E35" s="28" t="s">
        <v>473</v>
      </c>
      <c r="F35" s="28" t="s">
        <v>994</v>
      </c>
    </row>
    <row r="36" customFormat="false" ht="12.75" hidden="false" customHeight="true" outlineLevel="0" collapsed="false">
      <c r="B36" s="27" t="s">
        <v>230</v>
      </c>
      <c r="C36" s="28" t="s">
        <v>970</v>
      </c>
      <c r="D36" s="28" t="s">
        <v>995</v>
      </c>
      <c r="E36" s="28" t="s">
        <v>231</v>
      </c>
      <c r="F36" s="28" t="s">
        <v>996</v>
      </c>
    </row>
    <row r="37" customFormat="false" ht="12.75" hidden="false" customHeight="true" outlineLevel="0" collapsed="false">
      <c r="B37" s="29" t="s">
        <v>997</v>
      </c>
      <c r="C37" s="30" t="s">
        <v>998</v>
      </c>
      <c r="D37" s="30" t="s">
        <v>722</v>
      </c>
      <c r="E37" s="30" t="s">
        <v>722</v>
      </c>
      <c r="F37" s="30" t="s">
        <v>999</v>
      </c>
    </row>
    <row r="38" customFormat="false" ht="12.75" hidden="false" customHeight="true" outlineLevel="0" collapsed="false">
      <c r="B38" s="29" t="s">
        <v>1000</v>
      </c>
      <c r="C38" s="30" t="s">
        <v>998</v>
      </c>
      <c r="D38" s="30" t="s">
        <v>722</v>
      </c>
      <c r="E38" s="30" t="s">
        <v>722</v>
      </c>
      <c r="F38" s="30" t="s">
        <v>1001</v>
      </c>
    </row>
    <row r="39" customFormat="false" ht="12.75" hidden="false" customHeight="true" outlineLevel="0" collapsed="false">
      <c r="B39" s="29" t="s">
        <v>1002</v>
      </c>
      <c r="C39" s="30" t="s">
        <v>998</v>
      </c>
      <c r="D39" s="30" t="s">
        <v>722</v>
      </c>
      <c r="E39" s="30" t="s">
        <v>722</v>
      </c>
      <c r="F39" s="30" t="s">
        <v>1003</v>
      </c>
    </row>
  </sheetData>
  <mergeCells count="5">
    <mergeCell ref="B1:L1"/>
    <mergeCell ref="B2:L2"/>
    <mergeCell ref="B4:G4"/>
    <mergeCell ref="H4:L4"/>
    <mergeCell ref="B24:L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B1:K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26"/>
    <col collapsed="false" customWidth="true" hidden="false" outlineLevel="0" max="3" min="3" style="1" width="8"/>
    <col collapsed="false" customWidth="true" hidden="false" outlineLevel="0" max="4" min="4" style="1" width="11"/>
    <col collapsed="false" customWidth="true" hidden="false" outlineLevel="0" max="5" min="5" style="1" width="13"/>
    <col collapsed="false" customWidth="true" hidden="false" outlineLevel="0" max="6" min="6" style="1" width="42"/>
    <col collapsed="false" customWidth="true" hidden="false" outlineLevel="0" max="11" min="7" style="1" width="5"/>
  </cols>
  <sheetData>
    <row r="1" customFormat="false" ht="21.75" hidden="false" customHeight="true" outlineLevel="0" collapsed="false">
      <c r="B1" s="11" t="s">
        <v>1004</v>
      </c>
      <c r="C1" s="11"/>
      <c r="D1" s="11"/>
      <c r="E1" s="11"/>
      <c r="F1" s="11"/>
      <c r="G1" s="11"/>
      <c r="H1" s="11"/>
      <c r="I1" s="11"/>
      <c r="J1" s="11"/>
      <c r="K1" s="11"/>
    </row>
    <row r="2" customFormat="false" ht="13.5" hidden="false" customHeight="true" outlineLevel="0" collapsed="false">
      <c r="B2" s="12" t="s">
        <v>1005</v>
      </c>
      <c r="C2" s="12"/>
      <c r="D2" s="12"/>
      <c r="E2" s="12"/>
      <c r="F2" s="12"/>
      <c r="G2" s="12"/>
      <c r="H2" s="12"/>
      <c r="I2" s="12"/>
      <c r="J2" s="12"/>
      <c r="K2" s="12"/>
    </row>
    <row r="3" customFormat="false" ht="6" hidden="false" customHeight="true" outlineLevel="0" collapsed="false"/>
    <row r="4" customFormat="false" ht="15.75" hidden="false" customHeight="true" outlineLevel="0" collapsed="false">
      <c r="B4" s="13" t="s">
        <v>1006</v>
      </c>
      <c r="C4" s="13"/>
      <c r="D4" s="13"/>
      <c r="E4" s="13"/>
      <c r="F4" s="13"/>
      <c r="G4" s="13"/>
      <c r="H4" s="13"/>
      <c r="I4" s="13"/>
      <c r="J4" s="13"/>
      <c r="K4" s="13"/>
    </row>
    <row r="5" customFormat="false" ht="15.75" hidden="false" customHeight="true" outlineLevel="0" collapsed="false">
      <c r="B5" s="17" t="s">
        <v>1007</v>
      </c>
      <c r="C5" s="17" t="s">
        <v>748</v>
      </c>
      <c r="D5" s="17" t="s">
        <v>1008</v>
      </c>
      <c r="E5" s="17" t="s">
        <v>1009</v>
      </c>
      <c r="F5" s="17" t="s">
        <v>1010</v>
      </c>
    </row>
    <row r="6" customFormat="false" ht="12.75" hidden="false" customHeight="true" outlineLevel="0" collapsed="false">
      <c r="B6" s="21" t="s">
        <v>1011</v>
      </c>
      <c r="C6" s="20" t="s">
        <v>1012</v>
      </c>
      <c r="D6" s="20" t="s">
        <v>1013</v>
      </c>
      <c r="E6" s="20" t="s">
        <v>1014</v>
      </c>
      <c r="F6" s="20" t="s">
        <v>1015</v>
      </c>
    </row>
    <row r="7" customFormat="false" ht="12.75" hidden="false" customHeight="true" outlineLevel="0" collapsed="false">
      <c r="B7" s="19" t="s">
        <v>174</v>
      </c>
      <c r="C7" s="18" t="s">
        <v>1016</v>
      </c>
      <c r="D7" s="18" t="s">
        <v>1017</v>
      </c>
      <c r="E7" s="18" t="s">
        <v>1018</v>
      </c>
      <c r="F7" s="18" t="s">
        <v>1019</v>
      </c>
    </row>
    <row r="8" customFormat="false" ht="12.75" hidden="false" customHeight="true" outlineLevel="0" collapsed="false">
      <c r="B8" s="21" t="s">
        <v>1020</v>
      </c>
      <c r="C8" s="20" t="s">
        <v>862</v>
      </c>
      <c r="D8" s="20" t="s">
        <v>1021</v>
      </c>
      <c r="E8" s="20" t="s">
        <v>1022</v>
      </c>
      <c r="F8" s="20" t="s">
        <v>1023</v>
      </c>
    </row>
    <row r="9" customFormat="false" ht="12.75" hidden="false" customHeight="true" outlineLevel="0" collapsed="false">
      <c r="B9" s="19" t="s">
        <v>235</v>
      </c>
      <c r="C9" s="18" t="s">
        <v>868</v>
      </c>
      <c r="D9" s="18" t="s">
        <v>1021</v>
      </c>
      <c r="E9" s="18" t="s">
        <v>1024</v>
      </c>
      <c r="F9" s="18" t="s">
        <v>1025</v>
      </c>
    </row>
    <row r="10" customFormat="false" ht="12.75" hidden="false" customHeight="true" outlineLevel="0" collapsed="false">
      <c r="B10" s="21" t="s">
        <v>1026</v>
      </c>
      <c r="C10" s="20" t="s">
        <v>1012</v>
      </c>
      <c r="D10" s="20" t="s">
        <v>1027</v>
      </c>
      <c r="E10" s="20" t="s">
        <v>1028</v>
      </c>
      <c r="F10" s="20" t="s">
        <v>1029</v>
      </c>
    </row>
    <row r="11" customFormat="false" ht="12.75" hidden="false" customHeight="true" outlineLevel="0" collapsed="false">
      <c r="B11" s="19" t="s">
        <v>1030</v>
      </c>
      <c r="C11" s="18" t="s">
        <v>803</v>
      </c>
      <c r="D11" s="18" t="s">
        <v>1031</v>
      </c>
      <c r="E11" s="18" t="s">
        <v>1032</v>
      </c>
      <c r="F11" s="18" t="s">
        <v>370</v>
      </c>
    </row>
    <row r="12" customFormat="false" ht="12.75" hidden="false" customHeight="true" outlineLevel="0" collapsed="false">
      <c r="B12" s="21" t="s">
        <v>222</v>
      </c>
      <c r="C12" s="20" t="s">
        <v>1012</v>
      </c>
      <c r="D12" s="20" t="s">
        <v>1033</v>
      </c>
      <c r="E12" s="20" t="s">
        <v>1034</v>
      </c>
      <c r="F12" s="20" t="s">
        <v>1035</v>
      </c>
    </row>
    <row r="13" customFormat="false" ht="12.75" hidden="false" customHeight="true" outlineLevel="0" collapsed="false">
      <c r="B13" s="19" t="s">
        <v>1036</v>
      </c>
      <c r="C13" s="18" t="s">
        <v>1012</v>
      </c>
      <c r="D13" s="18" t="s">
        <v>1037</v>
      </c>
      <c r="E13" s="18" t="s">
        <v>1038</v>
      </c>
      <c r="F13" s="18" t="s">
        <v>1039</v>
      </c>
    </row>
    <row r="14" customFormat="false" ht="12.75" hidden="false" customHeight="true" outlineLevel="0" collapsed="false">
      <c r="B14" s="21" t="s">
        <v>1040</v>
      </c>
      <c r="C14" s="20" t="s">
        <v>803</v>
      </c>
      <c r="D14" s="20" t="s">
        <v>1031</v>
      </c>
      <c r="E14" s="20" t="s">
        <v>1041</v>
      </c>
      <c r="F14" s="20" t="s">
        <v>456</v>
      </c>
    </row>
    <row r="15" customFormat="false" ht="12.75" hidden="false" customHeight="true" outlineLevel="0" collapsed="false">
      <c r="B15" s="19" t="s">
        <v>1042</v>
      </c>
      <c r="C15" s="18" t="s">
        <v>803</v>
      </c>
      <c r="D15" s="18" t="s">
        <v>1043</v>
      </c>
      <c r="E15" s="18" t="s">
        <v>1044</v>
      </c>
      <c r="F15" s="18" t="s">
        <v>416</v>
      </c>
    </row>
    <row r="16" customFormat="false" ht="7.5" hidden="false" customHeight="true" outlineLevel="0" collapsed="false"/>
    <row r="17" customFormat="false" ht="15.75" hidden="false" customHeight="true" outlineLevel="0" collapsed="false">
      <c r="B17" s="13" t="s">
        <v>1045</v>
      </c>
      <c r="C17" s="13"/>
      <c r="D17" s="13"/>
      <c r="E17" s="13"/>
      <c r="F17" s="13"/>
      <c r="G17" s="13"/>
      <c r="H17" s="13"/>
      <c r="I17" s="13"/>
      <c r="J17" s="13"/>
      <c r="K17" s="13"/>
    </row>
    <row r="18" customFormat="false" ht="15.75" hidden="false" customHeight="true" outlineLevel="0" collapsed="false">
      <c r="B18" s="17" t="s">
        <v>1046</v>
      </c>
      <c r="C18" s="17" t="s">
        <v>748</v>
      </c>
      <c r="D18" s="17" t="s">
        <v>1047</v>
      </c>
      <c r="E18" s="17" t="s">
        <v>798</v>
      </c>
    </row>
    <row r="19" customFormat="false" ht="15.75" hidden="false" customHeight="true" outlineLevel="0" collapsed="false">
      <c r="B19" s="27" t="s">
        <v>1048</v>
      </c>
      <c r="C19" s="28" t="s">
        <v>1049</v>
      </c>
      <c r="D19" s="28" t="s">
        <v>1050</v>
      </c>
      <c r="E19" s="28" t="s">
        <v>1051</v>
      </c>
    </row>
    <row r="20" customFormat="false" ht="15.75" hidden="false" customHeight="true" outlineLevel="0" collapsed="false">
      <c r="B20" s="27" t="s">
        <v>1052</v>
      </c>
      <c r="C20" s="28" t="s">
        <v>803</v>
      </c>
      <c r="D20" s="28" t="s">
        <v>1053</v>
      </c>
      <c r="E20" s="28" t="s">
        <v>1054</v>
      </c>
    </row>
    <row r="21" customFormat="false" ht="15.75" hidden="false" customHeight="true" outlineLevel="0" collapsed="false">
      <c r="B21" s="31" t="s">
        <v>1055</v>
      </c>
      <c r="C21" s="32" t="s">
        <v>815</v>
      </c>
      <c r="D21" s="32" t="s">
        <v>1056</v>
      </c>
      <c r="E21" s="32" t="s">
        <v>1057</v>
      </c>
    </row>
    <row r="22" customFormat="false" ht="15.75" hidden="false" customHeight="true" outlineLevel="0" collapsed="false">
      <c r="B22" s="31" t="s">
        <v>1058</v>
      </c>
      <c r="C22" s="32" t="s">
        <v>868</v>
      </c>
      <c r="D22" s="32" t="s">
        <v>1059</v>
      </c>
      <c r="E22" s="32" t="s">
        <v>1060</v>
      </c>
    </row>
    <row r="23" customFormat="false" ht="15.75" hidden="false" customHeight="true" outlineLevel="0" collapsed="false">
      <c r="B23" s="27" t="s">
        <v>1061</v>
      </c>
      <c r="C23" s="28" t="s">
        <v>1062</v>
      </c>
      <c r="D23" s="28" t="s">
        <v>1063</v>
      </c>
      <c r="E23" s="28" t="s">
        <v>1064</v>
      </c>
    </row>
    <row r="24" customFormat="false" ht="15.75" hidden="false" customHeight="true" outlineLevel="0" collapsed="false">
      <c r="B24" s="29" t="s">
        <v>1065</v>
      </c>
      <c r="C24" s="30" t="s">
        <v>803</v>
      </c>
      <c r="D24" s="30" t="s">
        <v>1066</v>
      </c>
      <c r="E24" s="30" t="s">
        <v>1067</v>
      </c>
    </row>
    <row r="25" customFormat="false" ht="7.5" hidden="false" customHeight="true" outlineLevel="0" collapsed="false"/>
    <row r="26" customFormat="false" ht="15.75" hidden="false" customHeight="true" outlineLevel="0" collapsed="false">
      <c r="B26" s="13" t="s">
        <v>1068</v>
      </c>
      <c r="C26" s="13"/>
      <c r="D26" s="13"/>
      <c r="E26" s="13"/>
      <c r="F26" s="13"/>
      <c r="G26" s="13"/>
      <c r="H26" s="13"/>
      <c r="I26" s="13"/>
      <c r="J26" s="13"/>
      <c r="K26" s="13"/>
    </row>
    <row r="27" customFormat="false" ht="19.5" hidden="false" customHeight="true" outlineLevel="0" collapsed="false">
      <c r="B27" s="33" t="s">
        <v>1069</v>
      </c>
      <c r="C27" s="33"/>
      <c r="D27" s="33"/>
      <c r="E27" s="33"/>
      <c r="F27" s="33"/>
      <c r="G27" s="33"/>
      <c r="H27" s="33"/>
      <c r="I27" s="33"/>
      <c r="J27" s="33"/>
    </row>
    <row r="28" customFormat="false" ht="19.5" hidden="false" customHeight="true" outlineLevel="0" collapsed="false">
      <c r="B28" s="34" t="s">
        <v>1070</v>
      </c>
      <c r="C28" s="34"/>
      <c r="D28" s="34"/>
      <c r="E28" s="34"/>
      <c r="F28" s="34"/>
      <c r="G28" s="34"/>
      <c r="H28" s="34"/>
      <c r="I28" s="34"/>
      <c r="J28" s="34"/>
    </row>
    <row r="29" customFormat="false" ht="19.5" hidden="false" customHeight="true" outlineLevel="0" collapsed="false">
      <c r="B29" s="35" t="s">
        <v>1071</v>
      </c>
      <c r="C29" s="35"/>
      <c r="D29" s="35"/>
      <c r="E29" s="35"/>
      <c r="F29" s="35"/>
      <c r="G29" s="35"/>
      <c r="H29" s="35"/>
      <c r="I29" s="35"/>
      <c r="J29" s="35"/>
    </row>
    <row r="30" customFormat="false" ht="19.5" hidden="false" customHeight="true" outlineLevel="0" collapsed="false">
      <c r="B30" s="34" t="s">
        <v>1072</v>
      </c>
      <c r="C30" s="34"/>
      <c r="D30" s="34"/>
      <c r="E30" s="34"/>
      <c r="F30" s="34"/>
      <c r="G30" s="34"/>
      <c r="H30" s="34"/>
      <c r="I30" s="34"/>
      <c r="J30" s="34"/>
    </row>
    <row r="31" customFormat="false" ht="19.5" hidden="false" customHeight="true" outlineLevel="0" collapsed="false">
      <c r="B31" s="35" t="s">
        <v>1073</v>
      </c>
      <c r="C31" s="35"/>
      <c r="D31" s="35"/>
      <c r="E31" s="35"/>
      <c r="F31" s="35"/>
      <c r="G31" s="35"/>
      <c r="H31" s="35"/>
      <c r="I31" s="35"/>
      <c r="J31" s="35"/>
    </row>
    <row r="32" customFormat="false" ht="19.5" hidden="false" customHeight="true" outlineLevel="0" collapsed="false">
      <c r="B32" s="34" t="s">
        <v>1074</v>
      </c>
      <c r="C32" s="34"/>
      <c r="D32" s="34"/>
      <c r="E32" s="34"/>
      <c r="F32" s="34"/>
      <c r="G32" s="34"/>
      <c r="H32" s="34"/>
      <c r="I32" s="34"/>
      <c r="J32" s="34"/>
    </row>
  </sheetData>
  <mergeCells count="11">
    <mergeCell ref="B1:K1"/>
    <mergeCell ref="B2:K2"/>
    <mergeCell ref="B4:K4"/>
    <mergeCell ref="B17:K17"/>
    <mergeCell ref="B26:K26"/>
    <mergeCell ref="B27:J27"/>
    <mergeCell ref="B28:J28"/>
    <mergeCell ref="B29:J29"/>
    <mergeCell ref="B30:J30"/>
    <mergeCell ref="B31:J31"/>
    <mergeCell ref="B32:J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342E"/>
    <pageSetUpPr fitToPage="false"/>
  </sheetPr>
  <dimension ref="B1:L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32"/>
    <col collapsed="false" customWidth="true" hidden="false" outlineLevel="0" max="3" min="3" style="1" width="11"/>
    <col collapsed="false" customWidth="true" hidden="false" outlineLevel="0" max="4" min="4" style="1" width="7"/>
    <col collapsed="false" customWidth="true" hidden="false" outlineLevel="0" max="5" min="5" style="1" width="6"/>
    <col collapsed="false" customWidth="true" hidden="false" outlineLevel="0" max="6" min="6" style="1" width="7"/>
    <col collapsed="false" customWidth="true" hidden="false" outlineLevel="0" max="7" min="7" style="1" width="44"/>
    <col collapsed="false" customWidth="true" hidden="false" outlineLevel="0" max="9" min="8" style="1" width="22"/>
    <col collapsed="false" customWidth="true" hidden="false" outlineLevel="0" max="10" min="10" style="1" width="9"/>
    <col collapsed="false" customWidth="true" hidden="false" outlineLevel="0" max="11" min="11" style="1" width="36"/>
  </cols>
  <sheetData>
    <row r="1" customFormat="false" ht="21.75" hidden="false" customHeight="true" outlineLevel="0" collapsed="false">
      <c r="B1" s="11" t="s">
        <v>1075</v>
      </c>
      <c r="C1" s="11"/>
      <c r="D1" s="11"/>
      <c r="E1" s="11"/>
      <c r="F1" s="11"/>
      <c r="G1" s="11"/>
      <c r="H1" s="11"/>
      <c r="I1" s="11"/>
      <c r="J1" s="11"/>
      <c r="K1" s="11"/>
      <c r="L1" s="11"/>
    </row>
    <row r="2" customFormat="false" ht="13.5" hidden="false" customHeight="true" outlineLevel="0" collapsed="false">
      <c r="B2" s="12" t="s">
        <v>1076</v>
      </c>
      <c r="C2" s="12"/>
      <c r="D2" s="12"/>
      <c r="E2" s="12"/>
      <c r="F2" s="12"/>
      <c r="G2" s="12"/>
      <c r="H2" s="12"/>
      <c r="I2" s="12"/>
      <c r="J2" s="12"/>
      <c r="K2" s="12"/>
      <c r="L2" s="12"/>
    </row>
    <row r="3" customFormat="false" ht="6" hidden="false" customHeight="true" outlineLevel="0" collapsed="false"/>
    <row r="4" customFormat="false" ht="15.75" hidden="false" customHeight="true" outlineLevel="0" collapsed="false">
      <c r="B4" s="13" t="s">
        <v>1077</v>
      </c>
      <c r="C4" s="13"/>
      <c r="D4" s="13"/>
      <c r="E4" s="13"/>
      <c r="F4" s="13"/>
      <c r="G4" s="13"/>
      <c r="H4" s="13"/>
      <c r="I4" s="13"/>
      <c r="J4" s="13"/>
      <c r="K4" s="13"/>
      <c r="L4" s="13"/>
    </row>
    <row r="5" customFormat="false" ht="15.75" hidden="false" customHeight="true" outlineLevel="0" collapsed="false">
      <c r="B5" s="17" t="s">
        <v>1</v>
      </c>
      <c r="C5" s="17" t="s">
        <v>748</v>
      </c>
      <c r="D5" s="17" t="s">
        <v>1078</v>
      </c>
      <c r="E5" s="17" t="s">
        <v>1079</v>
      </c>
      <c r="F5" s="17" t="s">
        <v>1080</v>
      </c>
    </row>
    <row r="6" customFormat="false" ht="12.75" hidden="false" customHeight="true" outlineLevel="0" collapsed="false">
      <c r="B6" s="21" t="s">
        <v>52</v>
      </c>
      <c r="C6" s="20" t="n">
        <f aca="false">COUNTIF('Coffee Audit'!B2:B2000,"*Singapore*")</f>
        <v>56</v>
      </c>
      <c r="D6" s="20" t="s">
        <v>1081</v>
      </c>
      <c r="E6" s="20" t="s">
        <v>1082</v>
      </c>
      <c r="F6" s="20" t="s">
        <v>1083</v>
      </c>
    </row>
    <row r="7" customFormat="false" ht="12.75" hidden="false" customHeight="true" outlineLevel="0" collapsed="false">
      <c r="B7" s="19" t="s">
        <v>24</v>
      </c>
      <c r="C7" s="18" t="n">
        <f aca="false">COUNTIF('Coffee Audit'!B2:B2000,"*Bali*")</f>
        <v>3</v>
      </c>
      <c r="D7" s="18" t="s">
        <v>803</v>
      </c>
      <c r="E7" s="18" t="s">
        <v>792</v>
      </c>
      <c r="F7" s="18" t="s">
        <v>1084</v>
      </c>
    </row>
    <row r="8" customFormat="false" ht="12.75" hidden="false" customHeight="true" outlineLevel="0" collapsed="false">
      <c r="B8" s="21" t="s">
        <v>69</v>
      </c>
      <c r="C8" s="20" t="n">
        <f aca="false">COUNTIF('Coffee Audit'!B2:B2000,"*Mumbai*")</f>
        <v>2</v>
      </c>
      <c r="D8" s="20" t="s">
        <v>1012</v>
      </c>
      <c r="E8" s="20" t="s">
        <v>777</v>
      </c>
      <c r="F8" s="20" t="s">
        <v>1085</v>
      </c>
    </row>
    <row r="9" customFormat="false" ht="12.75" hidden="false" customHeight="true" outlineLevel="0" collapsed="false">
      <c r="B9" s="19" t="s">
        <v>227</v>
      </c>
      <c r="C9" s="18" t="n">
        <f aca="false">COUNTIF('Coffee Audit'!B2:B2000,"*Johor*")</f>
        <v>1</v>
      </c>
      <c r="D9" s="18" t="s">
        <v>803</v>
      </c>
      <c r="E9" s="18" t="s">
        <v>777</v>
      </c>
      <c r="F9" s="18" t="s">
        <v>1086</v>
      </c>
    </row>
    <row r="10" customFormat="false" ht="7.5" hidden="false" customHeight="true" outlineLevel="0" collapsed="false"/>
    <row r="11" customFormat="false" ht="15.75" hidden="false" customHeight="true" outlineLevel="0" collapsed="false">
      <c r="B11" s="13" t="s">
        <v>1087</v>
      </c>
      <c r="C11" s="13"/>
      <c r="D11" s="13"/>
      <c r="E11" s="13"/>
      <c r="F11" s="13"/>
      <c r="G11" s="13"/>
      <c r="H11" s="13"/>
      <c r="I11" s="13"/>
      <c r="J11" s="13"/>
      <c r="K11" s="13"/>
      <c r="L11" s="13"/>
    </row>
    <row r="12" customFormat="false" ht="15.75" hidden="false" customHeight="true" outlineLevel="0" collapsed="false">
      <c r="B12" s="17" t="s">
        <v>704</v>
      </c>
      <c r="C12" s="17" t="s">
        <v>1</v>
      </c>
      <c r="D12" s="17" t="s">
        <v>748</v>
      </c>
      <c r="E12" s="17" t="s">
        <v>171</v>
      </c>
      <c r="F12" s="17" t="s">
        <v>1088</v>
      </c>
      <c r="G12" s="17" t="s">
        <v>1089</v>
      </c>
      <c r="H12" s="17" t="s">
        <v>1090</v>
      </c>
      <c r="I12" s="17" t="s">
        <v>1091</v>
      </c>
      <c r="J12" s="17" t="s">
        <v>1092</v>
      </c>
      <c r="K12" s="17" t="s">
        <v>1093</v>
      </c>
    </row>
    <row r="13" customFormat="false" ht="13.5" hidden="false" customHeight="true" outlineLevel="0" collapsed="false">
      <c r="B13" s="36" t="s">
        <v>251</v>
      </c>
      <c r="C13" s="37" t="s">
        <v>52</v>
      </c>
      <c r="D13" s="37" t="n">
        <f aca="false">COUNTIF('Coffee Audit'!C2:C2000,B13)</f>
        <v>6</v>
      </c>
      <c r="E13" s="37" t="n">
        <f aca="false">SUMPRODUCT(('Coffee Audit'!C2:C2000=B13)*('Coffee Audit'!W2:W2000="⭐ GESHA"))</f>
        <v>0</v>
      </c>
      <c r="F13" s="37" t="str">
        <f aca="false">IFERROR(TEXT(AVERAGEIFS('Coffee Audit'!Q2:Q2000,'Coffee Audit'!C2:C2000,B13,'Coffee Audit'!Q2:Q2000,"&gt;0"),"S$0.00"),"—")</f>
        <v>0$0.00</v>
      </c>
      <c r="G13" s="37" t="s">
        <v>1094</v>
      </c>
      <c r="H13" s="37" t="s">
        <v>1095</v>
      </c>
      <c r="I13" s="37" t="s">
        <v>1096</v>
      </c>
      <c r="J13" s="37" t="s">
        <v>1097</v>
      </c>
      <c r="K13" s="37" t="s">
        <v>1098</v>
      </c>
    </row>
    <row r="14" customFormat="false" ht="13.5" hidden="false" customHeight="true" outlineLevel="0" collapsed="false">
      <c r="B14" s="38" t="s">
        <v>322</v>
      </c>
      <c r="C14" s="39" t="s">
        <v>52</v>
      </c>
      <c r="D14" s="39" t="n">
        <f aca="false">COUNTIF('Coffee Audit'!C2:C2000,B14)</f>
        <v>3</v>
      </c>
      <c r="E14" s="39" t="n">
        <f aca="false">SUMPRODUCT(('Coffee Audit'!C2:C2000=B14)*('Coffee Audit'!W2:W2000="⭐ GESHA"))</f>
        <v>1</v>
      </c>
      <c r="F14" s="39" t="str">
        <f aca="false">IFERROR(TEXT(AVERAGEIFS('Coffee Audit'!Q2:Q2000,'Coffee Audit'!C2:C2000,B14,'Coffee Audit'!Q2:Q2000,"&gt;0"),"S$0.00"),"—")</f>
        <v>0$0.00</v>
      </c>
      <c r="G14" s="39" t="s">
        <v>1099</v>
      </c>
      <c r="H14" s="39" t="s">
        <v>1100</v>
      </c>
      <c r="I14" s="39" t="s">
        <v>722</v>
      </c>
      <c r="J14" s="39" t="s">
        <v>1097</v>
      </c>
      <c r="K14" s="39" t="s">
        <v>1101</v>
      </c>
    </row>
    <row r="15" customFormat="false" ht="13.5" hidden="false" customHeight="true" outlineLevel="0" collapsed="false">
      <c r="B15" s="36" t="s">
        <v>167</v>
      </c>
      <c r="C15" s="37" t="s">
        <v>52</v>
      </c>
      <c r="D15" s="37" t="n">
        <f aca="false">COUNTIF('Coffee Audit'!C2:C2000,B15)</f>
        <v>4</v>
      </c>
      <c r="E15" s="37" t="n">
        <f aca="false">SUMPRODUCT(('Coffee Audit'!C2:C2000=B15)*('Coffee Audit'!W2:W2000="⭐ GESHA"))</f>
        <v>2</v>
      </c>
      <c r="F15" s="37" t="str">
        <f aca="false">IFERROR(TEXT(AVERAGEIFS('Coffee Audit'!Q2:Q2000,'Coffee Audit'!C2:C2000,B15,'Coffee Audit'!Q2:Q2000,"&gt;0"),"S$0.00"),"—")</f>
        <v>0$0.00</v>
      </c>
      <c r="G15" s="37" t="s">
        <v>1102</v>
      </c>
      <c r="H15" s="37" t="s">
        <v>722</v>
      </c>
      <c r="I15" s="37" t="s">
        <v>722</v>
      </c>
      <c r="J15" s="37" t="s">
        <v>1097</v>
      </c>
      <c r="K15" s="37" t="s">
        <v>1103</v>
      </c>
    </row>
    <row r="16" customFormat="false" ht="13.5" hidden="false" customHeight="true" outlineLevel="0" collapsed="false">
      <c r="B16" s="38" t="s">
        <v>370</v>
      </c>
      <c r="C16" s="39" t="s">
        <v>52</v>
      </c>
      <c r="D16" s="39" t="n">
        <f aca="false">COUNTIF('Coffee Audit'!C2:C2000,B16)</f>
        <v>2</v>
      </c>
      <c r="E16" s="39" t="n">
        <f aca="false">SUMPRODUCT(('Coffee Audit'!C2:C2000=B16)*('Coffee Audit'!W2:W2000="⭐ GESHA"))</f>
        <v>0</v>
      </c>
      <c r="F16" s="39" t="str">
        <f aca="false">IFERROR(TEXT(AVERAGEIFS('Coffee Audit'!Q2:Q2000,'Coffee Audit'!C2:C2000,B16,'Coffee Audit'!Q2:Q2000,"&gt;0"),"S$0.00"),"—")</f>
        <v>0$0.00</v>
      </c>
      <c r="G16" s="39" t="s">
        <v>1104</v>
      </c>
      <c r="H16" s="39" t="s">
        <v>1105</v>
      </c>
      <c r="I16" s="39" t="s">
        <v>1106</v>
      </c>
      <c r="J16" s="39" t="s">
        <v>1097</v>
      </c>
      <c r="K16" s="39" t="s">
        <v>1107</v>
      </c>
    </row>
    <row r="17" customFormat="false" ht="13.5" hidden="false" customHeight="true" outlineLevel="0" collapsed="false">
      <c r="B17" s="36" t="s">
        <v>53</v>
      </c>
      <c r="C17" s="37" t="s">
        <v>52</v>
      </c>
      <c r="D17" s="37" t="n">
        <f aca="false">COUNTIF('Coffee Audit'!C2:C2000,B17)</f>
        <v>3</v>
      </c>
      <c r="E17" s="37" t="n">
        <f aca="false">SUMPRODUCT(('Coffee Audit'!C2:C2000=B17)*('Coffee Audit'!W2:W2000="⭐ GESHA"))</f>
        <v>0</v>
      </c>
      <c r="F17" s="37" t="str">
        <f aca="false">IFERROR(TEXT(AVERAGEIFS('Coffee Audit'!Q2:Q2000,'Coffee Audit'!C2:C2000,B17,'Coffee Audit'!Q2:Q2000,"&gt;0"),"S$0.00"),"—")</f>
        <v>0$0.00</v>
      </c>
      <c r="G17" s="37" t="s">
        <v>1108</v>
      </c>
      <c r="H17" s="37" t="s">
        <v>1109</v>
      </c>
      <c r="I17" s="37" t="s">
        <v>1110</v>
      </c>
      <c r="J17" s="37" t="s">
        <v>1097</v>
      </c>
      <c r="K17" s="37" t="s">
        <v>1111</v>
      </c>
    </row>
    <row r="18" customFormat="false" ht="13.5" hidden="false" customHeight="true" outlineLevel="0" collapsed="false">
      <c r="B18" s="38" t="s">
        <v>646</v>
      </c>
      <c r="C18" s="39" t="s">
        <v>52</v>
      </c>
      <c r="D18" s="39" t="n">
        <f aca="false">COUNTIF('Coffee Audit'!C2:C2000,B18)</f>
        <v>1</v>
      </c>
      <c r="E18" s="39" t="n">
        <f aca="false">SUMPRODUCT(('Coffee Audit'!C2:C2000=B18)*('Coffee Audit'!W2:W2000="⭐ GESHA"))</f>
        <v>1</v>
      </c>
      <c r="F18" s="39" t="str">
        <f aca="false">IFERROR(TEXT(AVERAGEIFS('Coffee Audit'!Q2:Q2000,'Coffee Audit'!C2:C2000,B18,'Coffee Audit'!Q2:Q2000,"&gt;0"),"S$0.00"),"—")</f>
        <v>0$0.00</v>
      </c>
      <c r="G18" s="39" t="s">
        <v>1112</v>
      </c>
      <c r="H18" s="39" t="s">
        <v>1113</v>
      </c>
      <c r="I18" s="39" t="s">
        <v>1114</v>
      </c>
      <c r="J18" s="39" t="s">
        <v>1097</v>
      </c>
      <c r="K18" s="39" t="s">
        <v>1115</v>
      </c>
    </row>
    <row r="19" customFormat="false" ht="13.5" hidden="false" customHeight="true" outlineLevel="0" collapsed="false">
      <c r="B19" s="40" t="s">
        <v>540</v>
      </c>
      <c r="C19" s="41" t="s">
        <v>52</v>
      </c>
      <c r="D19" s="41" t="n">
        <f aca="false">COUNTIF('Coffee Audit'!C2:C2000,B19)</f>
        <v>2</v>
      </c>
      <c r="E19" s="41" t="n">
        <f aca="false">SUMPRODUCT(('Coffee Audit'!C2:C2000=B19)*('Coffee Audit'!W2:W2000="⭐ GESHA"))</f>
        <v>0</v>
      </c>
      <c r="F19" s="41" t="str">
        <f aca="false">IFERROR(TEXT(AVERAGEIFS('Coffee Audit'!Q2:Q2000,'Coffee Audit'!C2:C2000,B19,'Coffee Audit'!Q2:Q2000,"&gt;0"),"S$0.00"),"—")</f>
        <v>0$0.00</v>
      </c>
      <c r="G19" s="41" t="s">
        <v>1116</v>
      </c>
      <c r="H19" s="41" t="s">
        <v>1117</v>
      </c>
      <c r="I19" s="41" t="s">
        <v>1118</v>
      </c>
      <c r="J19" s="41" t="s">
        <v>1119</v>
      </c>
      <c r="K19" s="41" t="s">
        <v>1120</v>
      </c>
    </row>
    <row r="20" customFormat="false" ht="13.5" hidden="false" customHeight="true" outlineLevel="0" collapsed="false">
      <c r="B20" s="38" t="s">
        <v>555</v>
      </c>
      <c r="C20" s="39" t="s">
        <v>52</v>
      </c>
      <c r="D20" s="39" t="n">
        <f aca="false">COUNTIF('Coffee Audit'!C2:C2000,B20)</f>
        <v>2</v>
      </c>
      <c r="E20" s="39" t="n">
        <f aca="false">SUMPRODUCT(('Coffee Audit'!C2:C2000=B20)*('Coffee Audit'!W2:W2000="⭐ GESHA"))</f>
        <v>1</v>
      </c>
      <c r="F20" s="39" t="str">
        <f aca="false">IFERROR(TEXT(AVERAGEIFS('Coffee Audit'!Q2:Q2000,'Coffee Audit'!C2:C2000,B20,'Coffee Audit'!Q2:Q2000,"&gt;0"),"S$0.00"),"—")</f>
        <v>0$0.00</v>
      </c>
      <c r="G20" s="39" t="s">
        <v>1121</v>
      </c>
      <c r="H20" s="39" t="s">
        <v>1122</v>
      </c>
      <c r="I20" s="39" t="s">
        <v>1123</v>
      </c>
      <c r="J20" s="39" t="s">
        <v>1097</v>
      </c>
      <c r="K20" s="39" t="s">
        <v>1124</v>
      </c>
    </row>
    <row r="21" customFormat="false" ht="13.5" hidden="false" customHeight="true" outlineLevel="0" collapsed="false">
      <c r="B21" s="36" t="s">
        <v>607</v>
      </c>
      <c r="C21" s="37" t="s">
        <v>52</v>
      </c>
      <c r="D21" s="37" t="n">
        <f aca="false">COUNTIF('Coffee Audit'!C2:C2000,B21)</f>
        <v>1</v>
      </c>
      <c r="E21" s="37" t="n">
        <f aca="false">SUMPRODUCT(('Coffee Audit'!C2:C2000=B21)*('Coffee Audit'!W2:W2000="⭐ GESHA"))</f>
        <v>1</v>
      </c>
      <c r="F21" s="37" t="str">
        <f aca="false">IFERROR(TEXT(AVERAGEIFS('Coffee Audit'!Q2:Q2000,'Coffee Audit'!C2:C2000,B21,'Coffee Audit'!Q2:Q2000,"&gt;0"),"S$0.00"),"—")</f>
        <v>0$0.00</v>
      </c>
      <c r="G21" s="37" t="s">
        <v>1125</v>
      </c>
      <c r="H21" s="37" t="s">
        <v>1126</v>
      </c>
      <c r="I21" s="37" t="s">
        <v>1127</v>
      </c>
      <c r="J21" s="37" t="s">
        <v>1097</v>
      </c>
      <c r="K21" s="37"/>
    </row>
    <row r="22" customFormat="false" ht="13.5" hidden="false" customHeight="true" outlineLevel="0" collapsed="false">
      <c r="B22" s="38" t="s">
        <v>622</v>
      </c>
      <c r="C22" s="39" t="s">
        <v>52</v>
      </c>
      <c r="D22" s="39" t="n">
        <f aca="false">COUNTIF('Coffee Audit'!C2:C2000,B22)</f>
        <v>1</v>
      </c>
      <c r="E22" s="39" t="n">
        <f aca="false">SUMPRODUCT(('Coffee Audit'!C2:C2000=B22)*('Coffee Audit'!W2:W2000="⭐ GESHA"))</f>
        <v>1</v>
      </c>
      <c r="F22" s="39" t="str">
        <f aca="false">IFERROR(TEXT(AVERAGEIFS('Coffee Audit'!Q2:Q2000,'Coffee Audit'!C2:C2000,B22,'Coffee Audit'!Q2:Q2000,"&gt;0"),"S$0.00"),"—")</f>
        <v>0$0.00</v>
      </c>
      <c r="G22" s="39" t="s">
        <v>1128</v>
      </c>
      <c r="H22" s="39" t="s">
        <v>722</v>
      </c>
      <c r="I22" s="39" t="s">
        <v>1129</v>
      </c>
      <c r="J22" s="39" t="s">
        <v>1097</v>
      </c>
      <c r="K22" s="39" t="s">
        <v>1130</v>
      </c>
    </row>
    <row r="23" customFormat="false" ht="13.5" hidden="false" customHeight="true" outlineLevel="0" collapsed="false">
      <c r="B23" s="36" t="s">
        <v>115</v>
      </c>
      <c r="C23" s="37" t="s">
        <v>52</v>
      </c>
      <c r="D23" s="37" t="n">
        <f aca="false">COUNTIF('Coffee Audit'!C2:C2000,B23)</f>
        <v>1</v>
      </c>
      <c r="E23" s="37" t="n">
        <f aca="false">SUMPRODUCT(('Coffee Audit'!C2:C2000=B23)*('Coffee Audit'!W2:W2000="⭐ GESHA"))</f>
        <v>0</v>
      </c>
      <c r="F23" s="37" t="str">
        <f aca="false">IFERROR(TEXT(AVERAGEIFS('Coffee Audit'!Q2:Q2000,'Coffee Audit'!C2:C2000,B23,'Coffee Audit'!Q2:Q2000,"&gt;0"),"S$0.00"),"—")</f>
        <v>—</v>
      </c>
      <c r="G23" s="37" t="s">
        <v>1131</v>
      </c>
      <c r="H23" s="37" t="s">
        <v>1132</v>
      </c>
      <c r="I23" s="37" t="s">
        <v>1133</v>
      </c>
      <c r="J23" s="37" t="s">
        <v>1097</v>
      </c>
      <c r="K23" s="37" t="s">
        <v>1134</v>
      </c>
    </row>
    <row r="24" customFormat="false" ht="13.5" hidden="false" customHeight="true" outlineLevel="0" collapsed="false">
      <c r="B24" s="38" t="s">
        <v>1135</v>
      </c>
      <c r="C24" s="39" t="s">
        <v>52</v>
      </c>
      <c r="D24" s="39" t="n">
        <f aca="false">COUNTIF('Coffee Audit'!C2:C2000,B24)</f>
        <v>0</v>
      </c>
      <c r="E24" s="39" t="n">
        <f aca="false">SUMPRODUCT(('Coffee Audit'!C2:C2000=B24)*('Coffee Audit'!W2:W2000="⭐ GESHA"))</f>
        <v>0</v>
      </c>
      <c r="F24" s="39" t="str">
        <f aca="false">IFERROR(TEXT(AVERAGEIFS('Coffee Audit'!Q2:Q2000,'Coffee Audit'!C2:C2000,B24,'Coffee Audit'!Q2:Q2000,"&gt;0"),"S$0.00"),"—")</f>
        <v>—</v>
      </c>
      <c r="G24" s="39" t="s">
        <v>1136</v>
      </c>
      <c r="H24" s="39" t="s">
        <v>1132</v>
      </c>
      <c r="I24" s="39" t="s">
        <v>1133</v>
      </c>
      <c r="J24" s="39" t="s">
        <v>1097</v>
      </c>
      <c r="K24" s="39" t="s">
        <v>1137</v>
      </c>
    </row>
    <row r="25" customFormat="false" ht="13.5" hidden="false" customHeight="true" outlineLevel="0" collapsed="false">
      <c r="B25" s="36" t="s">
        <v>727</v>
      </c>
      <c r="C25" s="37" t="s">
        <v>52</v>
      </c>
      <c r="D25" s="37" t="n">
        <f aca="false">COUNTIF('Coffee Audit'!C2:C2000,B25)</f>
        <v>2</v>
      </c>
      <c r="E25" s="37" t="n">
        <f aca="false">SUMPRODUCT(('Coffee Audit'!C2:C2000=B25)*('Coffee Audit'!W2:W2000="⭐ GESHA"))</f>
        <v>1</v>
      </c>
      <c r="F25" s="37" t="str">
        <f aca="false">IFERROR(TEXT(AVERAGEIFS('Coffee Audit'!Q2:Q2000,'Coffee Audit'!C2:C2000,B25,'Coffee Audit'!Q2:Q2000,"&gt;0"),"S$0.00"),"—")</f>
        <v>0$0.00</v>
      </c>
      <c r="G25" s="37" t="s">
        <v>1138</v>
      </c>
      <c r="H25" s="37" t="s">
        <v>1139</v>
      </c>
      <c r="I25" s="37" t="s">
        <v>1140</v>
      </c>
      <c r="J25" s="37" t="s">
        <v>1097</v>
      </c>
      <c r="K25" s="37" t="s">
        <v>1141</v>
      </c>
    </row>
    <row r="26" customFormat="false" ht="13.5" hidden="false" customHeight="true" outlineLevel="0" collapsed="false">
      <c r="B26" s="38" t="s">
        <v>179</v>
      </c>
      <c r="C26" s="39" t="s">
        <v>52</v>
      </c>
      <c r="D26" s="39" t="n">
        <f aca="false">COUNTIF('Coffee Audit'!C2:C2000,B26)</f>
        <v>2</v>
      </c>
      <c r="E26" s="39" t="n">
        <f aca="false">SUMPRODUCT(('Coffee Audit'!C2:C2000=B26)*('Coffee Audit'!W2:W2000="⭐ GESHA"))</f>
        <v>0</v>
      </c>
      <c r="F26" s="39" t="str">
        <f aca="false">IFERROR(TEXT(AVERAGEIFS('Coffee Audit'!Q2:Q2000,'Coffee Audit'!C2:C2000,B26,'Coffee Audit'!Q2:Q2000,"&gt;0"),"S$0.00"),"—")</f>
        <v>0$0.00</v>
      </c>
      <c r="G26" s="39" t="s">
        <v>1142</v>
      </c>
      <c r="H26" s="39" t="s">
        <v>722</v>
      </c>
      <c r="I26" s="39" t="s">
        <v>1143</v>
      </c>
      <c r="J26" s="39" t="s">
        <v>1097</v>
      </c>
      <c r="K26" s="39" t="s">
        <v>1144</v>
      </c>
    </row>
    <row r="27" customFormat="false" ht="13.5" hidden="false" customHeight="true" outlineLevel="0" collapsed="false">
      <c r="B27" s="36" t="s">
        <v>332</v>
      </c>
      <c r="C27" s="37" t="s">
        <v>52</v>
      </c>
      <c r="D27" s="37" t="n">
        <f aca="false">COUNTIF('Coffee Audit'!C2:C2000,B27)</f>
        <v>1</v>
      </c>
      <c r="E27" s="37" t="n">
        <f aca="false">SUMPRODUCT(('Coffee Audit'!C2:C2000=B27)*('Coffee Audit'!W2:W2000="⭐ GESHA"))</f>
        <v>1</v>
      </c>
      <c r="F27" s="37" t="str">
        <f aca="false">IFERROR(TEXT(AVERAGEIFS('Coffee Audit'!Q2:Q2000,'Coffee Audit'!C2:C2000,B27,'Coffee Audit'!Q2:Q2000,"&gt;0"),"S$0.00"),"—")</f>
        <v>0$0.00</v>
      </c>
      <c r="G27" s="37" t="s">
        <v>1145</v>
      </c>
      <c r="H27" s="37" t="s">
        <v>1146</v>
      </c>
      <c r="I27" s="37" t="s">
        <v>722</v>
      </c>
      <c r="J27" s="37" t="s">
        <v>1097</v>
      </c>
      <c r="K27" s="37" t="s">
        <v>1147</v>
      </c>
    </row>
    <row r="28" customFormat="false" ht="13.5" hidden="false" customHeight="true" outlineLevel="0" collapsed="false">
      <c r="B28" s="38" t="s">
        <v>104</v>
      </c>
      <c r="C28" s="39" t="s">
        <v>52</v>
      </c>
      <c r="D28" s="39" t="n">
        <f aca="false">COUNTIF('Coffee Audit'!C2:C2000,B28)</f>
        <v>2</v>
      </c>
      <c r="E28" s="39" t="n">
        <f aca="false">SUMPRODUCT(('Coffee Audit'!C2:C2000=B28)*('Coffee Audit'!W2:W2000="⭐ GESHA"))</f>
        <v>0</v>
      </c>
      <c r="F28" s="39" t="str">
        <f aca="false">IFERROR(TEXT(AVERAGEIFS('Coffee Audit'!Q2:Q2000,'Coffee Audit'!C2:C2000,B28,'Coffee Audit'!Q2:Q2000,"&gt;0"),"S$0.00"),"—")</f>
        <v>0$0.00</v>
      </c>
      <c r="G28" s="39" t="s">
        <v>1148</v>
      </c>
      <c r="H28" s="39" t="s">
        <v>1149</v>
      </c>
      <c r="I28" s="39" t="s">
        <v>722</v>
      </c>
      <c r="J28" s="39" t="s">
        <v>1097</v>
      </c>
      <c r="K28" s="39" t="s">
        <v>1150</v>
      </c>
    </row>
    <row r="29" customFormat="false" ht="13.5" hidden="false" customHeight="true" outlineLevel="0" collapsed="false">
      <c r="B29" s="36" t="s">
        <v>132</v>
      </c>
      <c r="C29" s="37" t="s">
        <v>52</v>
      </c>
      <c r="D29" s="37" t="n">
        <f aca="false">COUNTIF('Coffee Audit'!C2:C2000,B29)</f>
        <v>3</v>
      </c>
      <c r="E29" s="37" t="n">
        <f aca="false">SUMPRODUCT(('Coffee Audit'!C2:C2000=B29)*('Coffee Audit'!W2:W2000="⭐ GESHA"))</f>
        <v>0</v>
      </c>
      <c r="F29" s="37" t="str">
        <f aca="false">IFERROR(TEXT(AVERAGEIFS('Coffee Audit'!Q2:Q2000,'Coffee Audit'!C2:C2000,B29,'Coffee Audit'!Q2:Q2000,"&gt;0"),"S$0.00"),"—")</f>
        <v>—</v>
      </c>
      <c r="G29" s="37" t="s">
        <v>1151</v>
      </c>
      <c r="H29" s="37" t="s">
        <v>1152</v>
      </c>
      <c r="I29" s="37" t="s">
        <v>722</v>
      </c>
      <c r="J29" s="37" t="s">
        <v>1097</v>
      </c>
      <c r="K29" s="37" t="s">
        <v>1153</v>
      </c>
    </row>
    <row r="30" customFormat="false" ht="13.5" hidden="false" customHeight="true" outlineLevel="0" collapsed="false">
      <c r="B30" s="38" t="s">
        <v>1154</v>
      </c>
      <c r="C30" s="39" t="s">
        <v>52</v>
      </c>
      <c r="D30" s="39" t="n">
        <f aca="false">COUNTIF('Coffee Audit'!C2:C2000,B30)</f>
        <v>0</v>
      </c>
      <c r="E30" s="39" t="n">
        <f aca="false">SUMPRODUCT(('Coffee Audit'!C2:C2000=B30)*('Coffee Audit'!W2:W2000="⭐ GESHA"))</f>
        <v>0</v>
      </c>
      <c r="F30" s="39" t="str">
        <f aca="false">IFERROR(TEXT(AVERAGEIFS('Coffee Audit'!Q2:Q2000,'Coffee Audit'!C2:C2000,B30,'Coffee Audit'!Q2:Q2000,"&gt;0"),"S$0.00"),"—")</f>
        <v>—</v>
      </c>
      <c r="G30" s="39" t="s">
        <v>1155</v>
      </c>
      <c r="H30" s="39" t="s">
        <v>1156</v>
      </c>
      <c r="I30" s="39" t="s">
        <v>1157</v>
      </c>
      <c r="J30" s="39" t="s">
        <v>1097</v>
      </c>
      <c r="K30" s="39"/>
    </row>
    <row r="31" customFormat="false" ht="13.5" hidden="false" customHeight="true" outlineLevel="0" collapsed="false">
      <c r="B31" s="36" t="s">
        <v>577</v>
      </c>
      <c r="C31" s="37" t="s">
        <v>52</v>
      </c>
      <c r="D31" s="37" t="n">
        <f aca="false">COUNTIF('Coffee Audit'!C2:C2000,B31)</f>
        <v>1</v>
      </c>
      <c r="E31" s="37" t="n">
        <f aca="false">SUMPRODUCT(('Coffee Audit'!C2:C2000=B31)*('Coffee Audit'!W2:W2000="⭐ GESHA"))</f>
        <v>1</v>
      </c>
      <c r="F31" s="37" t="str">
        <f aca="false">IFERROR(TEXT(AVERAGEIFS('Coffee Audit'!Q2:Q2000,'Coffee Audit'!C2:C2000,B31,'Coffee Audit'!Q2:Q2000,"&gt;0"),"S$0.00"),"—")</f>
        <v>0$0.00</v>
      </c>
      <c r="G31" s="37" t="s">
        <v>1158</v>
      </c>
      <c r="H31" s="37" t="s">
        <v>1159</v>
      </c>
      <c r="I31" s="37" t="s">
        <v>1160</v>
      </c>
      <c r="J31" s="37" t="s">
        <v>1097</v>
      </c>
      <c r="K31" s="37" t="s">
        <v>1161</v>
      </c>
    </row>
    <row r="32" customFormat="false" ht="13.5" hidden="false" customHeight="true" outlineLevel="0" collapsed="false">
      <c r="B32" s="38" t="s">
        <v>278</v>
      </c>
      <c r="C32" s="39" t="s">
        <v>52</v>
      </c>
      <c r="D32" s="39" t="n">
        <f aca="false">COUNTIF('Coffee Audit'!C2:C2000,B32)</f>
        <v>2</v>
      </c>
      <c r="E32" s="39" t="n">
        <f aca="false">SUMPRODUCT(('Coffee Audit'!C2:C2000=B32)*('Coffee Audit'!W2:W2000="⭐ GESHA"))</f>
        <v>0</v>
      </c>
      <c r="F32" s="39" t="str">
        <f aca="false">IFERROR(TEXT(AVERAGEIFS('Coffee Audit'!Q2:Q2000,'Coffee Audit'!C2:C2000,B32,'Coffee Audit'!Q2:Q2000,"&gt;0"),"S$0.00"),"—")</f>
        <v>0$0.00</v>
      </c>
      <c r="G32" s="39" t="s">
        <v>1162</v>
      </c>
      <c r="H32" s="39" t="s">
        <v>1163</v>
      </c>
      <c r="I32" s="39" t="s">
        <v>1164</v>
      </c>
      <c r="J32" s="39" t="s">
        <v>1097</v>
      </c>
      <c r="K32" s="39" t="s">
        <v>1165</v>
      </c>
    </row>
    <row r="33" customFormat="false" ht="13.5" hidden="false" customHeight="true" outlineLevel="0" collapsed="false">
      <c r="B33" s="36" t="s">
        <v>1166</v>
      </c>
      <c r="C33" s="37" t="s">
        <v>52</v>
      </c>
      <c r="D33" s="37" t="n">
        <f aca="false">COUNTIF('Coffee Audit'!C2:C2000,B33)</f>
        <v>0</v>
      </c>
      <c r="E33" s="37" t="n">
        <f aca="false">SUMPRODUCT(('Coffee Audit'!C2:C2000=B33)*('Coffee Audit'!W2:W2000="⭐ GESHA"))</f>
        <v>0</v>
      </c>
      <c r="F33" s="37" t="str">
        <f aca="false">IFERROR(TEXT(AVERAGEIFS('Coffee Audit'!Q2:Q2000,'Coffee Audit'!C2:C2000,B33,'Coffee Audit'!Q2:Q2000,"&gt;0"),"S$0.00"),"—")</f>
        <v>—</v>
      </c>
      <c r="G33" s="37" t="s">
        <v>1167</v>
      </c>
      <c r="H33" s="37" t="s">
        <v>1163</v>
      </c>
      <c r="I33" s="37" t="s">
        <v>1164</v>
      </c>
      <c r="J33" s="37" t="s">
        <v>1097</v>
      </c>
      <c r="K33" s="37" t="s">
        <v>1168</v>
      </c>
    </row>
    <row r="34" customFormat="false" ht="13.5" hidden="false" customHeight="true" outlineLevel="0" collapsed="false">
      <c r="B34" s="38" t="s">
        <v>192</v>
      </c>
      <c r="C34" s="39" t="s">
        <v>52</v>
      </c>
      <c r="D34" s="39" t="n">
        <f aca="false">COUNTIF('Coffee Audit'!C2:C2000,B34)</f>
        <v>1</v>
      </c>
      <c r="E34" s="39" t="n">
        <f aca="false">SUMPRODUCT(('Coffee Audit'!C2:C2000=B34)*('Coffee Audit'!W2:W2000="⭐ GESHA"))</f>
        <v>1</v>
      </c>
      <c r="F34" s="39" t="str">
        <f aca="false">IFERROR(TEXT(AVERAGEIFS('Coffee Audit'!Q2:Q2000,'Coffee Audit'!C2:C2000,B34,'Coffee Audit'!Q2:Q2000,"&gt;0"),"S$0.00"),"—")</f>
        <v>0$0.00</v>
      </c>
      <c r="G34" s="39" t="s">
        <v>1169</v>
      </c>
      <c r="H34" s="39" t="s">
        <v>1170</v>
      </c>
      <c r="I34" s="39" t="s">
        <v>1171</v>
      </c>
      <c r="J34" s="39" t="s">
        <v>1097</v>
      </c>
      <c r="K34" s="39" t="s">
        <v>1172</v>
      </c>
    </row>
    <row r="35" customFormat="false" ht="13.5" hidden="false" customHeight="true" outlineLevel="0" collapsed="false">
      <c r="B35" s="36" t="s">
        <v>153</v>
      </c>
      <c r="C35" s="37" t="s">
        <v>52</v>
      </c>
      <c r="D35" s="37" t="n">
        <f aca="false">COUNTIF('Coffee Audit'!C2:C2000,B35)</f>
        <v>2</v>
      </c>
      <c r="E35" s="37" t="n">
        <f aca="false">SUMPRODUCT(('Coffee Audit'!C2:C2000=B35)*('Coffee Audit'!W2:W2000="⭐ GESHA"))</f>
        <v>0</v>
      </c>
      <c r="F35" s="37" t="str">
        <f aca="false">IFERROR(TEXT(AVERAGEIFS('Coffee Audit'!Q2:Q2000,'Coffee Audit'!C2:C2000,B35,'Coffee Audit'!Q2:Q2000,"&gt;0"),"S$0.00"),"—")</f>
        <v>0$0.00</v>
      </c>
      <c r="G35" s="37" t="s">
        <v>1173</v>
      </c>
      <c r="H35" s="37" t="s">
        <v>722</v>
      </c>
      <c r="I35" s="37" t="s">
        <v>1174</v>
      </c>
      <c r="J35" s="37" t="s">
        <v>1097</v>
      </c>
      <c r="K35" s="37" t="s">
        <v>1175</v>
      </c>
    </row>
    <row r="36" customFormat="false" ht="13.5" hidden="false" customHeight="true" outlineLevel="0" collapsed="false">
      <c r="B36" s="38" t="s">
        <v>289</v>
      </c>
      <c r="C36" s="39" t="s">
        <v>52</v>
      </c>
      <c r="D36" s="39" t="n">
        <f aca="false">COUNTIF('Coffee Audit'!C2:C2000,B36)</f>
        <v>2</v>
      </c>
      <c r="E36" s="39" t="n">
        <f aca="false">SUMPRODUCT(('Coffee Audit'!C2:C2000=B36)*('Coffee Audit'!W2:W2000="⭐ GESHA"))</f>
        <v>0</v>
      </c>
      <c r="F36" s="39" t="str">
        <f aca="false">IFERROR(TEXT(AVERAGEIFS('Coffee Audit'!Q2:Q2000,'Coffee Audit'!C2:C2000,B36,'Coffee Audit'!Q2:Q2000,"&gt;0"),"S$0.00"),"—")</f>
        <v>24$0.00</v>
      </c>
      <c r="G36" s="39" t="s">
        <v>1176</v>
      </c>
      <c r="H36" s="39" t="s">
        <v>1177</v>
      </c>
      <c r="I36" s="39" t="s">
        <v>1178</v>
      </c>
      <c r="J36" s="39" t="s">
        <v>1097</v>
      </c>
      <c r="K36" s="39" t="s">
        <v>1179</v>
      </c>
    </row>
    <row r="37" customFormat="false" ht="13.5" hidden="false" customHeight="true" outlineLevel="0" collapsed="false">
      <c r="B37" s="36" t="s">
        <v>416</v>
      </c>
      <c r="C37" s="37" t="s">
        <v>52</v>
      </c>
      <c r="D37" s="37" t="n">
        <f aca="false">COUNTIF('Coffee Audit'!C2:C2000,B37)</f>
        <v>1</v>
      </c>
      <c r="E37" s="37" t="n">
        <f aca="false">SUMPRODUCT(('Coffee Audit'!C2:C2000=B37)*('Coffee Audit'!W2:W2000="⭐ GESHA"))</f>
        <v>0</v>
      </c>
      <c r="F37" s="37" t="str">
        <f aca="false">IFERROR(TEXT(AVERAGEIFS('Coffee Audit'!Q2:Q2000,'Coffee Audit'!C2:C2000,B37,'Coffee Audit'!Q2:Q2000,"&gt;0"),"S$0.00"),"—")</f>
        <v>0$0.00</v>
      </c>
      <c r="G37" s="37" t="s">
        <v>1180</v>
      </c>
      <c r="H37" s="37" t="s">
        <v>1181</v>
      </c>
      <c r="I37" s="37" t="s">
        <v>722</v>
      </c>
      <c r="J37" s="37" t="s">
        <v>1097</v>
      </c>
      <c r="K37" s="37" t="s">
        <v>1182</v>
      </c>
    </row>
    <row r="38" customFormat="false" ht="13.5" hidden="false" customHeight="true" outlineLevel="0" collapsed="false">
      <c r="B38" s="38" t="s">
        <v>502</v>
      </c>
      <c r="C38" s="39" t="s">
        <v>52</v>
      </c>
      <c r="D38" s="39" t="n">
        <f aca="false">COUNTIF('Coffee Audit'!C2:C2000,B38)</f>
        <v>1</v>
      </c>
      <c r="E38" s="39" t="n">
        <f aca="false">SUMPRODUCT(('Coffee Audit'!C2:C2000=B38)*('Coffee Audit'!W2:W2000="⭐ GESHA"))</f>
        <v>0</v>
      </c>
      <c r="F38" s="39" t="str">
        <f aca="false">IFERROR(TEXT(AVERAGEIFS('Coffee Audit'!Q2:Q2000,'Coffee Audit'!C2:C2000,B38,'Coffee Audit'!Q2:Q2000,"&gt;0"),"S$0.00"),"—")</f>
        <v>0$0.00</v>
      </c>
      <c r="G38" s="39" t="s">
        <v>1183</v>
      </c>
      <c r="H38" s="39" t="s">
        <v>1184</v>
      </c>
      <c r="I38" s="39" t="s">
        <v>722</v>
      </c>
      <c r="J38" s="39" t="s">
        <v>1097</v>
      </c>
      <c r="K38" s="39" t="s">
        <v>1185</v>
      </c>
    </row>
    <row r="39" customFormat="false" ht="13.5" hidden="false" customHeight="true" outlineLevel="0" collapsed="false">
      <c r="B39" s="36" t="s">
        <v>456</v>
      </c>
      <c r="C39" s="37" t="s">
        <v>52</v>
      </c>
      <c r="D39" s="37" t="n">
        <f aca="false">COUNTIF('Coffee Audit'!C2:C2000,B39)</f>
        <v>1</v>
      </c>
      <c r="E39" s="37" t="n">
        <f aca="false">SUMPRODUCT(('Coffee Audit'!C2:C2000=B39)*('Coffee Audit'!W2:W2000="⭐ GESHA"))</f>
        <v>0</v>
      </c>
      <c r="F39" s="37" t="str">
        <f aca="false">IFERROR(TEXT(AVERAGEIFS('Coffee Audit'!Q2:Q2000,'Coffee Audit'!C2:C2000,B39,'Coffee Audit'!Q2:Q2000,"&gt;0"),"S$0.00"),"—")</f>
        <v>0$0.00</v>
      </c>
      <c r="G39" s="37" t="s">
        <v>1186</v>
      </c>
      <c r="H39" s="37" t="s">
        <v>722</v>
      </c>
      <c r="I39" s="37" t="s">
        <v>722</v>
      </c>
      <c r="J39" s="37" t="s">
        <v>1097</v>
      </c>
      <c r="K39" s="37" t="s">
        <v>1187</v>
      </c>
    </row>
    <row r="40" customFormat="false" ht="13.5" hidden="false" customHeight="true" outlineLevel="0" collapsed="false">
      <c r="B40" s="42" t="s">
        <v>302</v>
      </c>
      <c r="C40" s="43" t="s">
        <v>52</v>
      </c>
      <c r="D40" s="43" t="n">
        <f aca="false">COUNTIF('Coffee Audit'!C2:C2000,B40)</f>
        <v>1</v>
      </c>
      <c r="E40" s="43" t="n">
        <f aca="false">SUMPRODUCT(('Coffee Audit'!C2:C2000=B40)*('Coffee Audit'!W2:W2000="⭐ GESHA"))</f>
        <v>0</v>
      </c>
      <c r="F40" s="43" t="str">
        <f aca="false">IFERROR(TEXT(AVERAGEIFS('Coffee Audit'!Q2:Q2000,'Coffee Audit'!C2:C2000,B40,'Coffee Audit'!Q2:Q2000,"&gt;0"),"S$0.00"),"—")</f>
        <v>0$0.00</v>
      </c>
      <c r="G40" s="43" t="s">
        <v>1188</v>
      </c>
      <c r="H40" s="43" t="s">
        <v>722</v>
      </c>
      <c r="I40" s="43" t="s">
        <v>722</v>
      </c>
      <c r="J40" s="43" t="s">
        <v>1189</v>
      </c>
      <c r="K40" s="43" t="s">
        <v>1190</v>
      </c>
    </row>
    <row r="41" customFormat="false" ht="13.5" hidden="false" customHeight="true" outlineLevel="0" collapsed="false">
      <c r="B41" s="42" t="s">
        <v>88</v>
      </c>
      <c r="C41" s="43" t="s">
        <v>52</v>
      </c>
      <c r="D41" s="43" t="n">
        <f aca="false">COUNTIF('Coffee Audit'!C2:C2000,B41)</f>
        <v>2</v>
      </c>
      <c r="E41" s="43" t="n">
        <f aca="false">SUMPRODUCT(('Coffee Audit'!C2:C2000=B41)*('Coffee Audit'!W2:W2000="⭐ GESHA"))</f>
        <v>0</v>
      </c>
      <c r="F41" s="43" t="str">
        <f aca="false">IFERROR(TEXT(AVERAGEIFS('Coffee Audit'!Q2:Q2000,'Coffee Audit'!C2:C2000,B41,'Coffee Audit'!Q2:Q2000,"&gt;0"),"S$0.00"),"—")</f>
        <v>—</v>
      </c>
      <c r="G41" s="43" t="s">
        <v>1191</v>
      </c>
      <c r="H41" s="43" t="s">
        <v>722</v>
      </c>
      <c r="I41" s="43" t="s">
        <v>722</v>
      </c>
      <c r="J41" s="43" t="s">
        <v>1189</v>
      </c>
      <c r="K41" s="43" t="s">
        <v>1192</v>
      </c>
    </row>
    <row r="42" customFormat="false" ht="13.5" hidden="false" customHeight="true" outlineLevel="0" collapsed="false">
      <c r="B42" s="36" t="s">
        <v>25</v>
      </c>
      <c r="C42" s="37" t="s">
        <v>24</v>
      </c>
      <c r="D42" s="37" t="n">
        <f aca="false">COUNTIF('Coffee Audit'!C2:C2000,B42)</f>
        <v>3</v>
      </c>
      <c r="E42" s="37" t="n">
        <f aca="false">SUMPRODUCT(('Coffee Audit'!C2:C2000=B42)*('Coffee Audit'!W2:W2000="⭐ GESHA"))</f>
        <v>0</v>
      </c>
      <c r="F42" s="37" t="str">
        <f aca="false">IFERROR(TEXT(AVERAGEIFS('Coffee Audit'!Q2:Q2000,'Coffee Audit'!C2:C2000,B42,'Coffee Audit'!Q2:Q2000,"&gt;0"),"S$0.00"),"—")</f>
        <v>—</v>
      </c>
      <c r="G42" s="37" t="s">
        <v>1193</v>
      </c>
      <c r="H42" s="37" t="s">
        <v>1194</v>
      </c>
      <c r="I42" s="37" t="s">
        <v>1195</v>
      </c>
      <c r="J42" s="37" t="s">
        <v>1196</v>
      </c>
      <c r="K42" s="37" t="s">
        <v>1197</v>
      </c>
    </row>
    <row r="43" customFormat="false" ht="13.5" hidden="false" customHeight="true" outlineLevel="0" collapsed="false">
      <c r="B43" s="36" t="s">
        <v>70</v>
      </c>
      <c r="C43" s="37" t="s">
        <v>69</v>
      </c>
      <c r="D43" s="37" t="n">
        <f aca="false">COUNTIF('Coffee Audit'!C2:C2000,B43)</f>
        <v>1</v>
      </c>
      <c r="E43" s="37" t="n">
        <f aca="false">SUMPRODUCT(('Coffee Audit'!C2:C2000=B43)*('Coffee Audit'!W2:W2000="⭐ GESHA"))</f>
        <v>0</v>
      </c>
      <c r="F43" s="37" t="str">
        <f aca="false">IFERROR(TEXT(AVERAGEIFS('Coffee Audit'!Q2:Q2000,'Coffee Audit'!C2:C2000,B43,'Coffee Audit'!Q2:Q2000,"&gt;0"),"S$0.00"),"—")</f>
        <v>—</v>
      </c>
      <c r="G43" s="37" t="s">
        <v>1198</v>
      </c>
      <c r="H43" s="37" t="s">
        <v>1199</v>
      </c>
      <c r="I43" s="37" t="s">
        <v>1200</v>
      </c>
      <c r="J43" s="37" t="s">
        <v>1196</v>
      </c>
      <c r="K43" s="37" t="s">
        <v>1201</v>
      </c>
    </row>
    <row r="44" customFormat="false" ht="13.5" hidden="false" customHeight="true" outlineLevel="0" collapsed="false">
      <c r="B44" s="36" t="s">
        <v>80</v>
      </c>
      <c r="C44" s="37" t="s">
        <v>69</v>
      </c>
      <c r="D44" s="37" t="n">
        <f aca="false">COUNTIF('Coffee Audit'!C2:C2000,B44)</f>
        <v>1</v>
      </c>
      <c r="E44" s="37" t="n">
        <f aca="false">SUMPRODUCT(('Coffee Audit'!C2:C2000=B44)*('Coffee Audit'!W2:W2000="⭐ GESHA"))</f>
        <v>0</v>
      </c>
      <c r="F44" s="37" t="str">
        <f aca="false">IFERROR(TEXT(AVERAGEIFS('Coffee Audit'!Q2:Q2000,'Coffee Audit'!C2:C2000,B44,'Coffee Audit'!Q2:Q2000,"&gt;0"),"S$0.00"),"—")</f>
        <v>—</v>
      </c>
      <c r="G44" s="37" t="s">
        <v>1202</v>
      </c>
      <c r="H44" s="37" t="s">
        <v>1203</v>
      </c>
      <c r="I44" s="37" t="s">
        <v>722</v>
      </c>
      <c r="J44" s="37" t="s">
        <v>1196</v>
      </c>
      <c r="K44" s="37" t="s">
        <v>1201</v>
      </c>
    </row>
    <row r="45" customFormat="false" ht="13.5" hidden="false" customHeight="true" outlineLevel="0" collapsed="false">
      <c r="B45" s="40" t="s">
        <v>228</v>
      </c>
      <c r="C45" s="41" t="s">
        <v>227</v>
      </c>
      <c r="D45" s="41" t="n">
        <f aca="false">COUNTIF('Coffee Audit'!C2:C2000,B45)</f>
        <v>1</v>
      </c>
      <c r="E45" s="41" t="n">
        <f aca="false">SUMPRODUCT(('Coffee Audit'!C2:C2000=B45)*('Coffee Audit'!W2:W2000="⭐ GESHA"))</f>
        <v>0</v>
      </c>
      <c r="F45" s="41" t="str">
        <f aca="false">IFERROR(TEXT(AVERAGEIFS('Coffee Audit'!Q2:Q2000,'Coffee Audit'!C2:C2000,B45,'Coffee Audit'!Q2:Q2000,"&gt;0"),"S$0.00"),"—")</f>
        <v>12$0.00</v>
      </c>
      <c r="G45" s="41" t="s">
        <v>1204</v>
      </c>
      <c r="H45" s="41" t="s">
        <v>722</v>
      </c>
      <c r="I45" s="41" t="s">
        <v>722</v>
      </c>
      <c r="J45" s="41" t="s">
        <v>1119</v>
      </c>
      <c r="K45" s="41" t="s">
        <v>1205</v>
      </c>
    </row>
    <row r="46" customFormat="false" ht="7.5" hidden="false" customHeight="true" outlineLevel="0" collapsed="false"/>
    <row r="47" customFormat="false" ht="15.75" hidden="false" customHeight="true" outlineLevel="0" collapsed="false">
      <c r="B47" s="13" t="s">
        <v>1206</v>
      </c>
      <c r="C47" s="13"/>
      <c r="D47" s="13"/>
      <c r="E47" s="13"/>
      <c r="F47" s="13"/>
      <c r="G47" s="13"/>
      <c r="H47" s="13"/>
      <c r="I47" s="13"/>
      <c r="J47" s="13"/>
      <c r="K47" s="13"/>
      <c r="L47" s="13"/>
    </row>
    <row r="48" customFormat="false" ht="15.75" hidden="false" customHeight="true" outlineLevel="0" collapsed="false">
      <c r="B48" s="17" t="s">
        <v>1207</v>
      </c>
      <c r="C48" s="17" t="s">
        <v>1208</v>
      </c>
      <c r="D48" s="17" t="s">
        <v>1209</v>
      </c>
    </row>
    <row r="49" customFormat="false" ht="12.75" hidden="false" customHeight="true" outlineLevel="0" collapsed="false">
      <c r="B49" s="27" t="s">
        <v>1119</v>
      </c>
      <c r="C49" s="28" t="s">
        <v>1210</v>
      </c>
      <c r="D49" s="28" t="s">
        <v>1211</v>
      </c>
    </row>
    <row r="50" customFormat="false" ht="12.75" hidden="false" customHeight="true" outlineLevel="0" collapsed="false">
      <c r="B50" s="21" t="s">
        <v>1097</v>
      </c>
      <c r="C50" s="20" t="s">
        <v>1212</v>
      </c>
      <c r="D50" s="20" t="s">
        <v>1213</v>
      </c>
    </row>
    <row r="51" customFormat="false" ht="12.75" hidden="false" customHeight="true" outlineLevel="0" collapsed="false">
      <c r="B51" s="19" t="s">
        <v>1196</v>
      </c>
      <c r="C51" s="18" t="s">
        <v>1214</v>
      </c>
      <c r="D51" s="18" t="s">
        <v>1215</v>
      </c>
    </row>
    <row r="52" customFormat="false" ht="12.75" hidden="false" customHeight="true" outlineLevel="0" collapsed="false">
      <c r="B52" s="31" t="s">
        <v>1189</v>
      </c>
      <c r="C52" s="32" t="s">
        <v>1216</v>
      </c>
      <c r="D52" s="32" t="s">
        <v>1217</v>
      </c>
    </row>
  </sheetData>
  <mergeCells count="5">
    <mergeCell ref="B1:L1"/>
    <mergeCell ref="B2:L2"/>
    <mergeCell ref="B4:L4"/>
    <mergeCell ref="B11:L11"/>
    <mergeCell ref="B47:L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6E7A"/>
    <pageSetUpPr fitToPage="false"/>
  </sheetPr>
  <dimension ref="B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5"/>
    <col collapsed="false" customWidth="true" hidden="false" outlineLevel="0" max="3" min="3" style="1" width="65"/>
  </cols>
  <sheetData>
    <row r="1" customFormat="false" ht="21.75" hidden="false" customHeight="true" outlineLevel="0" collapsed="false">
      <c r="B1" s="11" t="s">
        <v>1218</v>
      </c>
      <c r="C1" s="11"/>
      <c r="D1" s="11"/>
      <c r="E1" s="11"/>
      <c r="F1" s="11"/>
      <c r="G1" s="11"/>
      <c r="H1" s="11"/>
      <c r="I1" s="11"/>
      <c r="J1" s="11"/>
    </row>
    <row r="2" customFormat="false" ht="13.5" hidden="false" customHeight="true" outlineLevel="0" collapsed="false">
      <c r="B2" s="12" t="s">
        <v>1219</v>
      </c>
      <c r="C2" s="12"/>
      <c r="D2" s="12"/>
      <c r="E2" s="12"/>
      <c r="F2" s="12"/>
      <c r="G2" s="12"/>
      <c r="H2" s="12"/>
      <c r="I2" s="12"/>
      <c r="J2" s="12"/>
    </row>
    <row r="3" customFormat="false" ht="6" hidden="false" customHeight="true" outlineLevel="0" collapsed="false"/>
    <row r="4" customFormat="false" ht="15.75" hidden="false" customHeight="true" outlineLevel="0" collapsed="false">
      <c r="B4" s="13" t="s">
        <v>1220</v>
      </c>
      <c r="C4" s="13"/>
      <c r="D4" s="13"/>
      <c r="E4" s="13"/>
      <c r="F4" s="13"/>
      <c r="G4" s="13"/>
      <c r="H4" s="13"/>
      <c r="I4" s="13"/>
      <c r="J4" s="13"/>
    </row>
    <row r="5" customFormat="false" ht="15.75" hidden="false" customHeight="true" outlineLevel="0" collapsed="false">
      <c r="B5" s="17" t="s">
        <v>1221</v>
      </c>
      <c r="C5" s="17" t="s">
        <v>1208</v>
      </c>
    </row>
    <row r="6" customFormat="false" ht="12.75" hidden="false" customHeight="true" outlineLevel="0" collapsed="false">
      <c r="B6" s="44"/>
      <c r="C6" s="45" t="s">
        <v>1222</v>
      </c>
    </row>
    <row r="7" customFormat="false" ht="12.75" hidden="false" customHeight="true" outlineLevel="0" collapsed="false">
      <c r="B7" s="46"/>
      <c r="C7" s="45" t="s">
        <v>1223</v>
      </c>
    </row>
    <row r="8" customFormat="false" ht="12.75" hidden="false" customHeight="true" outlineLevel="0" collapsed="false">
      <c r="B8" s="47"/>
      <c r="C8" s="45" t="s">
        <v>1224</v>
      </c>
    </row>
    <row r="9" customFormat="false" ht="12.75" hidden="false" customHeight="true" outlineLevel="0" collapsed="false">
      <c r="B9" s="48"/>
      <c r="C9" s="45" t="s">
        <v>1225</v>
      </c>
    </row>
    <row r="10" customFormat="false" ht="7.5" hidden="false" customHeight="true" outlineLevel="0" collapsed="false"/>
    <row r="11" customFormat="false" ht="15.75" hidden="false" customHeight="true" outlineLevel="0" collapsed="false">
      <c r="B11" s="13" t="s">
        <v>1226</v>
      </c>
      <c r="C11" s="13"/>
      <c r="D11" s="13"/>
      <c r="E11" s="13"/>
      <c r="F11" s="13"/>
      <c r="G11" s="13"/>
      <c r="H11" s="13"/>
      <c r="I11" s="13"/>
      <c r="J11" s="13"/>
    </row>
    <row r="12" customFormat="false" ht="19.5" hidden="false" customHeight="true" outlineLevel="0" collapsed="false">
      <c r="B12" s="34" t="s">
        <v>1227</v>
      </c>
      <c r="C12" s="34"/>
      <c r="D12" s="34"/>
      <c r="E12" s="34"/>
      <c r="F12" s="34"/>
      <c r="G12" s="34"/>
      <c r="H12" s="34"/>
      <c r="I12" s="34"/>
    </row>
    <row r="13" customFormat="false" ht="19.5" hidden="false" customHeight="true" outlineLevel="0" collapsed="false">
      <c r="B13" s="35" t="s">
        <v>1228</v>
      </c>
      <c r="C13" s="35"/>
      <c r="D13" s="35"/>
      <c r="E13" s="35"/>
      <c r="F13" s="35"/>
      <c r="G13" s="35"/>
      <c r="H13" s="35"/>
      <c r="I13" s="35"/>
    </row>
    <row r="14" customFormat="false" ht="19.5" hidden="false" customHeight="true" outlineLevel="0" collapsed="false">
      <c r="B14" s="34" t="s">
        <v>1229</v>
      </c>
      <c r="C14" s="34"/>
      <c r="D14" s="34"/>
      <c r="E14" s="34"/>
      <c r="F14" s="34"/>
      <c r="G14" s="34"/>
      <c r="H14" s="34"/>
      <c r="I14" s="34"/>
    </row>
    <row r="15" customFormat="false" ht="19.5" hidden="false" customHeight="true" outlineLevel="0" collapsed="false">
      <c r="B15" s="35" t="s">
        <v>1230</v>
      </c>
      <c r="C15" s="35"/>
      <c r="D15" s="35"/>
      <c r="E15" s="35"/>
      <c r="F15" s="35"/>
      <c r="G15" s="35"/>
      <c r="H15" s="35"/>
      <c r="I15" s="35"/>
    </row>
    <row r="16" customFormat="false" ht="19.5" hidden="false" customHeight="true" outlineLevel="0" collapsed="false">
      <c r="B16" s="34" t="s">
        <v>1231</v>
      </c>
      <c r="C16" s="34"/>
      <c r="D16" s="34"/>
      <c r="E16" s="34"/>
      <c r="F16" s="34"/>
      <c r="G16" s="34"/>
      <c r="H16" s="34"/>
      <c r="I16" s="34"/>
    </row>
    <row r="17" customFormat="false" ht="19.5" hidden="false" customHeight="true" outlineLevel="0" collapsed="false">
      <c r="B17" s="35" t="s">
        <v>1232</v>
      </c>
      <c r="C17" s="35"/>
      <c r="D17" s="35"/>
      <c r="E17" s="35"/>
      <c r="F17" s="35"/>
      <c r="G17" s="35"/>
      <c r="H17" s="35"/>
      <c r="I17" s="35"/>
    </row>
    <row r="18" customFormat="false" ht="19.5" hidden="false" customHeight="true" outlineLevel="0" collapsed="false">
      <c r="B18" s="34" t="s">
        <v>1233</v>
      </c>
      <c r="C18" s="34"/>
      <c r="D18" s="34"/>
      <c r="E18" s="34"/>
      <c r="F18" s="34"/>
      <c r="G18" s="34"/>
      <c r="H18" s="34"/>
      <c r="I18" s="34"/>
    </row>
    <row r="19" customFormat="false" ht="7.5" hidden="false" customHeight="true" outlineLevel="0" collapsed="false"/>
    <row r="20" customFormat="false" ht="15.75" hidden="false" customHeight="true" outlineLevel="0" collapsed="false">
      <c r="B20" s="13" t="s">
        <v>1234</v>
      </c>
      <c r="C20" s="13"/>
      <c r="D20" s="13"/>
      <c r="E20" s="13"/>
      <c r="F20" s="13"/>
      <c r="G20" s="13"/>
      <c r="H20" s="13"/>
      <c r="I20" s="13"/>
      <c r="J20" s="13"/>
    </row>
    <row r="21" customFormat="false" ht="18" hidden="false" customHeight="true" outlineLevel="0" collapsed="false">
      <c r="B21" s="49" t="s">
        <v>1235</v>
      </c>
      <c r="C21" s="49"/>
      <c r="D21" s="49"/>
      <c r="E21" s="49"/>
      <c r="F21" s="49"/>
      <c r="G21" s="49"/>
      <c r="H21" s="49"/>
      <c r="I21" s="49"/>
    </row>
    <row r="22" customFormat="false" ht="18" hidden="false" customHeight="true" outlineLevel="0" collapsed="false">
      <c r="B22" s="50" t="s">
        <v>1236</v>
      </c>
      <c r="C22" s="50"/>
      <c r="D22" s="50"/>
      <c r="E22" s="50"/>
      <c r="F22" s="50"/>
      <c r="G22" s="50"/>
      <c r="H22" s="50"/>
      <c r="I22" s="50"/>
    </row>
    <row r="23" customFormat="false" ht="18" hidden="false" customHeight="true" outlineLevel="0" collapsed="false">
      <c r="B23" s="49" t="s">
        <v>1237</v>
      </c>
      <c r="C23" s="49"/>
      <c r="D23" s="49"/>
      <c r="E23" s="49"/>
      <c r="F23" s="49"/>
      <c r="G23" s="49"/>
      <c r="H23" s="49"/>
      <c r="I23" s="49"/>
    </row>
    <row r="24" customFormat="false" ht="18" hidden="false" customHeight="true" outlineLevel="0" collapsed="false">
      <c r="B24" s="50" t="s">
        <v>1238</v>
      </c>
      <c r="C24" s="50"/>
      <c r="D24" s="50"/>
      <c r="E24" s="50"/>
      <c r="F24" s="50"/>
      <c r="G24" s="50"/>
      <c r="H24" s="50"/>
      <c r="I24" s="50"/>
    </row>
    <row r="25" customFormat="false" ht="18" hidden="false" customHeight="true" outlineLevel="0" collapsed="false">
      <c r="B25" s="49" t="s">
        <v>1239</v>
      </c>
      <c r="C25" s="49"/>
      <c r="D25" s="49"/>
      <c r="E25" s="49"/>
      <c r="F25" s="49"/>
      <c r="G25" s="49"/>
      <c r="H25" s="49"/>
      <c r="I25" s="49"/>
    </row>
    <row r="26" customFormat="false" ht="18" hidden="false" customHeight="true" outlineLevel="0" collapsed="false">
      <c r="B26" s="50" t="s">
        <v>1240</v>
      </c>
      <c r="C26" s="50"/>
      <c r="D26" s="50"/>
      <c r="E26" s="50"/>
      <c r="F26" s="50"/>
      <c r="G26" s="50"/>
      <c r="H26" s="50"/>
      <c r="I26" s="50"/>
    </row>
    <row r="27" customFormat="false" ht="18" hidden="false" customHeight="true" outlineLevel="0" collapsed="false">
      <c r="B27" s="49" t="s">
        <v>1241</v>
      </c>
      <c r="C27" s="49"/>
      <c r="D27" s="49"/>
      <c r="E27" s="49"/>
      <c r="F27" s="49"/>
      <c r="G27" s="49"/>
      <c r="H27" s="49"/>
      <c r="I27" s="49"/>
    </row>
    <row r="28" customFormat="false" ht="18" hidden="false" customHeight="true" outlineLevel="0" collapsed="false">
      <c r="B28" s="50" t="s">
        <v>1242</v>
      </c>
      <c r="C28" s="50"/>
      <c r="D28" s="50"/>
      <c r="E28" s="50"/>
      <c r="F28" s="50"/>
      <c r="G28" s="50"/>
      <c r="H28" s="50"/>
      <c r="I28" s="50"/>
    </row>
    <row r="29" customFormat="false" ht="18" hidden="false" customHeight="true" outlineLevel="0" collapsed="false">
      <c r="B29" s="49" t="s">
        <v>1243</v>
      </c>
      <c r="C29" s="49"/>
      <c r="D29" s="49"/>
      <c r="E29" s="49"/>
      <c r="F29" s="49"/>
      <c r="G29" s="49"/>
      <c r="H29" s="49"/>
      <c r="I29" s="49"/>
    </row>
  </sheetData>
  <mergeCells count="21">
    <mergeCell ref="B1:J1"/>
    <mergeCell ref="B2:J2"/>
    <mergeCell ref="B4:J4"/>
    <mergeCell ref="B11:J11"/>
    <mergeCell ref="B12:I12"/>
    <mergeCell ref="B13:I13"/>
    <mergeCell ref="B14:I14"/>
    <mergeCell ref="B15:I15"/>
    <mergeCell ref="B16:I16"/>
    <mergeCell ref="B17:I17"/>
    <mergeCell ref="B18:I18"/>
    <mergeCell ref="B20:J20"/>
    <mergeCell ref="B21:I21"/>
    <mergeCell ref="B22:I22"/>
    <mergeCell ref="B23:I23"/>
    <mergeCell ref="B24:I24"/>
    <mergeCell ref="B25:I25"/>
    <mergeCell ref="B26:I26"/>
    <mergeCell ref="B27:I27"/>
    <mergeCell ref="B28:I28"/>
    <mergeCell ref="B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9E9E"/>
    <pageSetUpPr fitToPage="false"/>
  </sheetPr>
  <dimension ref="A2: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6"/>
  </cols>
  <sheetData>
    <row r="2" customFormat="false" ht="15" hidden="false" customHeight="true" outlineLevel="0" collapsed="false">
      <c r="A2" s="51" t="s">
        <v>1244</v>
      </c>
    </row>
    <row r="3" customFormat="false" ht="15" hidden="false" customHeight="true" outlineLevel="0" collapsed="false">
      <c r="A3" s="51" t="s">
        <v>1245</v>
      </c>
      <c r="B3" s="52" t="n">
        <f aca="false">COUNTA('Coffee Audit'!A2:A2000)</f>
        <v>62</v>
      </c>
    </row>
    <row r="4" customFormat="false" ht="15" hidden="false" customHeight="true" outlineLevel="0" collapsed="false">
      <c r="A4" s="51" t="s">
        <v>1246</v>
      </c>
      <c r="B4" s="52" t="n">
        <v>15</v>
      </c>
    </row>
    <row r="5" customFormat="false" ht="15" hidden="false" customHeight="true" outlineLevel="0" collapsed="false">
      <c r="A5" s="51" t="s">
        <v>1247</v>
      </c>
      <c r="B5" s="52" t="n">
        <v>8</v>
      </c>
    </row>
    <row r="6" customFormat="false" ht="15" hidden="false" customHeight="true" outlineLevel="0" collapsed="false">
      <c r="A6" s="51" t="s">
        <v>1248</v>
      </c>
      <c r="B6" s="52" t="n">
        <v>5</v>
      </c>
    </row>
    <row r="7" customFormat="false" ht="15" hidden="false" customHeight="true" outlineLevel="0" collapsed="false">
      <c r="A7" s="51" t="s">
        <v>1249</v>
      </c>
      <c r="B7" s="52" t="n">
        <f aca="false">SUMPRODUCT(('Coffee Audit'!B2:B2000&lt;&gt;"")/COUNTIF('Coffee Audit'!B2:B2000,'Coffee Audit'!B2:B2000&amp;""))</f>
        <v>4</v>
      </c>
    </row>
    <row r="8" customFormat="false" ht="15" hidden="false" customHeight="true" outlineLevel="0" collapsed="false">
      <c r="A8" s="51" t="s">
        <v>1250</v>
      </c>
      <c r="B8" s="52" t="n">
        <f aca="false">SUMPRODUCT(('Coffee Audit'!C2:C2000&lt;&gt;"")/COUNTIF('Coffee Audit'!C2:C2000,'Coffee Audit'!C2:C2000&amp;""))</f>
        <v>34</v>
      </c>
    </row>
    <row r="9" customFormat="false" ht="15" hidden="false" customHeight="true" outlineLevel="0" collapsed="false">
      <c r="A9" s="51" t="s">
        <v>1251</v>
      </c>
      <c r="B9" s="52" t="str">
        <f aca="false">TEXT(MIN('Coffee Audit'!A2:A2000),"YYYY-MM-DD")&amp;"  →  "&amp;TEXT(MAX('Coffee Audit'!A2:A2000),"YYYY-MM-DD")</f>
        <v>2026-01-03  →  2026-07-11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2026-07-11T00:12:35Z</dcterms:created>
  <dc:creator>openpyxl</dc:creator>
  <dc:description/>
  <dc:language>en-US</dc:language>
  <cp:lastModifiedBy/>
  <dcterms:modified xsi:type="dcterms:W3CDTF">2026-07-11T10:05:06Z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