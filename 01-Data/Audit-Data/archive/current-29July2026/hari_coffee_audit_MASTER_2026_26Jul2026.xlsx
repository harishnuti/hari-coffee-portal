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<sst xmlns="http://schemas.openxmlformats.org/spreadsheetml/2006/main" count="2453" uniqueCount="1367">
  <si>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</si>
  <si>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</si>
  <si>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</si>
  <si>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</si>
  <si>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</si>
  <si>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</si>
  <si>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</si>
  <si>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</si>
  <si>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</si>
  <si>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</si>
  <si>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</si>
  <si>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</si>
  <si>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</si>
  <si>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</si>
  <si>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</si>
  <si>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</si>
  <si>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</si>
  <si>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</si>
  <si>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</si>
  <si>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</si>
  <si>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</si>
  <si>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</si>
  <si>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</si>
  <si>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</si>
  <si>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</si>
  <si>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</si>
  <si>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</si>
  <si>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</si>
  <si>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</si>
  <si>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</si>
  <si>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</si>
  <si>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</si>
  <si>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</si>
  <si>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</si>
  <si>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</si>
  <si>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</si>
  <si>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</si>
  <si>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</si>
  <si>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</si>
  <si>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</si>
  <si>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</si>
  <si>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</si>
  <si>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</si>
  <si>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</si>
  <si>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</si>
  <si>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</si>
  <si>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</si>
  <si>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</si>
  <si>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</si>
  <si>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</si>
  <si>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</si>
  <si>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</si>
  <si>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</si>
  <si>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</si>
  <si>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</si>
  <si>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</si>
  <si>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</si>
  <si>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</si>
  <si>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</si>
  <si>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</si>
  <si>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</si>
  <si>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</si>
  <si>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</si>
  <si>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</si>
  <si>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</si>
  <si>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</si>
  <si>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</si>
  <si>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</si>
  <si>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</si>
  <si>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</si>
  <si>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</si>
  <si>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</si>
  <si>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</si>
  <si>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</si>
  <si>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</si>
  <si>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</si>
  <si>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</si>
  <si>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</si>
  <si>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</si>
  <si>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</si>
  <si>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</si>
  <si>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</si>
  <si>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</si>
  <si>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</si>
  <si>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</si>
  <si>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</si>
  <si>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</si>
  <si>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</si>
  <si>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</si>
  <si>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</si>
  <si>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</si>
  <si>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</si>
  <si>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</si>
  <si>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</si>
  <si>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</si>
  <si>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</si>
  <si>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</si>
  <si>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</si>
  <si>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</si>
  <si>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</si>
  <si>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</si>
  <si>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</si>
  <si>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</si>
  <si>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</si>
  <si>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</si>
  <si>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</si>
  <si>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</si>
  <si>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</si>
  <si>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</si>
  <si>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</si>
  <si>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</si>
  <si>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</si>
  <si>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</si>
  <si>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</si>
  <si>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</si>
  <si>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</si>
  <si>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</si>
  <si>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</si>
  <si>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</si>
  <si>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</si>
  <si>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</si>
  <si>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</si>
  <si>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</si>
  <si>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</si>
  <si>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</si>
  <si>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</si>
  <si>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</si>
  <si>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</si>
  <si>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</si>
  <si>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</si>
  <si>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</si>
  <si>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</si>
  <si>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</si>
  <si>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</si>
  <si>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</si>
  <si>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</si>
  <si>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</si>
  <si>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</si>
  <si>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</si>
  <si>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</si>
  <si>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</si>
  <si>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</si>
  <si>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</si>
  <si>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</si>
  <si>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</si>
  <si>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</si>
  <si>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</si>
  <si>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</si>
  <si>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</si>
  <si>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</si>
  <si>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</si>
  <si>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</si>
  <si>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</si>
  <si>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</si>
  <si>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</si>
  <si>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</si>
  <si>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</si>
  <si>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</si>
  <si>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</si>
  <si>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</si>
  <si>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</si>
  <si>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</si>
  <si>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</si>
  <si>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</si>
  <si>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</si>
  <si>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</si>
  <si>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</si>
  <si>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</si>
  <si>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</si>
  <si>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</si>
  <si>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</si>
  <si>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</si>
  <si>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</si>
  <si>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</si>
  <si>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</si>
  <si>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</si>
  <si>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</si>
  <si>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</si>
  <si>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</si>
  <si>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</si>
  <si>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</si>
  <si>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</si>
  <si>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</si>
  <si>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</si>
  <si>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</si>
  <si>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</si>
  <si>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</si>
  <si>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</si>
  <si>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</si>
  <si>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</si>
  <si>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</si>
  <si>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</si>
  <si>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</si>
  <si>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</si>
  <si>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</si>
  <si>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</si>
  <si>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</si>
  <si>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</si>
  <si>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</si>
  <si>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</si>
  <si>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</si>
  <si>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</si>
  <si>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</si>
  <si>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</si>
  <si>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</si>
  <si>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</si>
  <si>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</si>
  <si>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</si>
  <si>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</si>
  <si>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</si>
  <si>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</si>
  <si>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</si>
  <si>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</si>
  <si>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</si>
  <si>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</si>
  <si>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</si>
  <si>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</si>
  <si>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</si>
  <si>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</si>
  <si>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</si>
  <si>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</si>
  <si>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</si>
  <si>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</si>
  <si>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</si>
  <si>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</si>
  <si>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</si>
  <si>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</si>
  <si>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</si>
  <si>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</si>
  <si>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</si>
  <si>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</si>
  <si>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</si>
  <si>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</si>
  <si>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</si>
  <si>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</si>
  <si>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</si>
  <si>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</si>
  <si>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</si>
  <si>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</si>
  <si>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</si>
  <si>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</si>
  <si>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</si>
  <si>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</si>
  <si>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</si>
  <si>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</si>
  <si>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</si>
  <si>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</si>
  <si>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</si>
  <si>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</si>
  <si>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</si>
  <si>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</si>
  <si>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</si>
  <si>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</si>
  <si>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</si>
  <si>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</si>
  <si>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</si>
  <si>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</si>
  <si>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</si>
  <si>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</si>
  <si>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</si>
  <si>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</si>
  <si>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</si>
  <si>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</si>
  <si>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</si>
  <si>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</si>
  <si>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</si>
  <si>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</si>
  <si>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</si>
  <si>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</si>
  <si>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</si>
  <si>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</si>
  <si>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</si>
  <si>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</si>
  <si>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</si>
  <si>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</si>
  <si>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</si>
  <si>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</si>
  <si>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</si>
  <si>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</si>
  <si>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</si>
  <si>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</si>
  <si>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</si>
  <si>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</si>
  <si>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</si>
  <si>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</si>
  <si>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</si>
  <si>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</si>
  <si>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</si>
  <si>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</si>
  <si>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</si>
  <si>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</si>
  <si>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</si>
  <si>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</si>
  <si>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</si>
  <si>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</si>
  <si>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</si>
  <si>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</si>
  <si>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</si>
  <si>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</si>
  <si>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</si>
  <si>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</si>
  <si>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</si>
  <si>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</si>
  <si>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</si>
  <si>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</si>
  <si>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</si>
  <si>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</si>
  <si>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</si>
  <si>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</si>
  <si>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</si>
  <si>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</si>
  <si>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</si>
  <si>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</si>
  <si>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</si>
  <si>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</si>
  <si>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</si>
  <si>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</si>
  <si>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</si>
  <si>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</si>
  <si>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</si>
  <si>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</si>
  <si>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</si>
  <si>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</si>
  <si>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</si>
  <si>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</si>
  <si>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</si>
  <si>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</si>
  <si>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</si>
  <si>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</si>
  <si>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</si>
  <si>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</si>
  <si>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</si>
  <si>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</si>
  <si>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</si>
  <si>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</si>
  <si>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</si>
  <si>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</si>
  <si>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</si>
  <si>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</si>
  <si>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</si>
  <si>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</si>
  <si>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</si>
  <si>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</si>
  <si>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</si>
  <si>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</si>
  <si>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</si>
  <si>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</si>
  <si>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</si>
  <si>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</si>
  <si>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</si>
  <si>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</si>
  <si>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</si>
  <si>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</si>
  <si>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</si>
  <si>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</si>
  <si>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</si>
  <si>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</si>
  <si>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</si>
  <si>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</si>
  <si>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</si>
  <si>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</si>
  <si>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</si>
  <si>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</si>
  <si>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</si>
  <si>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</si>
  <si>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</si>
  <si>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</si>
  <si>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</si>
  <si>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</si>
  <si>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</si>
  <si>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</si>
  <si>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</si>
  <si>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</si>
  <si>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</si>
  <si>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</si>
  <si>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</si>
  <si>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</si>
  <si>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</si>
  <si>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</si>
  <si>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</si>
  <si>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</si>
  <si>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</si>
  <si>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</si>
  <si>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</si>
  <si>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</si>
  <si>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</si>
  <si>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</si>
  <si>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</si>
  <si>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</si>
  <si>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</si>
  <si>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</si>
  <si>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</si>
  <si>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</si>
  <si>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</si>
  <si>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</si>
  <si>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</si>
  <si>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</si>
  <si>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</si>
  <si>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</si>
  <si>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</si>
  <si>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</si>
  <si>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</si>
  <si>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</si>
  <si>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</si>
  <si>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</si>
  <si>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</si>
  <si>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</si>
  <si>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</si>
  <si>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</si>
  <si>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</si>
  <si>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</si>
  <si>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</si>
  <si>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</si>
  <si>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</si>
  <si>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</si>
  <si>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</si>
  <si>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</si>
  <si>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</si>
  <si>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</si>
  <si>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</si>
  <si>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</si>
  <si>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</si>
  <si>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</si>
  <si>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</si>
  <si>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</si>
  <si>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</si>
  <si>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</si>
  <si>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</si>
  <si>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</si>
  <si>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</si>
  <si>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</si>
  <si>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</si>
  <si>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</si>
  <si>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</si>
  <si>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</si>
  <si>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</si>
  <si>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</si>
  <si>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</si>
  <si>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</si>
  <si>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</si>
  <si>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</si>
  <si>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</si>
  <si>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</si>
  <si>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</si>
  <si>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</si>
  <si>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</si>
  <si>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</si>
  <si>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</si>
  <si>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</si>
  <si>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</si>
  <si>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</si>
  <si>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</si>
  <si>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</si>
  <si>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</si>
  <si>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</si>
  <si>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</si>
  <si>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</si>
  <si>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</si>
  <si>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</si>
  <si>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</si>
  <si>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</si>
  <si>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</si>
  <si>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</si>
  <si>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</si>
  <si>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</si>
  <si>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</si>
  <si>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</si>
  <si>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</si>
  <si>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</si>
  <si>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</si>
  <si>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</si>
  <si>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</si>
  <si>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</si>
  <si>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</si>
  <si>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</si>
  <si>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</si>
  <si>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</si>
  <si>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</si>
  <si>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</si>
  <si>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</si>
  <si>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</si>
  <si>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</si>
  <si>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</si>
  <si>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</si>
  <si>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</si>
  <si>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</si>
  <si>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</si>
  <si>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</si>
  <si>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</si>
  <si>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</si>
  <si>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</si>
  <si>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</si>
  <si>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</si>
  <si>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</si>
  <si>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</si>
  <si>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</si>
  <si>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</si>
  <si>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</si>
  <si>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</si>
  <si>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</si>
  <si>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</si>
  <si>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</si>
  <si>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</si>
  <si>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</si>
  <si>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</si>
  <si>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</si>
  <si>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</si>
  <si>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</si>
  <si>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</si>
  <si>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</si>
  <si>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</si>
  <si>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</si>
  <si>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</si>
  <si>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</si>
  <si>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</si>
  <si>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</si>
  <si>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</si>
  <si>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</si>
  <si>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</si>
  <si>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</si>
  <si>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</si>
  <si>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</si>
  <si>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</si>
  <si>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</si>
  <si>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</si>
  <si>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</si>
  <si>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</si>
  <si>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</si>
  <si>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</si>
  <si>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</si>
  <si>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</si>
  <si>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</si>
  <si>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</si>
  <si>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</si>
  <si>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</si>
  <si>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</si>
  <si>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</si>
  <si>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</si>
  <si>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</si>
  <si>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</si>
  <si>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</si>
  <si>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</si>
  <si>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</si>
  <si>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</si>
  <si>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</si>
  <si>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</si>
  <si>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</si>
  <si>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</si>
  <si>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</si>
  <si>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</si>
  <si>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</si>
  <si>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</si>
  <si>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</si>
  <si>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</si>
  <si>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</si>
  <si>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</si>
  <si>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</si>
  <si>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</si>
  <si>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</si>
  <si>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</si>
  <si>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</si>
  <si>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</si>
  <si>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</si>
  <si>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</si>
  <si>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</si>
  <si>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</si>
  <si>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</si>
  <si>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</si>
  <si>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</si>
  <si>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</si>
  <si>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</si>
  <si>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</si>
  <si>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</si>
  <si>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</si>
  <si>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</si>
  <si>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</si>
  <si>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</si>
  <si>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</si>
  <si>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</si>
  <si>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</si>
  <si>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</si>
  <si>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</si>
  <si>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</si>
  <si>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</si>
  <si>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</si>
  <si>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</si>
  <si>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</si>
  <si>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</si>
  <si>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</si>
  <si>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</si>
  <si>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</si>
  <si>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</si>
  <si>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</si>
  <si>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</si>
  <si>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</si>
  <si>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</si>
  <si>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</si>
  <si>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</si>
  <si>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</si>
  <si>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</si>
  <si>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</si>
  <si>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</si>
  <si>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</si>
  <si>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</si>
  <si>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</si>
  <si>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</si>
  <si>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</si>
  <si>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</si>
  <si>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</si>
  <si>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</si>
  <si>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</si>
  <si>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</si>
  <si>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</si>
  <si>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</si>
  <si>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</si>
  <si>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</si>
  <si>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</si>
  <si>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</si>
  <si>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</si>
  <si>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</si>
  <si>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</si>
  <si>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</si>
  <si>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</si>
  <si>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</si>
  <si>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</si>
  <si>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</si>
  <si>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</si>
  <si>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</si>
  <si>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</si>
  <si>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</si>
  <si>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</si>
  <si>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</si>
  <si>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</si>
  <si>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</si>
  <si>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</si>
  <si>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</si>
  <si>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</si>
  <si>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</si>
  <si>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</si>
  <si>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</si>
  <si>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</si>
  <si>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</si>
  <si>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</si>
  <si>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</si>
  <si>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</si>
  <si>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</si>
  <si>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</si>
  <si>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</si>
  <si>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</si>
  <si>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</si>
  <si>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</si>
  <si>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</si>
  <si>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</si>
  <si>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</si>
  <si>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</si>
  <si>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</si>
  <si>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</si>
  <si>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</si>
  <si>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</si>
  <si>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</si>
  <si>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</si>
  <si>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</si>
  <si>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</si>
  <si>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</si>
  <si>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</si>
  <si>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</si>
  <si>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</si>
  <si>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</si>
  <si>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</si>
  <si>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</si>
  <si>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</si>
  <si>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</si>
  <si>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</si>
  <si>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</si>
  <si>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</si>
  <si>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</si>
  <si>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</si>
  <si>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</si>
  <si>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</si>
  <si>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</si>
  <si>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2026-07-12</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</si>
  <si>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</si>
  <si>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</si>
  <si>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</si>
  <si>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</si>
  <si>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</si>
  <si>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</si>
  <si>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</si>
  <si>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</si>
  <si>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</si>
  <si>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</si>
  <si>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</si>
  <si>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</si>
  <si>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</si>
  <si>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</si>
  <si>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</si>
  <si>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</si>
  <si>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</si>
  <si>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</si>
  <si>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</si>
  <si>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</si>
  <si>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</si>
  <si>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</si>
  <si>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</si>
  <si>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</si>
  <si>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</si>
  <si>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</si>
  <si>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</si>
  <si>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</si>
  <si>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</si>
  <si>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</si>
  <si>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</si>
  <si>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</si>
  <si>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</si>
  <si>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</si>
  <si>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</si>
  <si>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</si>
  <si>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</si>
  <si>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</si>
  <si>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</si>
  <si>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</si>
  <si>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</si>
  <si>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</si>
  <si>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</si>
  <si>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</si>
  <si>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</si>
  <si>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</si>
  <si>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</si>
  <si>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</si>
  <si>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</si>
  <si>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</si>
  <si>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</si>
  <si>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</si>
  <si>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</si>
  <si>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</si>
  <si>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</si>
  <si>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</si>
  <si>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</si>
  <si>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</si>
  <si>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</si>
  <si>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</si>
  <si>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</si>
  <si>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</si>
  <si>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</si>
  <si>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</si>
  <si>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</si>
  <si>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</si>
  <si>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</si>
  <si>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</si>
  <si>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</si>
  <si>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</si>
  <si>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</si>
  <si>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</si>
  <si>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</si>
  <si>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</si>
  <si>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</si>
  <si>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</si>
  <si>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</si>
  <si>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</si>
  <si>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</si>
  <si>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</si>
  <si>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</si>
  <si>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</si>
  <si>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</si>
  <si>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</si>
  <si>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</si>
  <si>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</si>
  <si>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</si>
  <si>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</si>
  <si>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</si>
  <si>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</si>
  <si>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</si>
  <si>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</si>
  <si>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</si>
  <si>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</si>
  <si>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</si>
  <si>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</si>
  <si>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</si>
  <si>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</si>
  <si>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</si>
  <si>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</si>
  <si>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</si>
  <si>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</si>
  <si>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</si>
  <si>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</si>
  <si>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24% of archive</t>
  </si>
  <si>
    <t xml:space="preserve">unique varieties logged</t>
  </si>
  <si>
    <t xml:space="preserve">SGD per cup</t>
  </si>
  <si>
    <t xml:space="preserve">archive opened</t>
  </si>
  <si>
    <t xml:space="preserve">most recent audit</t>
  </si>
  <si>
    <t xml:space="preserve">  ⭐  GESHA / GEISHA HALL OF FAME  —  The Apex Varietal  ·  All 17 archive cups, ranked by price</t>
  </si>
  <si>
    <t xml:space="preserve">  🏆  TOP CAFÉS BY VISITS  —  70 entries · 37 venues · 4 cities</t>
  </si>
  <si>
    <t xml:space="preserve">#</t>
  </si>
  <si>
    <t xml:space="preserve">Café</t>
  </si>
  <si>
    <t xml:space="preserve">Price</t>
  </si>
  <si>
    <t xml:space="preserve">Visits</t>
  </si>
  <si>
    <t xml:space="preserve">Avg SGD</t>
  </si>
  <si>
    <t xml:space="preserve">Note</t>
  </si>
  <si>
    <t xml:space="preserve">S$60.00</t>
  </si>
  <si>
    <t xml:space="preserve">S$8.00</t>
  </si>
  <si>
    <t xml:space="preserve">⭐ Reliability anchor</t>
  </si>
  <si>
    <t xml:space="preserve">S$21.00</t>
  </si>
  <si>
    <t xml:space="preserve">S$12.50</t>
  </si>
  <si>
    <t xml:space="preserve">2 Gesha entries</t>
  </si>
  <si>
    <t xml:space="preserve">Colombia · Valle</t>
  </si>
  <si>
    <t xml:space="preserve">S$19.00</t>
  </si>
  <si>
    <t xml:space="preserve">S$11.33</t>
  </si>
  <si>
    <t xml:space="preserve">🏆 2025 Brewers Cup champion</t>
  </si>
  <si>
    <t xml:space="preserve">Ecuador · Loja</t>
  </si>
  <si>
    <t xml:space="preserve">S$18.00</t>
  </si>
  <si>
    <t xml:space="preserve">S$26.67</t>
  </si>
  <si>
    <t xml:space="preserve">🏆 Cup of the Year · 2 Gesha</t>
  </si>
  <si>
    <t xml:space="preserve">Panama · Boquete</t>
  </si>
  <si>
    <t xml:space="preserve">S$16.00</t>
  </si>
  <si>
    <t xml:space="preserve">—</t>
  </si>
  <si>
    <t xml:space="preserve">Archive origin chapter</t>
  </si>
  <si>
    <t xml:space="preserve">Panama · Bambito</t>
  </si>
  <si>
    <t xml:space="preserve">S$8.67</t>
  </si>
  <si>
    <t xml:space="preserve">Two outlets</t>
  </si>
  <si>
    <t xml:space="preserve">S$15.00</t>
  </si>
  <si>
    <t xml:space="preserve">V60 over-extraction flag</t>
  </si>
  <si>
    <t xml:space="preserve">Colombia · Huila</t>
  </si>
  <si>
    <t xml:space="preserve">S$10.50</t>
  </si>
  <si>
    <t xml:space="preserve">Barista Aqil — joint #2</t>
  </si>
  <si>
    <t xml:space="preserve">S$14.00</t>
  </si>
  <si>
    <t xml:space="preserve">S$9.50</t>
  </si>
  <si>
    <t xml:space="preserve">MacTaggart Rd · sit-down format</t>
  </si>
  <si>
    <t xml:space="preserve">S$13.00</t>
  </si>
  <si>
    <t xml:space="preserve">1 Gesha entry</t>
  </si>
  <si>
    <t xml:space="preserve">Peru · Jaén</t>
  </si>
  <si>
    <t xml:space="preserve">Panama · Boquerón</t>
  </si>
  <si>
    <t xml:space="preserve">S$12.00</t>
  </si>
  <si>
    <t xml:space="preserve">Peru · Cajamarca</t>
  </si>
  <si>
    <t xml:space="preserve">S$11.00</t>
  </si>
  <si>
    <t xml:space="preserve">Thailand · Chiang Rai</t>
  </si>
  <si>
    <t xml:space="preserve">S$10.00</t>
  </si>
  <si>
    <t xml:space="preserve">S$9.90</t>
  </si>
  <si>
    <t xml:space="preserve">24% of 70 cups are Gesha/Geisha — the archive's apex varietal. Avg Gesha S$16.85 vs non-Gesha S$9.59 (+76% premium). Origins: Colombia ×7 · Peru ×4 · Panama ×4 · Ecuador ×1 · Thailand ×1. Colombia Gesha Process Trilogy ✅ complete: Washed (Fluid · Equate Coffee · Abseil) · Honey (KerYi · Pinhole) · Natural (Homeground · Cowpresso). Peak: Finca Sophia Torcaza Washed Geisha, S$60, Pour.traits — archive price record and current Cup of the Year.</t>
  </si>
  <si>
    <t xml:space="preserve">  🍯  PALATE PROCESS FINGERPRINT  —  44% washed dominance signals Clarity &gt; Complexity</t>
  </si>
  <si>
    <t xml:space="preserve">  🌍  ORIGIN INTELLIGENCE  —  21 origins · Colombia leads at 27%</t>
  </si>
  <si>
    <t xml:space="preserve">Cups</t>
  </si>
  <si>
    <t xml:space="preserve">% Archive</t>
  </si>
  <si>
    <t xml:space="preserve">Palate Signal</t>
  </si>
  <si>
    <t xml:space="preserve">Affinity</t>
  </si>
  <si>
    <t xml:space="preserve">Entries</t>
  </si>
  <si>
    <t xml:space="preserve">Gesha?</t>
  </si>
  <si>
    <t xml:space="preserve">Palate fit</t>
  </si>
  <si>
    <t xml:space="preserve">44%</t>
  </si>
  <si>
    <t xml:space="preserve">Malic acid clarity · jasmine lift · clean finish</t>
  </si>
  <si>
    <t xml:space="preserve">★★★★★</t>
  </si>
  <si>
    <t xml:space="preserve">27%</t>
  </si>
  <si>
    <t xml:space="preserve">⭐ ×7</t>
  </si>
  <si>
    <t xml:space="preserve">HIGHEST — malic clarity + Gesha depth</t>
  </si>
  <si>
    <t xml:space="preserve">24%</t>
  </si>
  <si>
    <t xml:space="preserve">Stone fruit · berry complexity · terroir expression</t>
  </si>
  <si>
    <t xml:space="preserve">★★★★</t>
  </si>
  <si>
    <t xml:space="preserve">11%</t>
  </si>
  <si>
    <t xml:space="preserve">HIGH — linalool florals · heirloom terroir</t>
  </si>
  <si>
    <t xml:space="preserve">10%</t>
  </si>
  <si>
    <t xml:space="preserve">Controlled funk · ester complexity · tropical edge</t>
  </si>
  <si>
    <t xml:space="preserve">★★★</t>
  </si>
  <si>
    <t xml:space="preserve">7%</t>
  </si>
  <si>
    <t xml:space="preserve">MED — body + sweetness baseline</t>
  </si>
  <si>
    <t xml:space="preserve">Mucilage sweetness bridge · ketone fruit layer</t>
  </si>
  <si>
    <t xml:space="preserve">⭐ ×4</t>
  </si>
  <si>
    <t xml:space="preserve">HIGH — washed Gesha clarity</t>
  </si>
  <si>
    <t xml:space="preserve">Experimental Ferment</t>
  </si>
  <si>
    <t xml:space="preserve">6%</t>
  </si>
  <si>
    <t xml:space="preserve">Edge cases: yeast, mosto, co-ferment</t>
  </si>
  <si>
    <t xml:space="preserve">★★ Exploratory</t>
  </si>
  <si>
    <t xml:space="preserve">HIGHEST — Gesha heartland</t>
  </si>
  <si>
    <t xml:space="preserve">Wet-Hulled (Giling)</t>
  </si>
  <si>
    <t xml:space="preserve">1%</t>
  </si>
  <si>
    <t xml:space="preserve">Earthy · Indonesian terroir · syrupy body</t>
  </si>
  <si>
    <t xml:space="preserve">★</t>
  </si>
  <si>
    <t xml:space="preserve">Indonesia</t>
  </si>
  <si>
    <t xml:space="preserve">4%</t>
  </si>
  <si>
    <t xml:space="preserve">MED — wet-hulled texture study</t>
  </si>
  <si>
    <t xml:space="preserve">Soft lactic creaminess · glycerol body · tropical arc</t>
  </si>
  <si>
    <t xml:space="preserve">HIGH — phosphoric acid · blackcurrant</t>
  </si>
  <si>
    <t xml:space="preserve">Thermal Shock Anaerobic</t>
  </si>
  <si>
    <t xml:space="preserve">Extreme ester intensity — palate ceiling confirmed</t>
  </si>
  <si>
    <t xml:space="preserve">★ (boundary)</t>
  </si>
  <si>
    <t xml:space="preserve">MED-HIGH — malic stone fruit</t>
  </si>
  <si>
    <t xml:space="preserve">Thailand</t>
  </si>
  <si>
    <t xml:space="preserve">3%</t>
  </si>
  <si>
    <t xml:space="preserve">⭐ ×1</t>
  </si>
  <si>
    <t xml:space="preserve">MED — emerging SE Asian origin</t>
  </si>
  <si>
    <t xml:space="preserve">Ecuador</t>
  </si>
  <si>
    <t xml:space="preserve">HIGHEST — #1 palate DNA fit (Loja Gesha)</t>
  </si>
  <si>
    <t xml:space="preserve">  ⚖️  BREW RATIO INTELLIGENCE  —  1:15–1:17 Palate DNA Band  ·  Avg ratio 1:15.0  ·  80% of parameterised brews in band</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</si>
  <si>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</si>
  <si>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</si>
  <si>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</si>
  <si>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</si>
  <si>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</si>
  <si>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</si>
  <si>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</si>
  <si>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</si>
  <si>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 Edge</t>
  </si>
  <si>
    <t xml:space="preserve">Espresso-style concentrations — not filter</t>
  </si>
  <si>
    <t xml:space="preserve">🏆 Cup of the Year</t>
  </si>
  <si>
    <t xml:space="preserve">Pour.traits — Finca Sophia Torcaza Washed Geisha (TaoTao WBRC #7)</t>
  </si>
  <si>
    <t xml:space="preserve">S$60 · Panama · supreme clarity · WBRC Brussels 2026 competition recipe · archive price record</t>
  </si>
  <si>
    <t xml:space="preserve">1:13–1:14</t>
  </si>
  <si>
    <t xml:space="preserve">⚠️ Dense</t>
  </si>
  <si>
    <t xml:space="preserve">Polyphenolic bitterness at cool phase (Double Shot, Kotowa Gesha)</t>
  </si>
  <si>
    <t xml:space="preserve">👤 Barista #1</t>
  </si>
  <si>
    <t xml:space="preserve">Jason — Prodigal Roasters</t>
  </si>
  <si>
    <t xml:space="preserve">~30-min conversation on green beans, roasting &amp; brewing technique — self-motivated, exceptionally generous with knowledge</t>
  </si>
  <si>
    <t xml:space="preserve">1:14–1:15</t>
  </si>
  <si>
    <t xml:space="preserve">Compressed aromatic headspace — sucrose underdeveloped vs acid</t>
  </si>
  <si>
    <t xml:space="preserve">👤 Barista #2 (joint)</t>
  </si>
  <si>
    <t xml:space="preserve">Aqil — Zerah Roasters</t>
  </si>
  <si>
    <t xml:space="preserve">Most knowledgeable &amp; warmest barista engagement</t>
  </si>
  <si>
    <t xml:space="preserve">1:15–1:17 ✅</t>
  </si>
  <si>
    <t xml:space="preserve">✅ OPTIMAL</t>
  </si>
  <si>
    <t xml:space="preserve">Core extraction philosophy — 80% of all parameterised brews</t>
  </si>
  <si>
    <t xml:space="preserve">Glenda — Abseil</t>
  </si>
  <si>
    <t xml:space="preserve">Technical depth + exceptional hospitality</t>
  </si>
  <si>
    <t xml:space="preserve">&gt;1:17</t>
  </si>
  <si>
    <t xml:space="preserve">Dilutes acid structure — CGA lactone risk on Naturals</t>
  </si>
  <si>
    <t xml:space="preserve">📍 Best Discovery</t>
  </si>
  <si>
    <t xml:space="preserve">Oaks Coffee Co. (Day 4 of opening)</t>
  </si>
  <si>
    <t xml:space="preserve">Bolivia Pacamara Lactic Honey · S$9 · 5 archive firsts</t>
  </si>
  <si>
    <t xml:space="preserve">Early entries + batch-dispensed formats (no per-cup brew event)</t>
  </si>
  <si>
    <t xml:space="preserve">🧫 Best Process Arc</t>
  </si>
  <si>
    <t xml:space="preserve">Floripondio 90 Hours — Oaks Coffee Co.</t>
  </si>
  <si>
    <t xml:space="preserve">Mango → sugar clarity → nectarine · 3-act thermal arc</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</si>
  <si>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</si>
  <si>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</si>
  <si>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</si>
  <si>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</si>
  <si>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</si>
  <si>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</si>
  <si>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</si>
  <si>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</si>
  <si>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</si>
  <si>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</si>
  <si>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</si>
  <si>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</si>
  <si>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</si>
  <si>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Seventy cups. Thirty-seven venues. Four cities. Twenty-one origin countries. One palate decoded across three thermal phases per cup. 44% of all entries are Washed process — the highest-clarity, lowest-interference method available — and 80% of every brew with recorded parameters falls inside the 1:15–1:17 ratio band. The palate responds strongest to malic acid (stone fruit, nectarine, mandarin) and linalool esters (jasmine, bergamot, honeysuckle). Gesha/Geisha accounts for 24% of all cups and commands a 76% price premium — paid willingly and without regret, from S$9.90 at Cowpresso to S$60 at Pour.traits. Flat-bottom geometry remains the preferred brewer architecture; 98mm flat-burr platforms (EK43, P64, P80) are the extraction engines of choice. The boundary is mapped too: thermal-shock anaerobics sit at the ceiling, and ratios below 1:14 amplify polyphenolic bitterness on Naturals.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</si>
  <si>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</si>
  <si>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</si>
  <si>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</si>
  <si>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</si>
  <si>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</si>
  <si>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</si>
  <si>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</si>
  <si>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</si>
  <si>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</si>
  <si>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</si>
  <si>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41%</t>
  </si>
  <si>
    <t xml:space="preserve">Malic acid clarity · jasmine lift · clean thermal arcs</t>
  </si>
  <si>
    <t xml:space="preserve">★★★★★ Primary</t>
  </si>
  <si>
    <t xml:space="preserve">85–89°C</t>
  </si>
  <si>
    <t xml:space="preserve">1</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</si>
  <si>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</si>
  <si>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</si>
  <si>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</si>
  <si>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</si>
  <si>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</si>
  <si>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</si>
  <si>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</si>
  <si>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</si>
  <si>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9%</t>
  </si>
  <si>
    <t xml:space="preserve">★★★★ Bridge</t>
  </si>
  <si>
    <t xml:space="preserve">92–94°C ⭐</t>
  </si>
  <si>
    <t xml:space="preserve">7</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</si>
  <si>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</si>
  <si>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</si>
  <si>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</si>
  <si>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</si>
  <si>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</si>
  <si>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</si>
  <si>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</si>
  <si>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</si>
  <si>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</si>
  <si>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2%</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</si>
  <si>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</si>
  <si>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</si>
  <si>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</si>
  <si>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</si>
  <si>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</si>
  <si>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</si>
  <si>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</si>
  <si>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</si>
  <si>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</si>
  <si>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</si>
  <si>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</si>
  <si>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</si>
  <si>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</si>
  <si>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</si>
  <si>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</si>
  <si>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</si>
  <si>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</si>
  <si>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</si>
  <si>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</si>
  <si>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</si>
  <si>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</si>
  <si>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</si>
  <si>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</si>
  <si>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</si>
  <si>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</si>
  <si>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</si>
  <si>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</si>
  <si>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</si>
  <si>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</si>
  <si>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</si>
  <si>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</si>
  <si>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</si>
  <si>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</si>
  <si>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</si>
  <si>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</si>
  <si>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34</t>
  </si>
  <si>
    <t xml:space="preserve">Core extraction philosophy — 58% of all logged entries</t>
  </si>
  <si>
    <t xml:space="preserve">Cowpresso (Las Nubes)</t>
  </si>
  <si>
    <t xml:space="preserve">Lychee · Berry · Tropical — aggressive Natural expression</t>
  </si>
  <si>
    <t xml:space="preserve">GOOD</t>
  </si>
  <si>
    <t xml:space="preserve">0</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</si>
  <si>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</si>
  <si>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</si>
  <si>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16</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</si>
  <si>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</si>
  <si>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</si>
  <si>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</si>
  <si>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</si>
  <si>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</si>
  <si>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</si>
  <si>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</si>
  <si>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</si>
  <si>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</si>
  <si>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30%</t>
  </si>
  <si>
    <t xml:space="preserve">HIGHEST — malic + Gesha depth</t>
  </si>
  <si>
    <t xml:space="preserve">Total Gesha/Geisha entries</t>
  </si>
  <si>
    <t xml:space="preserve">13%</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</si>
  <si>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</si>
  <si>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</si>
  <si>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</si>
  <si>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</si>
  <si>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</si>
  <si>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</si>
  <si>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</si>
  <si>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 ×2</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</si>
  <si>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</si>
  <si>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</si>
  <si>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</si>
  <si>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</si>
  <si>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</si>
  <si>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</si>
  <si>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</si>
  <si>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</si>
  <si>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</si>
  <si>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</si>
  <si>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</si>
  <si>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</si>
  <si>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</si>
  <si>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</si>
  <si>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</si>
  <si>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</si>
  <si>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</si>
  <si>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</si>
  <si>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</si>
  <si>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</si>
  <si>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</si>
  <si>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</si>
  <si>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</si>
  <si>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</si>
  <si>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</si>
  <si>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</si>
  <si>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</si>
  <si>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</si>
  <si>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</si>
  <si>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</si>
  <si>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</si>
  <si>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</si>
  <si>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</si>
  <si>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</si>
  <si>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</si>
  <si>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</si>
  <si>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</si>
  <si>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</si>
  <si>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</si>
  <si>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</si>
  <si>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</si>
  <si>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</si>
  <si>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</si>
  <si>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</si>
  <si>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</si>
  <si>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</si>
  <si>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</si>
  <si>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</si>
  <si>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</si>
  <si>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</si>
  <si>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</si>
  <si>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</si>
  <si>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</si>
  <si>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</si>
  <si>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</si>
  <si>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</si>
  <si>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</si>
  <si>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</si>
  <si>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</si>
  <si>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</si>
  <si>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</si>
  <si>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</si>
  <si>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</si>
  <si>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</si>
  <si>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</si>
  <si>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</si>
  <si>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</si>
  <si>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</si>
  <si>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</si>
  <si>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</si>
  <si>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</si>
  <si>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</si>
  <si>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</si>
  <si>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</si>
  <si>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</si>
  <si>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</si>
  <si>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</si>
  <si>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</si>
  <si>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</si>
  <si>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</si>
  <si>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</si>
  <si>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</si>
  <si>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</si>
  <si>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</si>
  <si>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</si>
  <si>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</si>
  <si>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</si>
  <si>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</si>
  <si>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</si>
  <si>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</si>
  <si>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</si>
  <si>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</si>
  <si>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</si>
  <si>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</si>
  <si>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</si>
  <si>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</si>
  <si>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</si>
  <si>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</si>
  <si>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</si>
  <si>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</si>
  <si>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</si>
  <si>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</si>
  <si>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</si>
  <si>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</si>
  <si>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</si>
  <si>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</si>
  <si>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</si>
  <si>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</si>
  <si>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</si>
  <si>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</si>
  <si>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</si>
  <si>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</si>
  <si>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</si>
  <si>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</si>
  <si>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</si>
  <si>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</si>
  <si>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</si>
  <si>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</si>
  <si>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</si>
  <si>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</si>
  <si>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</si>
  <si>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</si>
  <si>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</si>
  <si>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</si>
  <si>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</si>
  <si>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</si>
  <si>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</si>
  <si>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</si>
  <si>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</si>
  <si>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</si>
  <si>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</si>
  <si>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</si>
  <si>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</si>
  <si>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</si>
  <si>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</si>
  <si>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</si>
  <si>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38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</si>
  <si>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</si>
  <si>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</si>
  <si>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</si>
  <si>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</si>
  <si>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</si>
  <si>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</si>
  <si>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</si>
  <si>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</si>
  <si>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</si>
  <si>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</si>
  <si>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38 venues (37 visited + 1 listed)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</si>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</sst>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5">
    <numFmt numFmtId="164" formatCode="General"/>
    <numFmt numFmtId="165" formatCode="yyyy\-mm\-dd"/>
    <numFmt numFmtId="166" formatCode="&quot;S$&quot;0.00"/>
    <numFmt numFmtId="167" formatCode="yyyy\-mm\-dd\ h:mm:ss"/>
    <numFmt numFmtId="168" formatCode="General"/>
  </numFmts>
  <fonts count="25">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8" fontId="13"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6" fillId="7" borderId="3"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17" fillId="7" borderId="4" xfId="0" applyFont="true" applyBorder="true" applyAlignment="true" applyProtection="false">
      <alignment horizontal="general" vertical="top" textRotation="0" wrapText="true" indent="0" shrinkToFit="false"/>
      <protection locked="true" hidden="false"/>
    </xf>
    <xf numFmtId="168" fontId="5" fillId="8" borderId="1" xfId="0" applyFont="true" applyBorder="true" applyAlignment="true" applyProtection="false">
      <alignment horizontal="general" vertical="top" textRotation="0" wrapText="true" indent="0" shrinkToFit="false"/>
      <protection locked="true" hidden="false"/>
    </xf>
    <xf numFmtId="168" fontId="5" fillId="9" borderId="1" xfId="0" applyFont="true" applyBorder="true" applyAlignment="true" applyProtection="false">
      <alignment horizontal="general" vertical="top" textRotation="0" wrapText="tru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5"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8" fillId="7" borderId="3" xfId="0" applyFont="true" applyBorder="true" applyAlignment="true" applyProtection="false">
      <alignment horizontal="general" vertical="top" textRotation="0" wrapText="true" indent="0" shrinkToFit="false"/>
      <protection locked="true" hidden="false"/>
    </xf>
    <xf numFmtId="164" fontId="19" fillId="6" borderId="3" xfId="0" applyFont="true" applyBorder="true" applyAlignment="true" applyProtection="false">
      <alignment horizontal="general" vertical="top" textRotation="0" wrapText="true" indent="0" shrinkToFit="false"/>
      <protection locked="true" hidden="false"/>
    </xf>
    <xf numFmtId="164" fontId="19" fillId="7" borderId="3"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1" fillId="6"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1" fillId="10"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21"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2" fillId="7" borderId="3" xfId="0" applyFont="true" applyBorder="true" applyAlignment="true" applyProtection="false">
      <alignment horizontal="general" vertical="top" textRotation="0" wrapText="true" indent="0" shrinkToFit="false"/>
      <protection locked="true" hidden="false"/>
    </xf>
    <xf numFmtId="164" fontId="22" fillId="6" borderId="3"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7"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7"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8" t="n">
        <v>46214</v>
      </c>
      <c r="B63" s="9" t="s">
        <v>52</v>
      </c>
      <c r="C63" s="9" t="s">
        <v>668</v>
      </c>
      <c r="D63" s="9" t="s">
        <v>669</v>
      </c>
      <c r="E63" s="9" t="s">
        <v>670</v>
      </c>
      <c r="F63" s="9" t="s">
        <v>671</v>
      </c>
      <c r="G63" s="9" t="s">
        <v>196</v>
      </c>
      <c r="H63" s="9" t="s">
        <v>74</v>
      </c>
      <c r="I63" s="9" t="s">
        <v>146</v>
      </c>
      <c r="J63" s="9" t="s">
        <v>672</v>
      </c>
      <c r="K63" s="9" t="n">
        <v>15</v>
      </c>
      <c r="L63" s="9" t="n">
        <v>225</v>
      </c>
      <c r="M63" s="9" t="s">
        <v>156</v>
      </c>
      <c r="N63" s="9" t="s">
        <v>673</v>
      </c>
      <c r="O63" s="9" t="s">
        <v>27</v>
      </c>
      <c r="P63" s="9" t="s">
        <v>282</v>
      </c>
      <c r="Q63" s="9" t="n">
        <v>10</v>
      </c>
      <c r="R63" s="9" t="s">
        <v>674</v>
      </c>
      <c r="S63" s="9" t="s">
        <v>675</v>
      </c>
      <c r="T63" s="9" t="s">
        <v>676</v>
      </c>
      <c r="U63" s="9" t="s">
        <v>677</v>
      </c>
      <c r="V63" s="9" t="s">
        <v>678</v>
      </c>
      <c r="W63" s="10" t="str">
        <f aca="false">IF(OR(ISNUMBER(SEARCH("gesha",G63)),ISNUMBER(SEARCH("geisha",G63))),"⭐ GESHA","")</f>
        <v>⭐ GESHA</v>
      </c>
      <c r="X63" s="9" t="s">
        <v>679</v>
      </c>
    </row>
    <row r="64" customFormat="false" ht="129.75" hidden="false" customHeight="true" outlineLevel="0" collapsed="false">
      <c r="A64" s="11" t="s">
        <v>680</v>
      </c>
      <c r="B64" s="11" t="s">
        <v>52</v>
      </c>
      <c r="C64" s="11" t="s">
        <v>322</v>
      </c>
      <c r="D64" s="11" t="s">
        <v>681</v>
      </c>
      <c r="E64" s="11" t="s">
        <v>589</v>
      </c>
      <c r="F64" s="11" t="s">
        <v>266</v>
      </c>
      <c r="G64" s="11" t="s">
        <v>682</v>
      </c>
      <c r="H64" s="11" t="s">
        <v>58</v>
      </c>
      <c r="I64" s="11" t="s">
        <v>146</v>
      </c>
      <c r="J64" s="11" t="s">
        <v>591</v>
      </c>
      <c r="K64" s="11" t="s">
        <v>683</v>
      </c>
      <c r="L64" s="11" t="s">
        <v>684</v>
      </c>
      <c r="M64" s="11" t="s">
        <v>156</v>
      </c>
      <c r="N64" s="11" t="s">
        <v>685</v>
      </c>
      <c r="O64" s="11" t="s">
        <v>27</v>
      </c>
      <c r="P64" s="11" t="s">
        <v>686</v>
      </c>
      <c r="Q64" s="11" t="s">
        <v>687</v>
      </c>
      <c r="R64" s="11" t="s">
        <v>688</v>
      </c>
      <c r="S64" s="11" t="s">
        <v>689</v>
      </c>
      <c r="T64" s="11" t="s">
        <v>690</v>
      </c>
      <c r="U64" s="11" t="s">
        <v>691</v>
      </c>
      <c r="V64" s="11" t="s">
        <v>692</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693</v>
      </c>
      <c r="E65" s="13" t="s">
        <v>694</v>
      </c>
      <c r="F65" s="13" t="s">
        <v>695</v>
      </c>
      <c r="G65" s="13" t="s">
        <v>196</v>
      </c>
      <c r="H65" s="13" t="s">
        <v>58</v>
      </c>
      <c r="I65" s="13" t="s">
        <v>146</v>
      </c>
      <c r="J65" s="13" t="s">
        <v>696</v>
      </c>
      <c r="K65" s="13" t="n">
        <v>12.5</v>
      </c>
      <c r="L65" s="13" t="n">
        <v>190</v>
      </c>
      <c r="M65" s="13" t="s">
        <v>697</v>
      </c>
      <c r="N65" s="13" t="s">
        <v>698</v>
      </c>
      <c r="O65" s="13" t="s">
        <v>27</v>
      </c>
      <c r="P65" s="13" t="s">
        <v>307</v>
      </c>
      <c r="Q65" s="13" t="n">
        <v>60</v>
      </c>
      <c r="R65" s="13" t="s">
        <v>699</v>
      </c>
      <c r="S65" s="13" t="s">
        <v>700</v>
      </c>
      <c r="T65" s="13" t="s">
        <v>701</v>
      </c>
      <c r="U65" s="13" t="s">
        <v>702</v>
      </c>
      <c r="V65" s="13" t="s">
        <v>703</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704</v>
      </c>
      <c r="E66" s="13" t="s">
        <v>705</v>
      </c>
      <c r="F66" s="13" t="s">
        <v>170</v>
      </c>
      <c r="G66" s="13" t="s">
        <v>171</v>
      </c>
      <c r="H66" s="13" t="s">
        <v>58</v>
      </c>
      <c r="I66" s="13" t="s">
        <v>146</v>
      </c>
      <c r="J66" s="13" t="s">
        <v>706</v>
      </c>
      <c r="K66" s="13" t="n">
        <v>15</v>
      </c>
      <c r="L66" s="13" t="n">
        <v>210</v>
      </c>
      <c r="M66" s="13" t="s">
        <v>245</v>
      </c>
      <c r="N66" s="13" t="s">
        <v>707</v>
      </c>
      <c r="O66" s="13" t="s">
        <v>708</v>
      </c>
      <c r="P66" s="13" t="s">
        <v>307</v>
      </c>
      <c r="Q66" s="13" t="n">
        <v>12</v>
      </c>
      <c r="R66" s="13" t="s">
        <v>709</v>
      </c>
      <c r="S66" s="13" t="s">
        <v>710</v>
      </c>
      <c r="T66" s="13" t="s">
        <v>711</v>
      </c>
      <c r="U66" s="13" t="s">
        <v>712</v>
      </c>
      <c r="V66" s="13" t="s">
        <v>713</v>
      </c>
      <c r="W66" s="13" t="str">
        <f aca="false">IF(OR(ISNUMBER(SEARCH("gesha",G66)),ISNUMBER(SEARCH("geisha",G66))),"⭐ GESHA","")</f>
        <v>⭐ GESHA</v>
      </c>
      <c r="X66" s="13" t="s">
        <v>442</v>
      </c>
    </row>
    <row r="67" customFormat="false" ht="88.5" hidden="false" customHeight="true" outlineLevel="0" collapsed="false">
      <c r="A67" s="12" t="n">
        <v>46219</v>
      </c>
      <c r="B67" s="13" t="s">
        <v>52</v>
      </c>
      <c r="C67" s="13" t="s">
        <v>714</v>
      </c>
      <c r="D67" s="13" t="s">
        <v>715</v>
      </c>
      <c r="E67" s="13" t="s">
        <v>716</v>
      </c>
      <c r="F67" s="13" t="s">
        <v>717</v>
      </c>
      <c r="G67" s="13" t="s">
        <v>196</v>
      </c>
      <c r="H67" s="13" t="s">
        <v>58</v>
      </c>
      <c r="I67" s="13" t="s">
        <v>27</v>
      </c>
      <c r="J67" s="13" t="s">
        <v>718</v>
      </c>
      <c r="K67" s="13" t="n">
        <v>7</v>
      </c>
      <c r="L67" s="13" t="n">
        <v>105</v>
      </c>
      <c r="M67" s="13" t="s">
        <v>156</v>
      </c>
      <c r="N67" s="13" t="s">
        <v>719</v>
      </c>
      <c r="O67" s="13" t="s">
        <v>27</v>
      </c>
      <c r="P67" s="13" t="s">
        <v>720</v>
      </c>
      <c r="Q67" s="13" t="n">
        <v>16</v>
      </c>
      <c r="R67" s="13" t="s">
        <v>721</v>
      </c>
      <c r="S67" s="13" t="s">
        <v>722</v>
      </c>
      <c r="T67" s="13" t="s">
        <v>723</v>
      </c>
      <c r="U67" s="13" t="s">
        <v>724</v>
      </c>
      <c r="V67" s="13" t="s">
        <v>725</v>
      </c>
      <c r="W67" s="13" t="str">
        <f aca="false">IF(OR(ISNUMBER(SEARCH("gesha",G67)),ISNUMBER(SEARCH("geisha",G67))),"⭐ GESHA","")</f>
        <v>⭐ GESHA</v>
      </c>
      <c r="X67" s="13" t="s">
        <v>726</v>
      </c>
    </row>
    <row r="68" customFormat="false" ht="108" hidden="false" customHeight="true" outlineLevel="0" collapsed="false">
      <c r="A68" s="12" t="n">
        <v>46224</v>
      </c>
      <c r="B68" s="13" t="s">
        <v>52</v>
      </c>
      <c r="C68" s="13" t="s">
        <v>668</v>
      </c>
      <c r="D68" s="13" t="s">
        <v>727</v>
      </c>
      <c r="E68" s="13" t="s">
        <v>27</v>
      </c>
      <c r="F68" s="13" t="s">
        <v>728</v>
      </c>
      <c r="G68" s="13" t="s">
        <v>729</v>
      </c>
      <c r="H68" s="13" t="s">
        <v>29</v>
      </c>
      <c r="I68" s="13" t="s">
        <v>146</v>
      </c>
      <c r="J68" s="13" t="s">
        <v>730</v>
      </c>
      <c r="K68" s="13" t="s">
        <v>27</v>
      </c>
      <c r="L68" s="13" t="s">
        <v>27</v>
      </c>
      <c r="M68" s="13" t="s">
        <v>731</v>
      </c>
      <c r="N68" s="13" t="s">
        <v>27</v>
      </c>
      <c r="O68" s="13" t="s">
        <v>27</v>
      </c>
      <c r="P68" s="13" t="s">
        <v>732</v>
      </c>
      <c r="Q68" s="13" t="n">
        <v>10</v>
      </c>
      <c r="R68" s="13" t="s">
        <v>733</v>
      </c>
      <c r="S68" s="13" t="s">
        <v>734</v>
      </c>
      <c r="T68" s="13" t="s">
        <v>735</v>
      </c>
      <c r="U68" s="13" t="s">
        <v>736</v>
      </c>
      <c r="V68" s="13" t="s">
        <v>737</v>
      </c>
      <c r="W68" s="13" t="str">
        <f aca="false">IF(OR(ISNUMBER(SEARCH("gesha",G68)),ISNUMBER(SEARCH("geisha",G68))),"⭐ GESHA","")</f>
        <v/>
      </c>
      <c r="X68" s="13" t="s">
        <v>679</v>
      </c>
    </row>
    <row r="69" customFormat="false" ht="184.5" hidden="false" customHeight="true" outlineLevel="0" collapsed="false">
      <c r="A69" s="12" t="n">
        <v>46227</v>
      </c>
      <c r="B69" s="13" t="s">
        <v>52</v>
      </c>
      <c r="C69" s="13" t="s">
        <v>738</v>
      </c>
      <c r="D69" s="13" t="s">
        <v>739</v>
      </c>
      <c r="E69" s="13" t="s">
        <v>740</v>
      </c>
      <c r="F69" s="13" t="s">
        <v>741</v>
      </c>
      <c r="G69" s="13" t="s">
        <v>207</v>
      </c>
      <c r="H69" s="13" t="s">
        <v>58</v>
      </c>
      <c r="I69" s="13" t="s">
        <v>31</v>
      </c>
      <c r="J69" s="13" t="s">
        <v>742</v>
      </c>
      <c r="K69" s="13" t="n">
        <v>15</v>
      </c>
      <c r="L69" s="13" t="n">
        <v>225</v>
      </c>
      <c r="M69" s="13" t="s">
        <v>156</v>
      </c>
      <c r="N69" s="13" t="n">
        <v>90</v>
      </c>
      <c r="O69" s="13" t="s">
        <v>27</v>
      </c>
      <c r="P69" s="13" t="s">
        <v>282</v>
      </c>
      <c r="Q69" s="13" t="n">
        <v>8.5</v>
      </c>
      <c r="R69" s="13" t="s">
        <v>743</v>
      </c>
      <c r="S69" s="13" t="s">
        <v>744</v>
      </c>
      <c r="T69" s="13" t="s">
        <v>745</v>
      </c>
      <c r="U69" s="13" t="s">
        <v>746</v>
      </c>
      <c r="V69" s="13" t="s">
        <v>747</v>
      </c>
      <c r="W69" s="13" t="str">
        <f aca="false">IF(OR(ISNUMBER(SEARCH("gesha",G69)),ISNUMBER(SEARCH("geisha",G69))),"⭐ GESHA","")</f>
        <v/>
      </c>
      <c r="X69" s="13" t="s">
        <v>748</v>
      </c>
    </row>
    <row r="70" customFormat="false" ht="184.5" hidden="false" customHeight="true" outlineLevel="0" collapsed="false">
      <c r="A70" s="12" t="n">
        <v>46227</v>
      </c>
      <c r="B70" s="13" t="s">
        <v>52</v>
      </c>
      <c r="C70" s="13" t="s">
        <v>749</v>
      </c>
      <c r="D70" s="13" t="s">
        <v>750</v>
      </c>
      <c r="E70" s="13" t="s">
        <v>751</v>
      </c>
      <c r="F70" s="13" t="s">
        <v>639</v>
      </c>
      <c r="G70" s="13" t="s">
        <v>196</v>
      </c>
      <c r="H70" s="13" t="s">
        <v>29</v>
      </c>
      <c r="I70" s="13" t="s">
        <v>30</v>
      </c>
      <c r="J70" s="13" t="s">
        <v>752</v>
      </c>
      <c r="K70" s="13" t="n">
        <v>16</v>
      </c>
      <c r="L70" s="13" t="n">
        <v>272</v>
      </c>
      <c r="M70" s="13" t="s">
        <v>120</v>
      </c>
      <c r="N70" s="13" t="n">
        <v>93</v>
      </c>
      <c r="O70" s="13" t="s">
        <v>753</v>
      </c>
      <c r="P70" s="13" t="s">
        <v>307</v>
      </c>
      <c r="Q70" s="13" t="n">
        <v>12</v>
      </c>
      <c r="R70" s="13" t="s">
        <v>754</v>
      </c>
      <c r="S70" s="13" t="s">
        <v>755</v>
      </c>
      <c r="T70" s="13" t="s">
        <v>756</v>
      </c>
      <c r="U70" s="13" t="s">
        <v>757</v>
      </c>
      <c r="V70" s="13" t="s">
        <v>758</v>
      </c>
      <c r="W70" s="13" t="str">
        <f aca="false">IF(OR(ISNUMBER(SEARCH("gesha",G70)),ISNUMBER(SEARCH("geisha",G70))),"⭐ GESHA","")</f>
        <v>⭐ GESHA</v>
      </c>
      <c r="X70" s="13" t="s">
        <v>759</v>
      </c>
    </row>
    <row r="71" customFormat="false" ht="184.5" hidden="false" customHeight="true" outlineLevel="0" collapsed="false">
      <c r="A71" s="12" t="n">
        <v>46228</v>
      </c>
      <c r="B71" s="13" t="s">
        <v>52</v>
      </c>
      <c r="C71" s="13" t="s">
        <v>738</v>
      </c>
      <c r="D71" s="13" t="s">
        <v>760</v>
      </c>
      <c r="E71" s="13" t="s">
        <v>27</v>
      </c>
      <c r="F71" s="13" t="s">
        <v>761</v>
      </c>
      <c r="G71" s="13" t="s">
        <v>27</v>
      </c>
      <c r="H71" s="13" t="s">
        <v>58</v>
      </c>
      <c r="I71" s="13" t="s">
        <v>31</v>
      </c>
      <c r="J71" s="13" t="s">
        <v>742</v>
      </c>
      <c r="K71" s="13" t="n">
        <v>15</v>
      </c>
      <c r="L71" s="13" t="n">
        <v>242</v>
      </c>
      <c r="M71" s="13" t="s">
        <v>762</v>
      </c>
      <c r="N71" s="13" t="n">
        <v>90</v>
      </c>
      <c r="O71" s="13" t="s">
        <v>763</v>
      </c>
      <c r="P71" s="13" t="s">
        <v>282</v>
      </c>
      <c r="Q71" s="13" t="n">
        <v>10.5</v>
      </c>
      <c r="R71" s="13" t="s">
        <v>764</v>
      </c>
      <c r="S71" s="13" t="s">
        <v>765</v>
      </c>
      <c r="T71" s="13" t="s">
        <v>766</v>
      </c>
      <c r="U71" s="13" t="s">
        <v>767</v>
      </c>
      <c r="V71" s="13" t="s">
        <v>768</v>
      </c>
      <c r="W71" s="13" t="str">
        <f aca="false">IF(OR(ISNUMBER(SEARCH("gesha",G71)),ISNUMBER(SEARCH("geisha",G71))),"⭐ GESHA","")</f>
        <v/>
      </c>
      <c r="X71" s="13" t="s">
        <v>748</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14" t="s">
        <v>769</v>
      </c>
      <c r="C1" s="14"/>
      <c r="D1" s="14"/>
      <c r="E1" s="14"/>
      <c r="F1" s="14"/>
      <c r="G1" s="14"/>
      <c r="H1" s="14"/>
      <c r="I1" s="14"/>
      <c r="J1" s="14"/>
      <c r="K1" s="14"/>
      <c r="L1" s="14"/>
      <c r="M1" s="14"/>
    </row>
    <row r="2" customFormat="false" ht="12.75" hidden="false" customHeight="true" outlineLevel="0" collapsed="false">
      <c r="B2" s="15" t="s">
        <v>770</v>
      </c>
      <c r="C2" s="15"/>
      <c r="D2" s="15"/>
      <c r="E2" s="15"/>
      <c r="F2" s="15"/>
      <c r="G2" s="15"/>
      <c r="H2" s="15"/>
      <c r="I2" s="15"/>
      <c r="J2" s="15"/>
      <c r="K2" s="15"/>
      <c r="L2" s="15"/>
      <c r="M2" s="15"/>
    </row>
    <row r="3" customFormat="false" ht="7.5" hidden="false" customHeight="true" outlineLevel="0" collapsed="false"/>
    <row r="4" customFormat="false" ht="15.75" hidden="false" customHeight="true" outlineLevel="0" collapsed="false">
      <c r="B4" s="16" t="s">
        <v>771</v>
      </c>
      <c r="C4" s="16"/>
      <c r="D4" s="16"/>
      <c r="E4" s="16"/>
      <c r="F4" s="16"/>
      <c r="G4" s="16"/>
      <c r="H4" s="16"/>
      <c r="I4" s="16"/>
      <c r="J4" s="16"/>
      <c r="K4" s="16"/>
      <c r="L4" s="16"/>
      <c r="M4" s="16"/>
    </row>
    <row r="5" customFormat="false" ht="4.5" hidden="false" customHeight="true" outlineLevel="0" collapsed="false"/>
    <row r="6" customFormat="false" ht="13.5" hidden="false" customHeight="true" outlineLevel="0" collapsed="false">
      <c r="B6" s="17" t="s">
        <v>772</v>
      </c>
      <c r="C6" s="17" t="s">
        <v>773</v>
      </c>
      <c r="D6" s="17" t="s">
        <v>774</v>
      </c>
      <c r="E6" s="17" t="s">
        <v>775</v>
      </c>
      <c r="F6" s="17" t="s">
        <v>776</v>
      </c>
      <c r="G6" s="17" t="s">
        <v>777</v>
      </c>
      <c r="H6" s="17" t="s">
        <v>778</v>
      </c>
      <c r="I6" s="17" t="s">
        <v>779</v>
      </c>
      <c r="J6" s="17" t="s">
        <v>780</v>
      </c>
    </row>
    <row r="7" customFormat="false" ht="30" hidden="false" customHeight="true" outlineLevel="0" collapsed="false">
      <c r="B7" s="18" t="n">
        <f aca="false">COUNTA('Coffee Audit'!A2:A2000)</f>
        <v>70</v>
      </c>
      <c r="C7" s="18" t="n">
        <f aca="false">SUMPRODUCT(('Coffee Audit'!C2:C2000&lt;&gt;"")/COUNTIF('Coffee Audit'!C2:C2000,'Coffee Audit'!C2:C2000&amp;""))</f>
        <v>37</v>
      </c>
      <c r="D7" s="18" t="n">
        <v>4</v>
      </c>
      <c r="E7" s="18" t="n">
        <v>21</v>
      </c>
      <c r="F7" s="18" t="n">
        <f aca="false">COUNTIF('Coffee Audit'!W2:W2000,"⭐ GESHA")</f>
        <v>17</v>
      </c>
      <c r="G7" s="18" t="n">
        <f aca="false">SUMPRODUCT(('Coffee Audit'!G2:G2000&lt;&gt;"")/COUNTIF('Coffee Audit'!G2:G2000,'Coffee Audit'!G2:G2000&amp;""))</f>
        <v>41</v>
      </c>
      <c r="H7" s="18" t="str">
        <f aca="false">IFERROR("S$"&amp;TEXT(AVERAGEIF('Coffee Audit'!Q2:Q2000,"&gt;0"),"0.00"),"—")</f>
        <v>S$11.88</v>
      </c>
      <c r="I7" s="18" t="str">
        <f aca="false">TEXT(MIN('Coffee Audit'!A2:A2000),"DD MMM YYYY")</f>
        <v>03 Jan 2026</v>
      </c>
      <c r="J7" s="18" t="str">
        <f aca="false">TEXT(MAX('Coffee Audit'!A2:A2000),"DD MMM YYYY")</f>
        <v>25 Jul 2026</v>
      </c>
    </row>
    <row r="8" customFormat="false" ht="12" hidden="false" customHeight="true" outlineLevel="0" collapsed="false">
      <c r="B8" s="19" t="s">
        <v>781</v>
      </c>
      <c r="C8" s="19" t="s">
        <v>782</v>
      </c>
      <c r="D8" s="19" t="s">
        <v>783</v>
      </c>
      <c r="E8" s="19" t="s">
        <v>784</v>
      </c>
      <c r="F8" s="19" t="s">
        <v>785</v>
      </c>
      <c r="G8" s="19" t="s">
        <v>786</v>
      </c>
      <c r="H8" s="19" t="s">
        <v>787</v>
      </c>
      <c r="I8" s="19" t="s">
        <v>788</v>
      </c>
      <c r="J8" s="19" t="s">
        <v>789</v>
      </c>
    </row>
    <row r="10" customFormat="false" ht="9.75" hidden="false" customHeight="true" outlineLevel="0" collapsed="false"/>
    <row r="11" customFormat="false" ht="15.75" hidden="false" customHeight="true" outlineLevel="0" collapsed="false">
      <c r="B11" s="16" t="s">
        <v>790</v>
      </c>
      <c r="C11" s="16"/>
      <c r="D11" s="16"/>
      <c r="E11" s="16"/>
      <c r="F11" s="16"/>
      <c r="G11" s="16"/>
      <c r="H11" s="16" t="s">
        <v>791</v>
      </c>
      <c r="I11" s="16"/>
      <c r="J11" s="16"/>
      <c r="K11" s="16"/>
      <c r="L11" s="16"/>
      <c r="M11" s="16"/>
    </row>
    <row r="12" customFormat="false" ht="15.75" hidden="false" customHeight="true" outlineLevel="0" collapsed="false">
      <c r="B12" s="20" t="s">
        <v>792</v>
      </c>
      <c r="C12" s="20" t="s">
        <v>793</v>
      </c>
      <c r="D12" s="20" t="s">
        <v>5</v>
      </c>
      <c r="E12" s="20" t="s">
        <v>7</v>
      </c>
      <c r="F12" s="20" t="s">
        <v>794</v>
      </c>
      <c r="H12" s="20" t="s">
        <v>793</v>
      </c>
      <c r="I12" s="20" t="s">
        <v>795</v>
      </c>
      <c r="J12" s="20" t="s">
        <v>796</v>
      </c>
      <c r="K12" s="20" t="s">
        <v>1</v>
      </c>
      <c r="L12" s="20" t="s">
        <v>797</v>
      </c>
    </row>
    <row r="13" customFormat="false" ht="12.75" hidden="false" customHeight="true" outlineLevel="0" collapsed="false">
      <c r="B13" s="21" t="n">
        <v>1</v>
      </c>
      <c r="C13" s="21" t="s">
        <v>668</v>
      </c>
      <c r="D13" s="21" t="s">
        <v>695</v>
      </c>
      <c r="E13" s="21" t="s">
        <v>58</v>
      </c>
      <c r="F13" s="21" t="s">
        <v>798</v>
      </c>
      <c r="H13" s="22" t="s">
        <v>251</v>
      </c>
      <c r="I13" s="21" t="n">
        <v>6</v>
      </c>
      <c r="J13" s="21" t="s">
        <v>799</v>
      </c>
      <c r="K13" s="21" t="s">
        <v>52</v>
      </c>
      <c r="L13" s="21" t="s">
        <v>800</v>
      </c>
    </row>
    <row r="14" customFormat="false" ht="12.75" hidden="false" customHeight="true" outlineLevel="0" collapsed="false">
      <c r="B14" s="23" t="n">
        <v>2</v>
      </c>
      <c r="C14" s="23" t="s">
        <v>646</v>
      </c>
      <c r="D14" s="23" t="s">
        <v>118</v>
      </c>
      <c r="E14" s="23" t="s">
        <v>58</v>
      </c>
      <c r="F14" s="23" t="s">
        <v>801</v>
      </c>
      <c r="H14" s="24" t="s">
        <v>167</v>
      </c>
      <c r="I14" s="23" t="n">
        <v>4</v>
      </c>
      <c r="J14" s="23" t="s">
        <v>802</v>
      </c>
      <c r="K14" s="23" t="s">
        <v>52</v>
      </c>
      <c r="L14" s="23" t="s">
        <v>803</v>
      </c>
    </row>
    <row r="15" customFormat="false" ht="12.75" hidden="false" customHeight="true" outlineLevel="0" collapsed="false">
      <c r="B15" s="21" t="n">
        <v>3</v>
      </c>
      <c r="C15" s="21" t="s">
        <v>555</v>
      </c>
      <c r="D15" s="21" t="s">
        <v>804</v>
      </c>
      <c r="E15" s="21" t="s">
        <v>29</v>
      </c>
      <c r="F15" s="21" t="s">
        <v>805</v>
      </c>
      <c r="H15" s="22" t="s">
        <v>322</v>
      </c>
      <c r="I15" s="21" t="n">
        <v>4</v>
      </c>
      <c r="J15" s="21" t="s">
        <v>806</v>
      </c>
      <c r="K15" s="21" t="s">
        <v>52</v>
      </c>
      <c r="L15" s="21" t="s">
        <v>807</v>
      </c>
    </row>
    <row r="16" customFormat="false" ht="12.75" hidden="false" customHeight="true" outlineLevel="0" collapsed="false">
      <c r="B16" s="23" t="n">
        <v>4</v>
      </c>
      <c r="C16" s="23" t="s">
        <v>332</v>
      </c>
      <c r="D16" s="23" t="s">
        <v>808</v>
      </c>
      <c r="E16" s="23" t="s">
        <v>58</v>
      </c>
      <c r="F16" s="23" t="s">
        <v>809</v>
      </c>
      <c r="H16" s="24" t="s">
        <v>668</v>
      </c>
      <c r="I16" s="23" t="n">
        <v>3</v>
      </c>
      <c r="J16" s="23" t="s">
        <v>810</v>
      </c>
      <c r="K16" s="23" t="s">
        <v>52</v>
      </c>
      <c r="L16" s="23" t="s">
        <v>811</v>
      </c>
    </row>
    <row r="17" customFormat="false" ht="12.75" hidden="false" customHeight="true" outlineLevel="0" collapsed="false">
      <c r="B17" s="21" t="n">
        <v>5</v>
      </c>
      <c r="C17" s="21" t="s">
        <v>622</v>
      </c>
      <c r="D17" s="21" t="s">
        <v>812</v>
      </c>
      <c r="E17" s="21" t="s">
        <v>29</v>
      </c>
      <c r="F17" s="21" t="s">
        <v>813</v>
      </c>
      <c r="H17" s="22" t="s">
        <v>25</v>
      </c>
      <c r="I17" s="21" t="n">
        <v>3</v>
      </c>
      <c r="J17" s="21" t="s">
        <v>814</v>
      </c>
      <c r="K17" s="21" t="s">
        <v>24</v>
      </c>
      <c r="L17" s="21" t="s">
        <v>815</v>
      </c>
    </row>
    <row r="18" customFormat="false" ht="12.75" hidden="false" customHeight="true" outlineLevel="0" collapsed="false">
      <c r="B18" s="23" t="n">
        <v>6</v>
      </c>
      <c r="C18" s="23" t="s">
        <v>714</v>
      </c>
      <c r="D18" s="23" t="s">
        <v>816</v>
      </c>
      <c r="E18" s="23" t="s">
        <v>58</v>
      </c>
      <c r="F18" s="23" t="s">
        <v>813</v>
      </c>
      <c r="H18" s="24" t="s">
        <v>53</v>
      </c>
      <c r="I18" s="23" t="n">
        <v>3</v>
      </c>
      <c r="J18" s="23" t="s">
        <v>817</v>
      </c>
      <c r="K18" s="23" t="s">
        <v>52</v>
      </c>
      <c r="L18" s="23" t="s">
        <v>818</v>
      </c>
    </row>
    <row r="19" customFormat="false" ht="12.75" hidden="false" customHeight="true" outlineLevel="0" collapsed="false">
      <c r="B19" s="21" t="n">
        <v>7</v>
      </c>
      <c r="C19" s="21" t="s">
        <v>401</v>
      </c>
      <c r="D19" s="21" t="s">
        <v>118</v>
      </c>
      <c r="E19" s="21" t="s">
        <v>404</v>
      </c>
      <c r="F19" s="21" t="s">
        <v>819</v>
      </c>
      <c r="H19" s="22" t="s">
        <v>132</v>
      </c>
      <c r="I19" s="21" t="n">
        <v>3</v>
      </c>
      <c r="J19" s="21" t="s">
        <v>814</v>
      </c>
      <c r="K19" s="21" t="s">
        <v>52</v>
      </c>
      <c r="L19" s="21" t="s">
        <v>820</v>
      </c>
    </row>
    <row r="20" customFormat="false" ht="12.75" hidden="false" customHeight="true" outlineLevel="0" collapsed="false">
      <c r="B20" s="23" t="n">
        <v>8</v>
      </c>
      <c r="C20" s="23" t="s">
        <v>607</v>
      </c>
      <c r="D20" s="23" t="s">
        <v>821</v>
      </c>
      <c r="E20" s="23" t="s">
        <v>404</v>
      </c>
      <c r="F20" s="23" t="s">
        <v>819</v>
      </c>
      <c r="H20" s="24" t="s">
        <v>370</v>
      </c>
      <c r="I20" s="23" t="n">
        <v>2</v>
      </c>
      <c r="J20" s="23" t="s">
        <v>822</v>
      </c>
      <c r="K20" s="23" t="s">
        <v>52</v>
      </c>
      <c r="L20" s="23" t="s">
        <v>823</v>
      </c>
    </row>
    <row r="21" customFormat="false" ht="12.75" hidden="false" customHeight="true" outlineLevel="0" collapsed="false">
      <c r="B21" s="21" t="n">
        <v>9</v>
      </c>
      <c r="C21" s="21" t="s">
        <v>322</v>
      </c>
      <c r="D21" s="21" t="s">
        <v>821</v>
      </c>
      <c r="E21" s="21" t="s">
        <v>58</v>
      </c>
      <c r="F21" s="21" t="s">
        <v>824</v>
      </c>
      <c r="H21" s="22" t="s">
        <v>738</v>
      </c>
      <c r="I21" s="21" t="n">
        <v>2</v>
      </c>
      <c r="J21" s="21" t="s">
        <v>825</v>
      </c>
      <c r="K21" s="21" t="s">
        <v>52</v>
      </c>
      <c r="L21" s="21" t="s">
        <v>826</v>
      </c>
    </row>
    <row r="22" customFormat="false" ht="12.75" hidden="false" customHeight="true" outlineLevel="0" collapsed="false">
      <c r="B22" s="23" t="n">
        <v>10</v>
      </c>
      <c r="C22" s="23" t="s">
        <v>431</v>
      </c>
      <c r="D22" s="23" t="s">
        <v>821</v>
      </c>
      <c r="E22" s="23" t="s">
        <v>58</v>
      </c>
      <c r="F22" s="23" t="s">
        <v>827</v>
      </c>
      <c r="H22" s="24" t="s">
        <v>401</v>
      </c>
      <c r="I22" s="23" t="n">
        <v>2</v>
      </c>
      <c r="J22" s="23" t="s">
        <v>824</v>
      </c>
      <c r="K22" s="23" t="s">
        <v>52</v>
      </c>
      <c r="L22" s="23" t="s">
        <v>828</v>
      </c>
    </row>
    <row r="23" customFormat="false" ht="12.75" hidden="false" customHeight="true" outlineLevel="0" collapsed="false">
      <c r="B23" s="21" t="n">
        <v>11</v>
      </c>
      <c r="C23" s="21" t="s">
        <v>167</v>
      </c>
      <c r="D23" s="21" t="s">
        <v>829</v>
      </c>
      <c r="E23" s="21" t="s">
        <v>58</v>
      </c>
      <c r="F23" s="21" t="s">
        <v>802</v>
      </c>
      <c r="H23" s="25"/>
      <c r="I23" s="25"/>
      <c r="J23" s="25"/>
      <c r="K23" s="25"/>
      <c r="L23" s="25"/>
    </row>
    <row r="24" customFormat="false" ht="12.75" hidden="false" customHeight="true" outlineLevel="0" collapsed="false">
      <c r="B24" s="23" t="n">
        <v>12</v>
      </c>
      <c r="C24" s="23" t="s">
        <v>192</v>
      </c>
      <c r="D24" s="23" t="s">
        <v>830</v>
      </c>
      <c r="E24" s="23" t="s">
        <v>197</v>
      </c>
      <c r="F24" s="23" t="s">
        <v>831</v>
      </c>
      <c r="H24" s="25"/>
      <c r="I24" s="25"/>
      <c r="J24" s="25"/>
      <c r="K24" s="25"/>
      <c r="L24" s="25"/>
    </row>
    <row r="25" customFormat="false" ht="12.75" hidden="false" customHeight="true" outlineLevel="0" collapsed="false">
      <c r="B25" s="21" t="n">
        <v>13</v>
      </c>
      <c r="C25" s="21" t="s">
        <v>431</v>
      </c>
      <c r="D25" s="21" t="s">
        <v>832</v>
      </c>
      <c r="E25" s="21" t="s">
        <v>58</v>
      </c>
      <c r="F25" s="21" t="s">
        <v>831</v>
      </c>
    </row>
    <row r="26" customFormat="false" ht="12.75" hidden="false" customHeight="true" outlineLevel="0" collapsed="false">
      <c r="B26" s="23" t="n">
        <v>14</v>
      </c>
      <c r="C26" s="23" t="s">
        <v>749</v>
      </c>
      <c r="D26" s="23" t="s">
        <v>639</v>
      </c>
      <c r="E26" s="23" t="s">
        <v>29</v>
      </c>
      <c r="F26" s="23" t="s">
        <v>831</v>
      </c>
    </row>
    <row r="27" customFormat="false" ht="12.75" hidden="false" customHeight="true" outlineLevel="0" collapsed="false">
      <c r="B27" s="21" t="n">
        <v>15</v>
      </c>
      <c r="C27" s="21" t="s">
        <v>167</v>
      </c>
      <c r="D27" s="21" t="s">
        <v>832</v>
      </c>
      <c r="E27" s="21" t="s">
        <v>58</v>
      </c>
      <c r="F27" s="21" t="s">
        <v>833</v>
      </c>
    </row>
    <row r="28" customFormat="false" ht="12.75" hidden="false" customHeight="true" outlineLevel="0" collapsed="false">
      <c r="B28" s="23" t="n">
        <v>16</v>
      </c>
      <c r="C28" s="23" t="s">
        <v>668</v>
      </c>
      <c r="D28" s="23" t="s">
        <v>834</v>
      </c>
      <c r="E28" s="23" t="s">
        <v>74</v>
      </c>
      <c r="F28" s="23" t="s">
        <v>835</v>
      </c>
    </row>
    <row r="29" customFormat="false" ht="12.75" hidden="false" customHeight="true" outlineLevel="0" collapsed="false">
      <c r="B29" s="21" t="n">
        <v>17</v>
      </c>
      <c r="C29" s="21" t="s">
        <v>577</v>
      </c>
      <c r="D29" s="21" t="s">
        <v>804</v>
      </c>
      <c r="E29" s="21" t="s">
        <v>29</v>
      </c>
      <c r="F29" s="21" t="s">
        <v>836</v>
      </c>
    </row>
    <row r="30" customFormat="false" ht="12.75" hidden="false" customHeight="true" outlineLevel="0" collapsed="false">
      <c r="B30" s="26" t="s">
        <v>837</v>
      </c>
      <c r="C30" s="26"/>
      <c r="D30" s="26"/>
      <c r="E30" s="26"/>
      <c r="F30" s="26"/>
    </row>
    <row r="31" customFormat="false" ht="12.75" hidden="false" customHeight="true" outlineLevel="0" collapsed="false"/>
    <row r="32" customFormat="false" ht="12.75" hidden="false" customHeight="true" outlineLevel="0" collapsed="false">
      <c r="B32" s="16" t="s">
        <v>838</v>
      </c>
      <c r="C32" s="16"/>
      <c r="D32" s="16"/>
      <c r="E32" s="16"/>
      <c r="F32" s="16"/>
      <c r="G32" s="16"/>
      <c r="H32" s="16" t="s">
        <v>839</v>
      </c>
      <c r="I32" s="16"/>
      <c r="J32" s="16"/>
      <c r="K32" s="16"/>
      <c r="L32" s="16"/>
      <c r="M32" s="16"/>
    </row>
    <row r="33" customFormat="false" ht="12.75" hidden="false" customHeight="true" outlineLevel="0" collapsed="false">
      <c r="B33" s="20" t="s">
        <v>7</v>
      </c>
      <c r="C33" s="20" t="s">
        <v>840</v>
      </c>
      <c r="D33" s="20" t="s">
        <v>841</v>
      </c>
      <c r="E33" s="20" t="s">
        <v>842</v>
      </c>
      <c r="F33" s="20" t="s">
        <v>843</v>
      </c>
      <c r="H33" s="20" t="s">
        <v>5</v>
      </c>
      <c r="I33" s="20" t="s">
        <v>844</v>
      </c>
      <c r="J33" s="20" t="s">
        <v>841</v>
      </c>
      <c r="K33" s="20" t="s">
        <v>845</v>
      </c>
      <c r="L33" s="20" t="s">
        <v>846</v>
      </c>
    </row>
    <row r="34" customFormat="false" ht="12.75" hidden="false" customHeight="true" outlineLevel="0" collapsed="false">
      <c r="B34" s="22" t="s">
        <v>58</v>
      </c>
      <c r="C34" s="21" t="n">
        <v>31</v>
      </c>
      <c r="D34" s="21" t="s">
        <v>847</v>
      </c>
      <c r="E34" s="21" t="s">
        <v>848</v>
      </c>
      <c r="F34" s="21" t="s">
        <v>849</v>
      </c>
      <c r="H34" s="22" t="s">
        <v>118</v>
      </c>
      <c r="I34" s="21" t="n">
        <v>19</v>
      </c>
      <c r="J34" s="21" t="s">
        <v>850</v>
      </c>
      <c r="K34" s="21" t="s">
        <v>851</v>
      </c>
      <c r="L34" s="21" t="s">
        <v>852</v>
      </c>
    </row>
    <row r="35" customFormat="false" ht="12.75" hidden="false" customHeight="true" outlineLevel="0" collapsed="false">
      <c r="B35" s="24" t="s">
        <v>29</v>
      </c>
      <c r="C35" s="23" t="n">
        <v>17</v>
      </c>
      <c r="D35" s="23" t="s">
        <v>853</v>
      </c>
      <c r="E35" s="23" t="s">
        <v>854</v>
      </c>
      <c r="F35" s="23" t="s">
        <v>855</v>
      </c>
      <c r="H35" s="24" t="s">
        <v>266</v>
      </c>
      <c r="I35" s="23" t="n">
        <v>8</v>
      </c>
      <c r="J35" s="23" t="s">
        <v>856</v>
      </c>
      <c r="K35" s="23" t="s">
        <v>814</v>
      </c>
      <c r="L35" s="23" t="s">
        <v>857</v>
      </c>
    </row>
    <row r="36" customFormat="false" ht="12.75" hidden="false" customHeight="true" outlineLevel="0" collapsed="false">
      <c r="B36" s="22" t="s">
        <v>74</v>
      </c>
      <c r="C36" s="21" t="n">
        <v>7</v>
      </c>
      <c r="D36" s="21" t="s">
        <v>858</v>
      </c>
      <c r="E36" s="21" t="s">
        <v>859</v>
      </c>
      <c r="F36" s="21" t="s">
        <v>860</v>
      </c>
      <c r="H36" s="22" t="s">
        <v>253</v>
      </c>
      <c r="I36" s="21" t="n">
        <v>5</v>
      </c>
      <c r="J36" s="21" t="s">
        <v>861</v>
      </c>
      <c r="K36" s="21" t="s">
        <v>814</v>
      </c>
      <c r="L36" s="21" t="s">
        <v>862</v>
      </c>
    </row>
    <row r="37" customFormat="false" ht="12.75" hidden="false" customHeight="true" outlineLevel="0" collapsed="false">
      <c r="B37" s="24" t="s">
        <v>404</v>
      </c>
      <c r="C37" s="23" t="n">
        <v>5</v>
      </c>
      <c r="D37" s="23" t="s">
        <v>861</v>
      </c>
      <c r="E37" s="23" t="s">
        <v>863</v>
      </c>
      <c r="F37" s="23" t="s">
        <v>855</v>
      </c>
      <c r="H37" s="24" t="s">
        <v>639</v>
      </c>
      <c r="I37" s="23" t="n">
        <v>5</v>
      </c>
      <c r="J37" s="23" t="s">
        <v>861</v>
      </c>
      <c r="K37" s="23" t="s">
        <v>864</v>
      </c>
      <c r="L37" s="23" t="s">
        <v>865</v>
      </c>
    </row>
    <row r="38" customFormat="false" ht="12.75" hidden="false" customHeight="true" outlineLevel="0" collapsed="false">
      <c r="B38" s="22" t="s">
        <v>866</v>
      </c>
      <c r="C38" s="21" t="n">
        <v>4</v>
      </c>
      <c r="D38" s="21" t="s">
        <v>867</v>
      </c>
      <c r="E38" s="21" t="s">
        <v>868</v>
      </c>
      <c r="F38" s="21" t="s">
        <v>869</v>
      </c>
      <c r="H38" s="22" t="s">
        <v>695</v>
      </c>
      <c r="I38" s="21" t="n">
        <v>4</v>
      </c>
      <c r="J38" s="21" t="s">
        <v>867</v>
      </c>
      <c r="K38" s="21" t="s">
        <v>864</v>
      </c>
      <c r="L38" s="21" t="s">
        <v>870</v>
      </c>
    </row>
    <row r="39" customFormat="false" ht="9.75" hidden="false" customHeight="true" outlineLevel="0" collapsed="false">
      <c r="B39" s="24" t="s">
        <v>871</v>
      </c>
      <c r="C39" s="23" t="n">
        <v>1</v>
      </c>
      <c r="D39" s="23" t="s">
        <v>872</v>
      </c>
      <c r="E39" s="23" t="s">
        <v>873</v>
      </c>
      <c r="F39" s="23" t="s">
        <v>874</v>
      </c>
      <c r="H39" s="24" t="s">
        <v>875</v>
      </c>
      <c r="I39" s="23" t="n">
        <v>3</v>
      </c>
      <c r="J39" s="23" t="s">
        <v>876</v>
      </c>
      <c r="K39" s="23" t="s">
        <v>814</v>
      </c>
      <c r="L39" s="23" t="s">
        <v>877</v>
      </c>
    </row>
    <row r="40" customFormat="false" ht="15.75" hidden="false" customHeight="true" outlineLevel="0" collapsed="false">
      <c r="B40" s="22" t="s">
        <v>544</v>
      </c>
      <c r="C40" s="21" t="n">
        <v>1</v>
      </c>
      <c r="D40" s="21" t="s">
        <v>872</v>
      </c>
      <c r="E40" s="21" t="s">
        <v>878</v>
      </c>
      <c r="F40" s="21" t="s">
        <v>860</v>
      </c>
      <c r="H40" s="22" t="s">
        <v>127</v>
      </c>
      <c r="I40" s="21" t="n">
        <v>3</v>
      </c>
      <c r="J40" s="21" t="s">
        <v>876</v>
      </c>
      <c r="K40" s="21" t="s">
        <v>814</v>
      </c>
      <c r="L40" s="21" t="s">
        <v>879</v>
      </c>
    </row>
    <row r="41" customFormat="false" ht="15.75" hidden="false" customHeight="true" outlineLevel="0" collapsed="false">
      <c r="B41" s="24" t="s">
        <v>880</v>
      </c>
      <c r="C41" s="23" t="n">
        <v>1</v>
      </c>
      <c r="D41" s="23" t="s">
        <v>872</v>
      </c>
      <c r="E41" s="23" t="s">
        <v>881</v>
      </c>
      <c r="F41" s="23" t="s">
        <v>882</v>
      </c>
      <c r="H41" s="24" t="s">
        <v>98</v>
      </c>
      <c r="I41" s="23" t="n">
        <v>3</v>
      </c>
      <c r="J41" s="23" t="s">
        <v>876</v>
      </c>
      <c r="K41" s="23" t="s">
        <v>814</v>
      </c>
      <c r="L41" s="23" t="s">
        <v>883</v>
      </c>
    </row>
    <row r="42" customFormat="false" ht="12.75" hidden="false" customHeight="true" outlineLevel="0" collapsed="false">
      <c r="H42" s="22" t="s">
        <v>884</v>
      </c>
      <c r="I42" s="21" t="n">
        <v>2</v>
      </c>
      <c r="J42" s="21" t="s">
        <v>885</v>
      </c>
      <c r="K42" s="21" t="s">
        <v>886</v>
      </c>
      <c r="L42" s="21" t="s">
        <v>887</v>
      </c>
    </row>
    <row r="43" customFormat="false" ht="12.75" hidden="false" customHeight="true" outlineLevel="0" collapsed="false">
      <c r="H43" s="24" t="s">
        <v>888</v>
      </c>
      <c r="I43" s="23" t="n">
        <v>1</v>
      </c>
      <c r="J43" s="23" t="s">
        <v>872</v>
      </c>
      <c r="K43" s="23" t="s">
        <v>886</v>
      </c>
      <c r="L43" s="23" t="s">
        <v>889</v>
      </c>
    </row>
    <row r="44" customFormat="false" ht="12.75" hidden="false" customHeight="true" outlineLevel="0" collapsed="false"/>
    <row r="45" customFormat="false" ht="12.75" hidden="false" customHeight="true" outlineLevel="0" collapsed="false">
      <c r="B45" s="16" t="s">
        <v>890</v>
      </c>
      <c r="C45" s="16"/>
      <c r="D45" s="16"/>
      <c r="E45" s="16"/>
      <c r="F45" s="16"/>
      <c r="G45" s="16"/>
      <c r="H45" s="16" t="s">
        <v>891</v>
      </c>
      <c r="I45" s="16"/>
      <c r="J45" s="16"/>
      <c r="K45" s="16"/>
      <c r="L45" s="16"/>
      <c r="M45" s="16"/>
    </row>
    <row r="46" customFormat="false" ht="12.75" hidden="false" customHeight="true" outlineLevel="0" collapsed="false">
      <c r="B46" s="20" t="s">
        <v>892</v>
      </c>
      <c r="C46" s="20" t="s">
        <v>844</v>
      </c>
      <c r="D46" s="20" t="s">
        <v>893</v>
      </c>
      <c r="E46" s="20" t="s">
        <v>894</v>
      </c>
      <c r="H46" s="20" t="s">
        <v>895</v>
      </c>
      <c r="I46" s="20" t="s">
        <v>896</v>
      </c>
      <c r="J46" s="20" t="s">
        <v>897</v>
      </c>
    </row>
    <row r="47" customFormat="false" ht="12.75" hidden="false" customHeight="true" outlineLevel="0" collapsed="false">
      <c r="B47" s="24" t="s">
        <v>898</v>
      </c>
      <c r="C47" s="23" t="n">
        <v>2</v>
      </c>
      <c r="D47" s="23" t="s">
        <v>899</v>
      </c>
      <c r="E47" s="23" t="s">
        <v>900</v>
      </c>
      <c r="H47" s="24" t="s">
        <v>901</v>
      </c>
      <c r="I47" s="23" t="s">
        <v>902</v>
      </c>
      <c r="J47" s="23" t="s">
        <v>903</v>
      </c>
    </row>
    <row r="48" customFormat="false" ht="12.75" hidden="false" customHeight="true" outlineLevel="0" collapsed="false">
      <c r="B48" s="22" t="s">
        <v>904</v>
      </c>
      <c r="C48" s="21" t="n">
        <v>1</v>
      </c>
      <c r="D48" s="21" t="s">
        <v>905</v>
      </c>
      <c r="E48" s="21" t="s">
        <v>906</v>
      </c>
      <c r="H48" s="22" t="s">
        <v>907</v>
      </c>
      <c r="I48" s="21" t="s">
        <v>908</v>
      </c>
      <c r="J48" s="21" t="s">
        <v>909</v>
      </c>
    </row>
    <row r="49" customFormat="false" ht="12.75" hidden="false" customHeight="true" outlineLevel="0" collapsed="false">
      <c r="B49" s="24" t="s">
        <v>910</v>
      </c>
      <c r="C49" s="23" t="n">
        <v>8</v>
      </c>
      <c r="D49" s="23" t="s">
        <v>899</v>
      </c>
      <c r="E49" s="23" t="s">
        <v>911</v>
      </c>
      <c r="H49" s="24" t="s">
        <v>912</v>
      </c>
      <c r="I49" s="23" t="s">
        <v>913</v>
      </c>
      <c r="J49" s="23" t="s">
        <v>914</v>
      </c>
    </row>
    <row r="50" customFormat="false" ht="12.75" hidden="false" customHeight="true" outlineLevel="0" collapsed="false">
      <c r="B50" s="22" t="s">
        <v>915</v>
      </c>
      <c r="C50" s="21" t="n">
        <v>43</v>
      </c>
      <c r="D50" s="21" t="s">
        <v>916</v>
      </c>
      <c r="E50" s="21" t="s">
        <v>917</v>
      </c>
      <c r="H50" s="24" t="s">
        <v>912</v>
      </c>
      <c r="I50" s="23" t="s">
        <v>918</v>
      </c>
      <c r="J50" s="23" t="s">
        <v>919</v>
      </c>
    </row>
    <row r="51" customFormat="false" ht="7.5" hidden="false" customHeight="true" outlineLevel="0" collapsed="false">
      <c r="B51" s="24" t="s">
        <v>920</v>
      </c>
      <c r="C51" s="23" t="n">
        <v>0</v>
      </c>
      <c r="D51" s="23" t="s">
        <v>814</v>
      </c>
      <c r="E51" s="23" t="s">
        <v>921</v>
      </c>
      <c r="H51" s="22" t="s">
        <v>922</v>
      </c>
      <c r="I51" s="21" t="s">
        <v>923</v>
      </c>
      <c r="J51" s="21" t="s">
        <v>924</v>
      </c>
    </row>
    <row r="52" customFormat="false" ht="15.75" hidden="false" customHeight="true" outlineLevel="0" collapsed="false">
      <c r="B52" s="22" t="s">
        <v>27</v>
      </c>
      <c r="C52" s="21" t="n">
        <v>16</v>
      </c>
      <c r="D52" s="21" t="s">
        <v>814</v>
      </c>
      <c r="E52" s="21" t="s">
        <v>925</v>
      </c>
      <c r="H52" s="24" t="s">
        <v>926</v>
      </c>
      <c r="I52" s="23" t="s">
        <v>927</v>
      </c>
      <c r="J52" s="23" t="s">
        <v>928</v>
      </c>
    </row>
    <row r="53" customFormat="false" ht="13.5" hidden="false" customHeight="true" outlineLevel="0" collapsed="false">
      <c r="H53" s="22" t="s">
        <v>929</v>
      </c>
      <c r="I53" s="21" t="s">
        <v>930</v>
      </c>
      <c r="J53" s="21" t="s">
        <v>931</v>
      </c>
    </row>
    <row r="54" customFormat="false" ht="13.5" hidden="false" customHeight="true" outlineLevel="0" collapsed="false">
      <c r="H54" s="24" t="s">
        <v>932</v>
      </c>
      <c r="I54" s="23" t="s">
        <v>933</v>
      </c>
      <c r="J54" s="23" t="s">
        <v>934</v>
      </c>
    </row>
    <row r="55" customFormat="false" ht="13.5" hidden="false" customHeight="true" outlineLevel="0" collapsed="false">
      <c r="H55" s="22" t="s">
        <v>935</v>
      </c>
      <c r="I55" s="21" t="s">
        <v>936</v>
      </c>
      <c r="J55" s="21" t="s">
        <v>937</v>
      </c>
    </row>
    <row r="56" customFormat="false" ht="12.75" hidden="false" customHeight="true" outlineLevel="0" collapsed="false">
      <c r="H56" s="22" t="s">
        <v>938</v>
      </c>
      <c r="I56" s="21" t="s">
        <v>939</v>
      </c>
      <c r="J56" s="21" t="s">
        <v>940</v>
      </c>
    </row>
    <row r="58" customFormat="false" ht="79.85" hidden="false" customHeight="false" outlineLevel="0" collapsed="false">
      <c r="B58" s="27" t="s">
        <v>941</v>
      </c>
    </row>
    <row r="59" customFormat="false" ht="15" hidden="false" customHeight="true" outlineLevel="0" collapsed="false">
      <c r="B59" s="28" t="s">
        <v>942</v>
      </c>
      <c r="C59" s="28"/>
      <c r="D59" s="28"/>
      <c r="E59" s="28"/>
      <c r="F59" s="28"/>
      <c r="G59" s="28"/>
      <c r="H59" s="28"/>
      <c r="I59" s="28"/>
      <c r="J59" s="28"/>
      <c r="K59" s="28"/>
      <c r="L59" s="28"/>
      <c r="M59" s="28"/>
    </row>
    <row r="60" customFormat="false" ht="15" hidden="false" customHeight="false" outlineLevel="0" collapsed="false">
      <c r="B60" s="28"/>
      <c r="C60" s="28"/>
      <c r="D60" s="28"/>
      <c r="E60" s="28"/>
      <c r="F60" s="28"/>
      <c r="G60" s="28"/>
      <c r="H60" s="28"/>
      <c r="I60" s="28"/>
      <c r="J60" s="28"/>
      <c r="K60" s="28"/>
      <c r="L60" s="28"/>
      <c r="M60" s="28"/>
    </row>
    <row r="61" customFormat="false" ht="15" hidden="false" customHeight="false" outlineLevel="0" collapsed="false">
      <c r="B61" s="28"/>
      <c r="C61" s="28"/>
      <c r="D61" s="28"/>
      <c r="E61" s="28"/>
      <c r="F61" s="28"/>
      <c r="G61" s="28"/>
      <c r="H61" s="28"/>
      <c r="I61" s="28"/>
      <c r="J61" s="28"/>
      <c r="K61" s="28"/>
      <c r="L61" s="28"/>
      <c r="M61" s="28"/>
    </row>
  </sheetData>
  <mergeCells count="11">
    <mergeCell ref="B1:M1"/>
    <mergeCell ref="B2:M2"/>
    <mergeCell ref="B4:M4"/>
    <mergeCell ref="B11:G11"/>
    <mergeCell ref="H11:M11"/>
    <mergeCell ref="B30:F30"/>
    <mergeCell ref="B32:G32"/>
    <mergeCell ref="H32:M32"/>
    <mergeCell ref="B45:G45"/>
    <mergeCell ref="H45:M45"/>
    <mergeCell ref="B59:M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4" t="s">
        <v>943</v>
      </c>
      <c r="C1" s="14"/>
      <c r="D1" s="14"/>
      <c r="E1" s="14"/>
      <c r="F1" s="14"/>
      <c r="G1" s="14"/>
      <c r="H1" s="14"/>
      <c r="I1" s="14"/>
      <c r="J1" s="14"/>
      <c r="K1" s="14"/>
      <c r="L1" s="14"/>
    </row>
    <row r="2" customFormat="false" ht="13.5" hidden="false" customHeight="true" outlineLevel="0" collapsed="false">
      <c r="B2" s="15" t="s">
        <v>944</v>
      </c>
      <c r="C2" s="15"/>
      <c r="D2" s="15"/>
      <c r="E2" s="15"/>
      <c r="F2" s="15"/>
      <c r="G2" s="15"/>
      <c r="H2" s="15"/>
      <c r="I2" s="15"/>
      <c r="J2" s="15"/>
      <c r="K2" s="15"/>
      <c r="L2" s="15"/>
    </row>
    <row r="3" customFormat="false" ht="6" hidden="false" customHeight="true" outlineLevel="0" collapsed="false"/>
    <row r="4" customFormat="false" ht="15.75" hidden="false" customHeight="true" outlineLevel="0" collapsed="false">
      <c r="B4" s="16" t="s">
        <v>945</v>
      </c>
      <c r="C4" s="16"/>
      <c r="D4" s="16"/>
      <c r="E4" s="16"/>
      <c r="F4" s="16"/>
      <c r="G4" s="16"/>
      <c r="H4" s="16"/>
      <c r="I4" s="16"/>
      <c r="J4" s="16"/>
      <c r="K4" s="16"/>
      <c r="L4" s="16"/>
    </row>
    <row r="5" customFormat="false" ht="13.5" hidden="false" customHeight="true" outlineLevel="0" collapsed="false">
      <c r="B5" s="28" t="s">
        <v>946</v>
      </c>
      <c r="C5" s="28"/>
      <c r="D5" s="28"/>
      <c r="E5" s="28"/>
      <c r="F5" s="28"/>
      <c r="G5" s="28"/>
      <c r="H5" s="28"/>
      <c r="I5" s="28"/>
      <c r="J5" s="28"/>
      <c r="K5" s="28"/>
      <c r="L5" s="28"/>
    </row>
    <row r="6" customFormat="false" ht="13.5" hidden="false" customHeight="true" outlineLevel="0" collapsed="false">
      <c r="B6" s="28"/>
      <c r="C6" s="28"/>
      <c r="D6" s="28"/>
      <c r="E6" s="28"/>
      <c r="F6" s="28"/>
      <c r="G6" s="28"/>
      <c r="H6" s="28"/>
      <c r="I6" s="28"/>
      <c r="J6" s="28"/>
      <c r="K6" s="28"/>
      <c r="L6" s="28"/>
    </row>
    <row r="7" customFormat="false" ht="13.5" hidden="false" customHeight="true" outlineLevel="0" collapsed="false">
      <c r="B7" s="28"/>
      <c r="C7" s="28"/>
      <c r="D7" s="28"/>
      <c r="E7" s="28"/>
      <c r="F7" s="28"/>
      <c r="G7" s="28"/>
      <c r="H7" s="28"/>
      <c r="I7" s="28"/>
      <c r="J7" s="28"/>
      <c r="K7" s="28"/>
      <c r="L7" s="28"/>
    </row>
    <row r="9" customFormat="false" ht="6" hidden="false" customHeight="true" outlineLevel="0" collapsed="false"/>
    <row r="10" customFormat="false" ht="15.75" hidden="false" customHeight="true" outlineLevel="0" collapsed="false">
      <c r="B10" s="16" t="s">
        <v>947</v>
      </c>
      <c r="C10" s="16"/>
      <c r="D10" s="16"/>
      <c r="E10" s="16"/>
      <c r="F10" s="16"/>
      <c r="G10" s="16"/>
      <c r="H10" s="16" t="s">
        <v>948</v>
      </c>
      <c r="I10" s="16"/>
      <c r="J10" s="16"/>
      <c r="K10" s="16"/>
      <c r="L10" s="16"/>
    </row>
    <row r="11" customFormat="false" ht="15.75" hidden="false" customHeight="true" outlineLevel="0" collapsed="false">
      <c r="B11" s="20" t="s">
        <v>7</v>
      </c>
      <c r="C11" s="20" t="s">
        <v>844</v>
      </c>
      <c r="D11" s="20" t="s">
        <v>949</v>
      </c>
      <c r="E11" s="20" t="s">
        <v>842</v>
      </c>
      <c r="F11" s="20" t="s">
        <v>843</v>
      </c>
      <c r="H11" s="20" t="s">
        <v>950</v>
      </c>
      <c r="I11" s="20" t="s">
        <v>844</v>
      </c>
      <c r="J11" s="20" t="s">
        <v>951</v>
      </c>
    </row>
    <row r="12" customFormat="false" ht="12.75" hidden="false" customHeight="true" outlineLevel="0" collapsed="false">
      <c r="B12" s="24" t="s">
        <v>58</v>
      </c>
      <c r="C12" s="23" t="s">
        <v>952</v>
      </c>
      <c r="D12" s="23" t="s">
        <v>953</v>
      </c>
      <c r="E12" s="23" t="s">
        <v>954</v>
      </c>
      <c r="F12" s="23" t="s">
        <v>955</v>
      </c>
      <c r="H12" s="24" t="s">
        <v>956</v>
      </c>
      <c r="I12" s="23" t="s">
        <v>957</v>
      </c>
      <c r="J12" s="23" t="s">
        <v>958</v>
      </c>
    </row>
    <row r="13" customFormat="false" ht="12.75" hidden="false" customHeight="true" outlineLevel="0" collapsed="false">
      <c r="B13" s="22" t="s">
        <v>29</v>
      </c>
      <c r="C13" s="21" t="s">
        <v>959</v>
      </c>
      <c r="D13" s="21" t="s">
        <v>853</v>
      </c>
      <c r="E13" s="21" t="s">
        <v>960</v>
      </c>
      <c r="F13" s="21" t="s">
        <v>961</v>
      </c>
      <c r="H13" s="22" t="s">
        <v>962</v>
      </c>
      <c r="I13" s="21" t="s">
        <v>963</v>
      </c>
      <c r="J13" s="21" t="s">
        <v>964</v>
      </c>
    </row>
    <row r="14" customFormat="false" ht="12.75" hidden="false" customHeight="true" outlineLevel="0" collapsed="false">
      <c r="B14" s="24" t="s">
        <v>404</v>
      </c>
      <c r="C14" s="23" t="s">
        <v>965</v>
      </c>
      <c r="D14" s="23" t="s">
        <v>966</v>
      </c>
      <c r="E14" s="23" t="s">
        <v>863</v>
      </c>
      <c r="F14" s="23" t="s">
        <v>967</v>
      </c>
      <c r="H14" s="24" t="s">
        <v>968</v>
      </c>
      <c r="I14" s="23" t="s">
        <v>969</v>
      </c>
      <c r="J14" s="23" t="s">
        <v>970</v>
      </c>
    </row>
    <row r="15" customFormat="false" ht="12.75" hidden="false" customHeight="true" outlineLevel="0" collapsed="false">
      <c r="B15" s="22" t="s">
        <v>74</v>
      </c>
      <c r="C15" s="21" t="s">
        <v>965</v>
      </c>
      <c r="D15" s="21" t="s">
        <v>966</v>
      </c>
      <c r="E15" s="21" t="s">
        <v>971</v>
      </c>
      <c r="F15" s="21" t="s">
        <v>972</v>
      </c>
      <c r="H15" s="22" t="s">
        <v>973</v>
      </c>
      <c r="I15" s="21" t="s">
        <v>974</v>
      </c>
      <c r="J15" s="21" t="s">
        <v>975</v>
      </c>
    </row>
    <row r="16" customFormat="false" ht="12.75" hidden="false" customHeight="true" outlineLevel="0" collapsed="false">
      <c r="B16" s="24" t="s">
        <v>866</v>
      </c>
      <c r="C16" s="23" t="s">
        <v>974</v>
      </c>
      <c r="D16" s="23" t="s">
        <v>867</v>
      </c>
      <c r="E16" s="23" t="s">
        <v>976</v>
      </c>
      <c r="F16" s="23" t="s">
        <v>869</v>
      </c>
      <c r="H16" s="24" t="s">
        <v>977</v>
      </c>
      <c r="I16" s="23" t="s">
        <v>969</v>
      </c>
      <c r="J16" s="23" t="s">
        <v>978</v>
      </c>
    </row>
    <row r="17" customFormat="false" ht="12.75" hidden="false" customHeight="true" outlineLevel="0" collapsed="false">
      <c r="B17" s="22" t="s">
        <v>544</v>
      </c>
      <c r="C17" s="21" t="s">
        <v>957</v>
      </c>
      <c r="D17" s="21" t="s">
        <v>979</v>
      </c>
      <c r="E17" s="21" t="s">
        <v>980</v>
      </c>
      <c r="F17" s="21" t="s">
        <v>981</v>
      </c>
      <c r="H17" s="22" t="s">
        <v>982</v>
      </c>
      <c r="I17" s="21" t="s">
        <v>965</v>
      </c>
      <c r="J17" s="21" t="s">
        <v>983</v>
      </c>
    </row>
    <row r="18" customFormat="false" ht="12.75" hidden="false" customHeight="true" outlineLevel="0" collapsed="false">
      <c r="B18" s="24" t="s">
        <v>880</v>
      </c>
      <c r="C18" s="23" t="s">
        <v>957</v>
      </c>
      <c r="D18" s="23" t="s">
        <v>979</v>
      </c>
      <c r="E18" s="23" t="s">
        <v>984</v>
      </c>
      <c r="F18" s="23" t="s">
        <v>985</v>
      </c>
      <c r="H18" s="24" t="s">
        <v>986</v>
      </c>
      <c r="I18" s="23" t="s">
        <v>957</v>
      </c>
      <c r="J18" s="23" t="s">
        <v>987</v>
      </c>
    </row>
    <row r="19" customFormat="false" ht="12.75" hidden="false" customHeight="true" outlineLevel="0" collapsed="false">
      <c r="B19" s="22" t="s">
        <v>40</v>
      </c>
      <c r="C19" s="21" t="s">
        <v>957</v>
      </c>
      <c r="D19" s="21" t="s">
        <v>979</v>
      </c>
      <c r="E19" s="21" t="s">
        <v>988</v>
      </c>
      <c r="F19" s="21" t="s">
        <v>989</v>
      </c>
      <c r="H19" s="22" t="s">
        <v>990</v>
      </c>
      <c r="I19" s="21" t="s">
        <v>957</v>
      </c>
      <c r="J19" s="21" t="s">
        <v>991</v>
      </c>
    </row>
    <row r="20" customFormat="false" ht="7.5" hidden="false" customHeight="true" outlineLevel="0" collapsed="false"/>
    <row r="21" customFormat="false" ht="15.75" hidden="false" customHeight="true" outlineLevel="0" collapsed="false">
      <c r="B21" s="16" t="s">
        <v>992</v>
      </c>
      <c r="C21" s="16"/>
      <c r="D21" s="16"/>
      <c r="E21" s="16"/>
      <c r="F21" s="16"/>
      <c r="G21" s="16"/>
      <c r="H21" s="16" t="s">
        <v>993</v>
      </c>
      <c r="I21" s="16"/>
      <c r="J21" s="16"/>
      <c r="K21" s="16"/>
      <c r="L21" s="16"/>
    </row>
    <row r="22" customFormat="false" ht="15.75" hidden="false" customHeight="true" outlineLevel="0" collapsed="false">
      <c r="B22" s="20" t="s">
        <v>7</v>
      </c>
      <c r="C22" s="20" t="s">
        <v>793</v>
      </c>
      <c r="D22" s="20" t="s">
        <v>994</v>
      </c>
      <c r="E22" s="20" t="s">
        <v>995</v>
      </c>
      <c r="H22" s="20" t="s">
        <v>996</v>
      </c>
      <c r="I22" s="20" t="s">
        <v>997</v>
      </c>
      <c r="J22" s="20" t="s">
        <v>998</v>
      </c>
      <c r="K22" s="20" t="s">
        <v>894</v>
      </c>
    </row>
    <row r="23" customFormat="false" ht="12.75" hidden="false" customHeight="true" outlineLevel="0" collapsed="false">
      <c r="B23" s="22" t="s">
        <v>999</v>
      </c>
      <c r="C23" s="21" t="s">
        <v>1000</v>
      </c>
      <c r="D23" s="21" t="s">
        <v>1001</v>
      </c>
      <c r="E23" s="21" t="s">
        <v>1002</v>
      </c>
      <c r="H23" s="22" t="s">
        <v>898</v>
      </c>
      <c r="I23" s="21" t="s">
        <v>957</v>
      </c>
      <c r="J23" s="21" t="s">
        <v>1003</v>
      </c>
      <c r="K23" s="21" t="s">
        <v>1004</v>
      </c>
    </row>
    <row r="24" customFormat="false" ht="12.75" hidden="false" customHeight="true" outlineLevel="0" collapsed="false">
      <c r="B24" s="24" t="s">
        <v>404</v>
      </c>
      <c r="C24" s="23" t="s">
        <v>1005</v>
      </c>
      <c r="D24" s="23" t="s">
        <v>1006</v>
      </c>
      <c r="E24" s="23" t="s">
        <v>1007</v>
      </c>
      <c r="H24" s="24" t="s">
        <v>904</v>
      </c>
      <c r="I24" s="23" t="s">
        <v>957</v>
      </c>
      <c r="J24" s="23" t="s">
        <v>905</v>
      </c>
      <c r="K24" s="23" t="s">
        <v>1008</v>
      </c>
    </row>
    <row r="25" customFormat="false" ht="12.75" hidden="false" customHeight="true" outlineLevel="0" collapsed="false">
      <c r="B25" s="22" t="s">
        <v>404</v>
      </c>
      <c r="C25" s="21" t="s">
        <v>1009</v>
      </c>
      <c r="D25" s="21" t="s">
        <v>1010</v>
      </c>
      <c r="E25" s="21" t="s">
        <v>1011</v>
      </c>
      <c r="H25" s="22" t="s">
        <v>910</v>
      </c>
      <c r="I25" s="21" t="s">
        <v>969</v>
      </c>
      <c r="J25" s="21" t="s">
        <v>899</v>
      </c>
      <c r="K25" s="21" t="s">
        <v>1012</v>
      </c>
    </row>
    <row r="26" customFormat="false" ht="12.75" hidden="false" customHeight="true" outlineLevel="0" collapsed="false">
      <c r="B26" s="24" t="s">
        <v>29</v>
      </c>
      <c r="C26" s="23" t="s">
        <v>1013</v>
      </c>
      <c r="D26" s="23" t="s">
        <v>1014</v>
      </c>
      <c r="E26" s="23" t="s">
        <v>1007</v>
      </c>
      <c r="H26" s="24" t="s">
        <v>915</v>
      </c>
      <c r="I26" s="23" t="s">
        <v>1015</v>
      </c>
      <c r="J26" s="23" t="s">
        <v>916</v>
      </c>
      <c r="K26" s="23" t="s">
        <v>1016</v>
      </c>
    </row>
    <row r="27" customFormat="false" ht="12.75" hidden="false" customHeight="true" outlineLevel="0" collapsed="false">
      <c r="B27" s="22" t="s">
        <v>29</v>
      </c>
      <c r="C27" s="21" t="s">
        <v>1017</v>
      </c>
      <c r="D27" s="21" t="s">
        <v>1018</v>
      </c>
      <c r="E27" s="21" t="s">
        <v>1019</v>
      </c>
      <c r="H27" s="22" t="s">
        <v>920</v>
      </c>
      <c r="I27" s="21" t="s">
        <v>1020</v>
      </c>
      <c r="J27" s="21" t="s">
        <v>814</v>
      </c>
      <c r="K27" s="21" t="s">
        <v>1021</v>
      </c>
    </row>
    <row r="28" customFormat="false" ht="12.75" hidden="false" customHeight="true" outlineLevel="0" collapsed="false">
      <c r="B28" s="26" t="s">
        <v>1022</v>
      </c>
      <c r="C28" s="26"/>
      <c r="D28" s="26"/>
      <c r="E28" s="26"/>
      <c r="F28" s="26"/>
      <c r="H28" s="24" t="s">
        <v>27</v>
      </c>
      <c r="I28" s="23" t="s">
        <v>1023</v>
      </c>
      <c r="J28" s="23" t="s">
        <v>814</v>
      </c>
      <c r="K28" s="23" t="s">
        <v>1024</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4" t="s">
        <v>1025</v>
      </c>
      <c r="C1" s="14"/>
      <c r="D1" s="14"/>
      <c r="E1" s="14"/>
      <c r="F1" s="14"/>
      <c r="G1" s="14"/>
      <c r="H1" s="14"/>
      <c r="I1" s="14"/>
      <c r="J1" s="14"/>
      <c r="K1" s="14"/>
      <c r="L1" s="14"/>
    </row>
    <row r="2" customFormat="false" ht="13.5" hidden="false" customHeight="true" outlineLevel="0" collapsed="false">
      <c r="B2" s="15" t="s">
        <v>1026</v>
      </c>
      <c r="C2" s="15"/>
      <c r="D2" s="15"/>
      <c r="E2" s="15"/>
      <c r="F2" s="15"/>
      <c r="G2" s="15"/>
      <c r="H2" s="15"/>
      <c r="I2" s="15"/>
      <c r="J2" s="15"/>
      <c r="K2" s="15"/>
      <c r="L2" s="15"/>
    </row>
    <row r="3" customFormat="false" ht="6" hidden="false" customHeight="true" outlineLevel="0" collapsed="false"/>
    <row r="4" customFormat="false" ht="15.75" hidden="false" customHeight="true" outlineLevel="0" collapsed="false">
      <c r="B4" s="16" t="s">
        <v>1027</v>
      </c>
      <c r="C4" s="16"/>
      <c r="D4" s="16"/>
      <c r="E4" s="16"/>
      <c r="F4" s="16"/>
      <c r="G4" s="16"/>
      <c r="H4" s="16" t="s">
        <v>1028</v>
      </c>
      <c r="I4" s="16"/>
      <c r="J4" s="16"/>
      <c r="K4" s="16"/>
      <c r="L4" s="16"/>
    </row>
    <row r="5" customFormat="false" ht="15.75" hidden="false" customHeight="true" outlineLevel="0" collapsed="false">
      <c r="B5" s="20" t="s">
        <v>5</v>
      </c>
      <c r="C5" s="20" t="s">
        <v>844</v>
      </c>
      <c r="D5" s="20" t="s">
        <v>1029</v>
      </c>
      <c r="E5" s="20" t="s">
        <v>845</v>
      </c>
      <c r="F5" s="20" t="s">
        <v>1030</v>
      </c>
      <c r="H5" s="20" t="s">
        <v>1031</v>
      </c>
      <c r="I5" s="20" t="s">
        <v>1032</v>
      </c>
    </row>
    <row r="6" customFormat="false" ht="12.75" hidden="false" customHeight="true" outlineLevel="0" collapsed="false">
      <c r="B6" s="24" t="s">
        <v>118</v>
      </c>
      <c r="C6" s="23" t="n">
        <f aca="false">COUNTIF('Coffee Audit'!F2:F2000,"*Colombia*")</f>
        <v>19</v>
      </c>
      <c r="D6" s="23" t="s">
        <v>1033</v>
      </c>
      <c r="E6" s="23" t="n">
        <f aca="false">COUNTIF('Coffee Audit'!G2:G2000,"*Gesha*")</f>
        <v>10</v>
      </c>
      <c r="F6" s="23" t="s">
        <v>1034</v>
      </c>
      <c r="H6" s="24" t="s">
        <v>1035</v>
      </c>
      <c r="I6" s="29" t="n">
        <f aca="false">COUNTIF('Coffee Audit'!W2:W2000,"⭐ GESHA")</f>
        <v>17</v>
      </c>
    </row>
    <row r="7" customFormat="false" ht="12.75" hidden="false" customHeight="true" outlineLevel="0" collapsed="false">
      <c r="B7" s="22" t="s">
        <v>266</v>
      </c>
      <c r="C7" s="21" t="n">
        <f aca="false">COUNTIF('Coffee Audit'!F2:F2000,"*Ethiopia*")</f>
        <v>8</v>
      </c>
      <c r="D7" s="21" t="s">
        <v>1036</v>
      </c>
      <c r="E7" s="21" t="s">
        <v>814</v>
      </c>
      <c r="F7" s="21" t="s">
        <v>857</v>
      </c>
      <c r="H7" s="22" t="s">
        <v>1037</v>
      </c>
      <c r="I7" s="30" t="n">
        <f aca="false">SUMPRODUCT(('Coffee Audit'!W2:W2000="⭐ GESHA")*(ISNUMBER(SEARCH("washed",'Coffee Audit'!H2:H2000))))</f>
        <v>9</v>
      </c>
    </row>
    <row r="8" customFormat="false" ht="12.75" hidden="false" customHeight="true" outlineLevel="0" collapsed="false">
      <c r="B8" s="24" t="s">
        <v>253</v>
      </c>
      <c r="C8" s="23" t="n">
        <f aca="false">COUNTIF('Coffee Audit'!F2:F2000,"*Brazil*")</f>
        <v>5</v>
      </c>
      <c r="D8" s="23" t="s">
        <v>966</v>
      </c>
      <c r="E8" s="23" t="s">
        <v>814</v>
      </c>
      <c r="F8" s="23" t="s">
        <v>1038</v>
      </c>
      <c r="H8" s="24" t="s">
        <v>1039</v>
      </c>
      <c r="I8" s="29" t="n">
        <f aca="false">SUMPRODUCT(('Coffee Audit'!W2:W2000="⭐ GESHA")*(ISNUMBER(SEARCH("honey",'Coffee Audit'!H2:H2000))))</f>
        <v>3</v>
      </c>
    </row>
    <row r="9" customFormat="false" ht="12.75" hidden="false" customHeight="true" outlineLevel="0" collapsed="false">
      <c r="B9" s="22" t="s">
        <v>98</v>
      </c>
      <c r="C9" s="21" t="n">
        <f aca="false">COUNTIF('Coffee Audit'!F2:F2000,"*Honduras*")</f>
        <v>3</v>
      </c>
      <c r="D9" s="21" t="s">
        <v>867</v>
      </c>
      <c r="E9" s="21" t="n">
        <f aca="false">COUNTIF('Coffee Audit'!G2:G2000,"*Gesha*")</f>
        <v>10</v>
      </c>
      <c r="F9" s="21" t="s">
        <v>1040</v>
      </c>
      <c r="H9" s="22" t="s">
        <v>1041</v>
      </c>
      <c r="I9" s="30" t="n">
        <f aca="false">SUMPRODUCT(('Coffee Audit'!W2:W2000="⭐ GESHA")*(ISNUMBER(SEARCH("natural",'Coffee Audit'!H2:H2000))))</f>
        <v>5</v>
      </c>
    </row>
    <row r="10" customFormat="false" ht="12.75" hidden="false" customHeight="true" outlineLevel="0" collapsed="false">
      <c r="B10" s="24" t="s">
        <v>875</v>
      </c>
      <c r="C10" s="23" t="n">
        <f aca="false">COUNTIF('Coffee Audit'!F2:F2000,"*Indonesia*")</f>
        <v>3</v>
      </c>
      <c r="D10" s="23" t="s">
        <v>867</v>
      </c>
      <c r="E10" s="23" t="s">
        <v>814</v>
      </c>
      <c r="F10" s="23" t="s">
        <v>877</v>
      </c>
      <c r="H10" s="24" t="s">
        <v>1042</v>
      </c>
      <c r="I10" s="29" t="s">
        <v>1043</v>
      </c>
    </row>
    <row r="11" customFormat="false" ht="12.75" hidden="false" customHeight="true" outlineLevel="0" collapsed="false">
      <c r="B11" s="22" t="s">
        <v>639</v>
      </c>
      <c r="C11" s="21" t="n">
        <f aca="false">COUNTIF('Coffee Audit'!F2:F2000,"*Peru*")</f>
        <v>5</v>
      </c>
      <c r="D11" s="21" t="s">
        <v>867</v>
      </c>
      <c r="E11" s="21" t="s">
        <v>1044</v>
      </c>
      <c r="F11" s="21" t="s">
        <v>1045</v>
      </c>
      <c r="H11" s="22" t="s">
        <v>1046</v>
      </c>
      <c r="I11" s="30" t="s">
        <v>1047</v>
      </c>
    </row>
    <row r="12" customFormat="false" ht="12.75" hidden="false" customHeight="true" outlineLevel="0" collapsed="false">
      <c r="B12" s="24" t="s">
        <v>127</v>
      </c>
      <c r="C12" s="23" t="n">
        <f aca="false">COUNTIF('Coffee Audit'!F2:F2000,"*Kenya*")</f>
        <v>3</v>
      </c>
      <c r="D12" s="23" t="s">
        <v>876</v>
      </c>
      <c r="E12" s="23" t="s">
        <v>814</v>
      </c>
      <c r="F12" s="23" t="s">
        <v>1048</v>
      </c>
      <c r="H12" s="24" t="s">
        <v>1049</v>
      </c>
      <c r="I12" s="29" t="s">
        <v>1050</v>
      </c>
    </row>
    <row r="13" customFormat="false" ht="12.75" hidden="false" customHeight="true" outlineLevel="0" collapsed="false">
      <c r="B13" s="22" t="s">
        <v>695</v>
      </c>
      <c r="C13" s="21" t="n">
        <f aca="false">COUNTIF('Coffee Audit'!F2:F2000,"*Panama*")</f>
        <v>4</v>
      </c>
      <c r="D13" s="21" t="s">
        <v>876</v>
      </c>
      <c r="E13" s="21" t="s">
        <v>1044</v>
      </c>
      <c r="F13" s="21" t="s">
        <v>1051</v>
      </c>
      <c r="H13" s="22" t="s">
        <v>1052</v>
      </c>
      <c r="I13" s="30" t="s">
        <v>1053</v>
      </c>
    </row>
    <row r="14" customFormat="false" ht="12.75" hidden="false" customHeight="true" outlineLevel="0" collapsed="false">
      <c r="B14" s="24" t="s">
        <v>135</v>
      </c>
      <c r="C14" s="23" t="n">
        <f aca="false">COUNTIF('Coffee Audit'!F2:F2000,"*Nicaragua*")</f>
        <v>2</v>
      </c>
      <c r="D14" s="23" t="s">
        <v>876</v>
      </c>
      <c r="E14" s="23" t="s">
        <v>814</v>
      </c>
      <c r="F14" s="23" t="s">
        <v>1054</v>
      </c>
      <c r="H14" s="24" t="s">
        <v>1055</v>
      </c>
      <c r="I14" s="29" t="s">
        <v>1056</v>
      </c>
    </row>
    <row r="15" customFormat="false" ht="12.75" hidden="false" customHeight="true" outlineLevel="0" collapsed="false">
      <c r="B15" s="22" t="s">
        <v>543</v>
      </c>
      <c r="C15" s="21" t="n">
        <f aca="false">COUNTIF('Coffee Audit'!F2:F2000,"*Bolivia*")</f>
        <v>2</v>
      </c>
      <c r="D15" s="21" t="s">
        <v>885</v>
      </c>
      <c r="E15" s="21" t="s">
        <v>814</v>
      </c>
      <c r="F15" s="21" t="s">
        <v>1057</v>
      </c>
      <c r="H15" s="22" t="s">
        <v>1058</v>
      </c>
      <c r="I15" s="30" t="s">
        <v>1059</v>
      </c>
    </row>
    <row r="16" customFormat="false" ht="12.75" hidden="false" customHeight="true" outlineLevel="0" collapsed="false">
      <c r="B16" s="24" t="s">
        <v>888</v>
      </c>
      <c r="C16" s="23" t="n">
        <f aca="false">COUNTIF('Coffee Audit'!F2:F2000,"*Ecuador*")</f>
        <v>1</v>
      </c>
      <c r="D16" s="23" t="s">
        <v>979</v>
      </c>
      <c r="E16" s="23" t="s">
        <v>886</v>
      </c>
      <c r="F16" s="23" t="s">
        <v>1060</v>
      </c>
      <c r="H16" s="24" t="s">
        <v>1061</v>
      </c>
      <c r="I16" s="29" t="s">
        <v>1062</v>
      </c>
    </row>
    <row r="17" customFormat="false" ht="12.75" hidden="false" customHeight="true" outlineLevel="0" collapsed="false">
      <c r="B17" s="22" t="s">
        <v>73</v>
      </c>
      <c r="C17" s="21" t="n">
        <f aca="false">COUNTIF('Coffee Audit'!F2:F2000,"*India*")</f>
        <v>3</v>
      </c>
      <c r="D17" s="21" t="s">
        <v>876</v>
      </c>
      <c r="E17" s="21" t="s">
        <v>814</v>
      </c>
      <c r="F17" s="21" t="s">
        <v>1063</v>
      </c>
    </row>
    <row r="18" customFormat="false" ht="12.75" hidden="false" customHeight="true" outlineLevel="0" collapsed="false">
      <c r="B18" s="24" t="s">
        <v>1064</v>
      </c>
      <c r="C18" s="23" t="n">
        <f aca="false">COUNTIF('Coffee Audit'!F2:F2000,"*Malaysia*")</f>
        <v>1</v>
      </c>
      <c r="D18" s="23" t="s">
        <v>979</v>
      </c>
      <c r="E18" s="23" t="s">
        <v>814</v>
      </c>
      <c r="F18" s="23" t="s">
        <v>1065</v>
      </c>
    </row>
    <row r="19" customFormat="false" ht="12.75" hidden="false" customHeight="true" outlineLevel="0" collapsed="false">
      <c r="B19" s="22" t="s">
        <v>1066</v>
      </c>
      <c r="C19" s="21" t="n">
        <f aca="false">COUNTIF('Coffee Audit'!F2:F2000,"*China*")</f>
        <v>1</v>
      </c>
      <c r="D19" s="21" t="s">
        <v>979</v>
      </c>
      <c r="E19" s="21" t="s">
        <v>814</v>
      </c>
      <c r="F19" s="21" t="s">
        <v>1067</v>
      </c>
    </row>
    <row r="20" customFormat="false" ht="12.75" hidden="false" customHeight="true" outlineLevel="0" collapsed="false">
      <c r="B20" s="24" t="s">
        <v>395</v>
      </c>
      <c r="C20" s="23" t="n">
        <f aca="false">COUNTIF('Coffee Audit'!F2:F2000,"*Rwanda*")</f>
        <v>2</v>
      </c>
      <c r="D20" s="23" t="s">
        <v>979</v>
      </c>
      <c r="E20" s="23" t="s">
        <v>814</v>
      </c>
      <c r="F20" s="23" t="s">
        <v>1068</v>
      </c>
    </row>
    <row r="21" customFormat="false" ht="12.75" hidden="false" customHeight="true" outlineLevel="0" collapsed="false">
      <c r="B21" s="22" t="s">
        <v>1069</v>
      </c>
      <c r="C21" s="21" t="n">
        <f aca="false">COUNTIF('Coffee Audit'!F2:F2000,"*Myanmar*")</f>
        <v>1</v>
      </c>
      <c r="D21" s="21" t="s">
        <v>979</v>
      </c>
      <c r="E21" s="21" t="s">
        <v>814</v>
      </c>
      <c r="F21" s="21" t="s">
        <v>1070</v>
      </c>
    </row>
    <row r="22" customFormat="false" ht="12.75" hidden="false" customHeight="true" outlineLevel="0" collapsed="false">
      <c r="B22" s="24" t="s">
        <v>90</v>
      </c>
      <c r="C22" s="23" t="n">
        <f aca="false">COUNTIF('Coffee Audit'!F2:F2000,"*Salvador*")</f>
        <v>1</v>
      </c>
      <c r="D22" s="23" t="s">
        <v>979</v>
      </c>
      <c r="E22" s="23" t="s">
        <v>814</v>
      </c>
      <c r="F22" s="23" t="s">
        <v>1071</v>
      </c>
    </row>
    <row r="23" customFormat="false" ht="7.5" hidden="false" customHeight="true" outlineLevel="0" collapsed="false"/>
    <row r="24" customFormat="false" ht="15.75" hidden="false" customHeight="true" outlineLevel="0" collapsed="false">
      <c r="B24" s="16" t="s">
        <v>1072</v>
      </c>
      <c r="C24" s="16"/>
      <c r="D24" s="16"/>
      <c r="E24" s="16"/>
      <c r="F24" s="16"/>
      <c r="G24" s="16"/>
      <c r="H24" s="16"/>
      <c r="I24" s="16"/>
      <c r="J24" s="16"/>
      <c r="K24" s="16"/>
      <c r="L24" s="16"/>
    </row>
    <row r="25" customFormat="false" ht="15.75" hidden="false" customHeight="true" outlineLevel="0" collapsed="false">
      <c r="B25" s="20" t="s">
        <v>6</v>
      </c>
      <c r="C25" s="20" t="s">
        <v>998</v>
      </c>
      <c r="D25" s="20" t="s">
        <v>1073</v>
      </c>
      <c r="E25" s="20" t="s">
        <v>1074</v>
      </c>
      <c r="F25" s="20" t="s">
        <v>797</v>
      </c>
    </row>
    <row r="26" customFormat="false" ht="12.75" hidden="false" customHeight="true" outlineLevel="0" collapsed="false">
      <c r="B26" s="31" t="s">
        <v>1075</v>
      </c>
      <c r="C26" s="32" t="s">
        <v>1076</v>
      </c>
      <c r="D26" s="32" t="s">
        <v>1077</v>
      </c>
      <c r="E26" s="32" t="s">
        <v>1078</v>
      </c>
      <c r="F26" s="32" t="s">
        <v>1079</v>
      </c>
    </row>
    <row r="27" customFormat="false" ht="12.75" hidden="false" customHeight="true" outlineLevel="0" collapsed="false">
      <c r="B27" s="31" t="s">
        <v>91</v>
      </c>
      <c r="C27" s="32" t="s">
        <v>1076</v>
      </c>
      <c r="D27" s="32" t="s">
        <v>1080</v>
      </c>
      <c r="E27" s="32" t="s">
        <v>1081</v>
      </c>
      <c r="F27" s="32" t="s">
        <v>1082</v>
      </c>
    </row>
    <row r="28" customFormat="false" ht="12.75" hidden="false" customHeight="true" outlineLevel="0" collapsed="false">
      <c r="B28" s="31" t="s">
        <v>661</v>
      </c>
      <c r="C28" s="32" t="s">
        <v>1076</v>
      </c>
      <c r="D28" s="32" t="s">
        <v>1083</v>
      </c>
      <c r="E28" s="32" t="s">
        <v>662</v>
      </c>
      <c r="F28" s="32" t="s">
        <v>1084</v>
      </c>
    </row>
    <row r="29" customFormat="false" ht="12.75" hidden="false" customHeight="true" outlineLevel="0" collapsed="false">
      <c r="B29" s="31" t="s">
        <v>183</v>
      </c>
      <c r="C29" s="32" t="s">
        <v>1076</v>
      </c>
      <c r="D29" s="32" t="s">
        <v>1085</v>
      </c>
      <c r="E29" s="32" t="s">
        <v>58</v>
      </c>
      <c r="F29" s="32" t="s">
        <v>1086</v>
      </c>
    </row>
    <row r="30" customFormat="false" ht="12.75" hidden="false" customHeight="true" outlineLevel="0" collapsed="false">
      <c r="B30" s="31" t="s">
        <v>530</v>
      </c>
      <c r="C30" s="32" t="s">
        <v>1076</v>
      </c>
      <c r="D30" s="32" t="s">
        <v>1087</v>
      </c>
      <c r="E30" s="32" t="s">
        <v>58</v>
      </c>
      <c r="F30" s="32" t="s">
        <v>1088</v>
      </c>
    </row>
    <row r="31" customFormat="false" ht="12.75" hidden="false" customHeight="true" outlineLevel="0" collapsed="false">
      <c r="B31" s="31" t="s">
        <v>119</v>
      </c>
      <c r="C31" s="32" t="s">
        <v>1076</v>
      </c>
      <c r="D31" s="32" t="s">
        <v>1089</v>
      </c>
      <c r="E31" s="32" t="s">
        <v>58</v>
      </c>
      <c r="F31" s="32" t="s">
        <v>1090</v>
      </c>
    </row>
    <row r="32" customFormat="false" ht="12.75" hidden="false" customHeight="true" outlineLevel="0" collapsed="false">
      <c r="B32" s="31" t="s">
        <v>316</v>
      </c>
      <c r="C32" s="32" t="s">
        <v>1076</v>
      </c>
      <c r="D32" s="32" t="s">
        <v>1091</v>
      </c>
      <c r="E32" s="32" t="s">
        <v>74</v>
      </c>
      <c r="F32" s="32" t="s">
        <v>1092</v>
      </c>
    </row>
    <row r="33" customFormat="false" ht="12.75" hidden="false" customHeight="true" outlineLevel="0" collapsed="false">
      <c r="B33" s="31" t="s">
        <v>373</v>
      </c>
      <c r="C33" s="32" t="s">
        <v>1076</v>
      </c>
      <c r="D33" s="32" t="s">
        <v>1093</v>
      </c>
      <c r="E33" s="32" t="s">
        <v>374</v>
      </c>
      <c r="F33" s="32" t="s">
        <v>1094</v>
      </c>
    </row>
    <row r="34" customFormat="false" ht="12.75" hidden="false" customHeight="true" outlineLevel="0" collapsed="false">
      <c r="B34" s="31" t="s">
        <v>1095</v>
      </c>
      <c r="C34" s="32" t="s">
        <v>1076</v>
      </c>
      <c r="D34" s="32" t="s">
        <v>1096</v>
      </c>
      <c r="E34" s="32" t="s">
        <v>1097</v>
      </c>
      <c r="F34" s="32" t="s">
        <v>1098</v>
      </c>
    </row>
    <row r="35" customFormat="false" ht="12.75" hidden="false" customHeight="true" outlineLevel="0" collapsed="false">
      <c r="B35" s="31" t="s">
        <v>472</v>
      </c>
      <c r="C35" s="32" t="s">
        <v>1076</v>
      </c>
      <c r="D35" s="32" t="s">
        <v>1099</v>
      </c>
      <c r="E35" s="32" t="s">
        <v>473</v>
      </c>
      <c r="F35" s="32" t="s">
        <v>1100</v>
      </c>
    </row>
    <row r="36" customFormat="false" ht="12.75" hidden="false" customHeight="true" outlineLevel="0" collapsed="false">
      <c r="B36" s="31" t="s">
        <v>230</v>
      </c>
      <c r="C36" s="32" t="s">
        <v>1076</v>
      </c>
      <c r="D36" s="32" t="s">
        <v>1101</v>
      </c>
      <c r="E36" s="32" t="s">
        <v>231</v>
      </c>
      <c r="F36" s="32" t="s">
        <v>1102</v>
      </c>
    </row>
    <row r="37" customFormat="false" ht="12.75" hidden="false" customHeight="true" outlineLevel="0" collapsed="false">
      <c r="B37" s="33" t="s">
        <v>1103</v>
      </c>
      <c r="C37" s="34" t="s">
        <v>1104</v>
      </c>
      <c r="D37" s="34" t="s">
        <v>814</v>
      </c>
      <c r="E37" s="34" t="s">
        <v>814</v>
      </c>
      <c r="F37" s="34" t="s">
        <v>1105</v>
      </c>
    </row>
    <row r="38" customFormat="false" ht="12.75" hidden="false" customHeight="true" outlineLevel="0" collapsed="false">
      <c r="B38" s="33" t="s">
        <v>1106</v>
      </c>
      <c r="C38" s="34" t="s">
        <v>1104</v>
      </c>
      <c r="D38" s="34" t="s">
        <v>814</v>
      </c>
      <c r="E38" s="34" t="s">
        <v>814</v>
      </c>
      <c r="F38" s="34" t="s">
        <v>1107</v>
      </c>
    </row>
    <row r="39" customFormat="false" ht="12.75" hidden="false" customHeight="true" outlineLevel="0" collapsed="false">
      <c r="B39" s="33" t="s">
        <v>1108</v>
      </c>
      <c r="C39" s="34" t="s">
        <v>1104</v>
      </c>
      <c r="D39" s="34" t="s">
        <v>814</v>
      </c>
      <c r="E39" s="34" t="s">
        <v>814</v>
      </c>
      <c r="F39" s="34" t="s">
        <v>1109</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14" t="s">
        <v>1110</v>
      </c>
      <c r="C1" s="14"/>
      <c r="D1" s="14"/>
      <c r="E1" s="14"/>
      <c r="F1" s="14"/>
      <c r="G1" s="14"/>
      <c r="H1" s="14"/>
      <c r="I1" s="14"/>
      <c r="J1" s="14"/>
      <c r="K1" s="14"/>
    </row>
    <row r="2" customFormat="false" ht="13.5" hidden="false" customHeight="true" outlineLevel="0" collapsed="false">
      <c r="B2" s="15" t="s">
        <v>1111</v>
      </c>
      <c r="C2" s="15"/>
      <c r="D2" s="15"/>
      <c r="E2" s="15"/>
      <c r="F2" s="15"/>
      <c r="G2" s="15"/>
      <c r="H2" s="15"/>
      <c r="I2" s="15"/>
      <c r="J2" s="15"/>
      <c r="K2" s="15"/>
    </row>
    <row r="3" customFormat="false" ht="6" hidden="false" customHeight="true" outlineLevel="0" collapsed="false"/>
    <row r="4" customFormat="false" ht="15.75" hidden="false" customHeight="true" outlineLevel="0" collapsed="false">
      <c r="B4" s="16" t="s">
        <v>1112</v>
      </c>
      <c r="C4" s="16"/>
      <c r="D4" s="16"/>
      <c r="E4" s="16"/>
      <c r="F4" s="16"/>
      <c r="G4" s="16"/>
      <c r="H4" s="16"/>
      <c r="I4" s="16"/>
      <c r="J4" s="16"/>
      <c r="K4" s="16"/>
    </row>
    <row r="5" customFormat="false" ht="15.75" hidden="false" customHeight="true" outlineLevel="0" collapsed="false">
      <c r="B5" s="20" t="s">
        <v>1113</v>
      </c>
      <c r="C5" s="20" t="s">
        <v>844</v>
      </c>
      <c r="D5" s="20" t="s">
        <v>1114</v>
      </c>
      <c r="E5" s="20" t="s">
        <v>1115</v>
      </c>
      <c r="F5" s="20" t="s">
        <v>1116</v>
      </c>
    </row>
    <row r="6" customFormat="false" ht="12.75" hidden="false" customHeight="true" outlineLevel="0" collapsed="false">
      <c r="B6" s="24" t="s">
        <v>1117</v>
      </c>
      <c r="C6" s="23" t="s">
        <v>1118</v>
      </c>
      <c r="D6" s="23" t="s">
        <v>1119</v>
      </c>
      <c r="E6" s="23" t="s">
        <v>1120</v>
      </c>
      <c r="F6" s="23" t="s">
        <v>1121</v>
      </c>
    </row>
    <row r="7" customFormat="false" ht="12.75" hidden="false" customHeight="true" outlineLevel="0" collapsed="false">
      <c r="B7" s="22" t="s">
        <v>174</v>
      </c>
      <c r="C7" s="21" t="s">
        <v>1122</v>
      </c>
      <c r="D7" s="21" t="s">
        <v>1123</v>
      </c>
      <c r="E7" s="21" t="s">
        <v>1124</v>
      </c>
      <c r="F7" s="21" t="s">
        <v>1125</v>
      </c>
    </row>
    <row r="8" customFormat="false" ht="12.75" hidden="false" customHeight="true" outlineLevel="0" collapsed="false">
      <c r="B8" s="24" t="s">
        <v>1126</v>
      </c>
      <c r="C8" s="23" t="s">
        <v>959</v>
      </c>
      <c r="D8" s="23" t="s">
        <v>1127</v>
      </c>
      <c r="E8" s="23" t="s">
        <v>1128</v>
      </c>
      <c r="F8" s="23" t="s">
        <v>1129</v>
      </c>
    </row>
    <row r="9" customFormat="false" ht="12.75" hidden="false" customHeight="true" outlineLevel="0" collapsed="false">
      <c r="B9" s="22" t="s">
        <v>235</v>
      </c>
      <c r="C9" s="21" t="s">
        <v>965</v>
      </c>
      <c r="D9" s="21" t="s">
        <v>1127</v>
      </c>
      <c r="E9" s="21" t="s">
        <v>1130</v>
      </c>
      <c r="F9" s="21" t="s">
        <v>1131</v>
      </c>
    </row>
    <row r="10" customFormat="false" ht="12.75" hidden="false" customHeight="true" outlineLevel="0" collapsed="false">
      <c r="B10" s="24" t="s">
        <v>1132</v>
      </c>
      <c r="C10" s="23" t="s">
        <v>1118</v>
      </c>
      <c r="D10" s="23" t="s">
        <v>1133</v>
      </c>
      <c r="E10" s="23" t="s">
        <v>1134</v>
      </c>
      <c r="F10" s="23" t="s">
        <v>1135</v>
      </c>
    </row>
    <row r="11" customFormat="false" ht="12.75" hidden="false" customHeight="true" outlineLevel="0" collapsed="false">
      <c r="B11" s="22" t="s">
        <v>1136</v>
      </c>
      <c r="C11" s="21" t="s">
        <v>957</v>
      </c>
      <c r="D11" s="21" t="s">
        <v>1137</v>
      </c>
      <c r="E11" s="21" t="s">
        <v>1138</v>
      </c>
      <c r="F11" s="21" t="s">
        <v>370</v>
      </c>
    </row>
    <row r="12" customFormat="false" ht="12.75" hidden="false" customHeight="true" outlineLevel="0" collapsed="false">
      <c r="B12" s="24" t="s">
        <v>222</v>
      </c>
      <c r="C12" s="23" t="s">
        <v>1118</v>
      </c>
      <c r="D12" s="23" t="s">
        <v>1139</v>
      </c>
      <c r="E12" s="23" t="s">
        <v>1140</v>
      </c>
      <c r="F12" s="23" t="s">
        <v>1141</v>
      </c>
    </row>
    <row r="13" customFormat="false" ht="12.75" hidden="false" customHeight="true" outlineLevel="0" collapsed="false">
      <c r="B13" s="22" t="s">
        <v>1142</v>
      </c>
      <c r="C13" s="21" t="s">
        <v>1118</v>
      </c>
      <c r="D13" s="21" t="s">
        <v>1143</v>
      </c>
      <c r="E13" s="21" t="s">
        <v>1144</v>
      </c>
      <c r="F13" s="21" t="s">
        <v>1145</v>
      </c>
    </row>
    <row r="14" customFormat="false" ht="12.75" hidden="false" customHeight="true" outlineLevel="0" collapsed="false">
      <c r="B14" s="24" t="s">
        <v>1146</v>
      </c>
      <c r="C14" s="23" t="s">
        <v>957</v>
      </c>
      <c r="D14" s="23" t="s">
        <v>1137</v>
      </c>
      <c r="E14" s="23" t="s">
        <v>1147</v>
      </c>
      <c r="F14" s="23" t="s">
        <v>456</v>
      </c>
    </row>
    <row r="15" customFormat="false" ht="12.75" hidden="false" customHeight="true" outlineLevel="0" collapsed="false">
      <c r="B15" s="22" t="s">
        <v>1148</v>
      </c>
      <c r="C15" s="21" t="s">
        <v>957</v>
      </c>
      <c r="D15" s="21" t="s">
        <v>1149</v>
      </c>
      <c r="E15" s="21" t="s">
        <v>1150</v>
      </c>
      <c r="F15" s="21" t="s">
        <v>416</v>
      </c>
    </row>
    <row r="16" customFormat="false" ht="7.5" hidden="false" customHeight="true" outlineLevel="0" collapsed="false"/>
    <row r="17" customFormat="false" ht="15.75" hidden="false" customHeight="true" outlineLevel="0" collapsed="false">
      <c r="B17" s="16" t="s">
        <v>1151</v>
      </c>
      <c r="C17" s="16"/>
      <c r="D17" s="16"/>
      <c r="E17" s="16"/>
      <c r="F17" s="16"/>
      <c r="G17" s="16"/>
      <c r="H17" s="16"/>
      <c r="I17" s="16"/>
      <c r="J17" s="16"/>
      <c r="K17" s="16"/>
    </row>
    <row r="18" customFormat="false" ht="15.75" hidden="false" customHeight="true" outlineLevel="0" collapsed="false">
      <c r="B18" s="20" t="s">
        <v>1152</v>
      </c>
      <c r="C18" s="20" t="s">
        <v>844</v>
      </c>
      <c r="D18" s="20" t="s">
        <v>1153</v>
      </c>
      <c r="E18" s="20" t="s">
        <v>894</v>
      </c>
    </row>
    <row r="19" customFormat="false" ht="15.75" hidden="false" customHeight="true" outlineLevel="0" collapsed="false">
      <c r="B19" s="31" t="s">
        <v>1154</v>
      </c>
      <c r="C19" s="32" t="s">
        <v>1155</v>
      </c>
      <c r="D19" s="32" t="s">
        <v>1156</v>
      </c>
      <c r="E19" s="32" t="s">
        <v>1157</v>
      </c>
    </row>
    <row r="20" customFormat="false" ht="15.75" hidden="false" customHeight="true" outlineLevel="0" collapsed="false">
      <c r="B20" s="31" t="s">
        <v>1158</v>
      </c>
      <c r="C20" s="32" t="s">
        <v>957</v>
      </c>
      <c r="D20" s="32" t="s">
        <v>1159</v>
      </c>
      <c r="E20" s="32" t="s">
        <v>1160</v>
      </c>
    </row>
    <row r="21" customFormat="false" ht="15.75" hidden="false" customHeight="true" outlineLevel="0" collapsed="false">
      <c r="B21" s="35" t="s">
        <v>1161</v>
      </c>
      <c r="C21" s="36" t="s">
        <v>969</v>
      </c>
      <c r="D21" s="36" t="s">
        <v>1162</v>
      </c>
      <c r="E21" s="36" t="s">
        <v>1163</v>
      </c>
    </row>
    <row r="22" customFormat="false" ht="15.75" hidden="false" customHeight="true" outlineLevel="0" collapsed="false">
      <c r="B22" s="35" t="s">
        <v>1164</v>
      </c>
      <c r="C22" s="36" t="s">
        <v>965</v>
      </c>
      <c r="D22" s="36" t="s">
        <v>1165</v>
      </c>
      <c r="E22" s="36" t="s">
        <v>1166</v>
      </c>
    </row>
    <row r="23" customFormat="false" ht="15.75" hidden="false" customHeight="true" outlineLevel="0" collapsed="false">
      <c r="B23" s="31" t="s">
        <v>1167</v>
      </c>
      <c r="C23" s="32" t="s">
        <v>1168</v>
      </c>
      <c r="D23" s="32" t="s">
        <v>1169</v>
      </c>
      <c r="E23" s="32" t="s">
        <v>1170</v>
      </c>
    </row>
    <row r="24" customFormat="false" ht="15.75" hidden="false" customHeight="true" outlineLevel="0" collapsed="false">
      <c r="B24" s="33" t="s">
        <v>1171</v>
      </c>
      <c r="C24" s="34" t="s">
        <v>957</v>
      </c>
      <c r="D24" s="34" t="s">
        <v>1172</v>
      </c>
      <c r="E24" s="34" t="s">
        <v>1173</v>
      </c>
    </row>
    <row r="25" customFormat="false" ht="7.5" hidden="false" customHeight="true" outlineLevel="0" collapsed="false"/>
    <row r="26" customFormat="false" ht="15.75" hidden="false" customHeight="true" outlineLevel="0" collapsed="false">
      <c r="B26" s="16" t="s">
        <v>1174</v>
      </c>
      <c r="C26" s="16"/>
      <c r="D26" s="16"/>
      <c r="E26" s="16"/>
      <c r="F26" s="16"/>
      <c r="G26" s="16"/>
      <c r="H26" s="16"/>
      <c r="I26" s="16"/>
      <c r="J26" s="16"/>
      <c r="K26" s="16"/>
    </row>
    <row r="27" customFormat="false" ht="19.5" hidden="false" customHeight="true" outlineLevel="0" collapsed="false">
      <c r="B27" s="37" t="s">
        <v>1175</v>
      </c>
      <c r="C27" s="37"/>
      <c r="D27" s="37"/>
      <c r="E27" s="37"/>
      <c r="F27" s="37"/>
      <c r="G27" s="37"/>
      <c r="H27" s="37"/>
      <c r="I27" s="37"/>
      <c r="J27" s="37"/>
    </row>
    <row r="28" customFormat="false" ht="19.5" hidden="false" customHeight="true" outlineLevel="0" collapsed="false">
      <c r="B28" s="38" t="s">
        <v>1176</v>
      </c>
      <c r="C28" s="38"/>
      <c r="D28" s="38"/>
      <c r="E28" s="38"/>
      <c r="F28" s="38"/>
      <c r="G28" s="38"/>
      <c r="H28" s="38"/>
      <c r="I28" s="38"/>
      <c r="J28" s="38"/>
    </row>
    <row r="29" customFormat="false" ht="19.5" hidden="false" customHeight="true" outlineLevel="0" collapsed="false">
      <c r="B29" s="39" t="s">
        <v>1177</v>
      </c>
      <c r="C29" s="39"/>
      <c r="D29" s="39"/>
      <c r="E29" s="39"/>
      <c r="F29" s="39"/>
      <c r="G29" s="39"/>
      <c r="H29" s="39"/>
      <c r="I29" s="39"/>
      <c r="J29" s="39"/>
    </row>
    <row r="30" customFormat="false" ht="19.5" hidden="false" customHeight="true" outlineLevel="0" collapsed="false">
      <c r="B30" s="38" t="s">
        <v>1178</v>
      </c>
      <c r="C30" s="38"/>
      <c r="D30" s="38"/>
      <c r="E30" s="38"/>
      <c r="F30" s="38"/>
      <c r="G30" s="38"/>
      <c r="H30" s="38"/>
      <c r="I30" s="38"/>
      <c r="J30" s="38"/>
    </row>
    <row r="31" customFormat="false" ht="19.5" hidden="false" customHeight="true" outlineLevel="0" collapsed="false">
      <c r="B31" s="39" t="s">
        <v>1179</v>
      </c>
      <c r="C31" s="39"/>
      <c r="D31" s="39"/>
      <c r="E31" s="39"/>
      <c r="F31" s="39"/>
      <c r="G31" s="39"/>
      <c r="H31" s="39"/>
      <c r="I31" s="39"/>
      <c r="J31" s="39"/>
    </row>
    <row r="32" customFormat="false" ht="19.5" hidden="false" customHeight="true" outlineLevel="0" collapsed="false">
      <c r="B32" s="38" t="s">
        <v>1180</v>
      </c>
      <c r="C32" s="38"/>
      <c r="D32" s="38"/>
      <c r="E32" s="38"/>
      <c r="F32" s="38"/>
      <c r="G32" s="38"/>
      <c r="H32" s="38"/>
      <c r="I32" s="38"/>
      <c r="J32" s="38"/>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14" t="s">
        <v>1181</v>
      </c>
      <c r="C1" s="14"/>
      <c r="D1" s="14"/>
      <c r="E1" s="14"/>
      <c r="F1" s="14"/>
      <c r="G1" s="14"/>
      <c r="H1" s="14"/>
      <c r="I1" s="14"/>
      <c r="J1" s="14"/>
      <c r="K1" s="14"/>
      <c r="L1" s="14"/>
    </row>
    <row r="2" customFormat="false" ht="13.5" hidden="false" customHeight="true" outlineLevel="0" collapsed="false">
      <c r="B2" s="15" t="s">
        <v>1182</v>
      </c>
      <c r="C2" s="15"/>
      <c r="D2" s="15"/>
      <c r="E2" s="15"/>
      <c r="F2" s="15"/>
      <c r="G2" s="15"/>
      <c r="H2" s="15"/>
      <c r="I2" s="15"/>
      <c r="J2" s="15"/>
      <c r="K2" s="15"/>
      <c r="L2" s="15"/>
    </row>
    <row r="3" customFormat="false" ht="6" hidden="false" customHeight="true" outlineLevel="0" collapsed="false"/>
    <row r="4" customFormat="false" ht="15.75" hidden="false" customHeight="true" outlineLevel="0" collapsed="false">
      <c r="B4" s="16" t="s">
        <v>1183</v>
      </c>
      <c r="C4" s="16"/>
      <c r="D4" s="16"/>
      <c r="E4" s="16"/>
      <c r="F4" s="16"/>
      <c r="G4" s="16"/>
      <c r="H4" s="16"/>
      <c r="I4" s="16"/>
      <c r="J4" s="16"/>
      <c r="K4" s="16"/>
      <c r="L4" s="16"/>
    </row>
    <row r="5" customFormat="false" ht="15.75" hidden="false" customHeight="true" outlineLevel="0" collapsed="false">
      <c r="B5" s="20" t="s">
        <v>1</v>
      </c>
      <c r="C5" s="20" t="s">
        <v>844</v>
      </c>
      <c r="D5" s="20" t="s">
        <v>1184</v>
      </c>
      <c r="E5" s="20" t="s">
        <v>1185</v>
      </c>
      <c r="F5" s="20" t="s">
        <v>1186</v>
      </c>
    </row>
    <row r="6" customFormat="false" ht="12.75" hidden="false" customHeight="true" outlineLevel="0" collapsed="false">
      <c r="B6" s="24" t="s">
        <v>52</v>
      </c>
      <c r="C6" s="23" t="n">
        <f aca="false">COUNTIF('Coffee Audit'!B2:B2000,"*Singapore*")</f>
        <v>64</v>
      </c>
      <c r="D6" s="23" t="n">
        <v>34</v>
      </c>
      <c r="E6" s="23" t="s">
        <v>1187</v>
      </c>
      <c r="F6" s="23" t="s">
        <v>1188</v>
      </c>
    </row>
    <row r="7" customFormat="false" ht="12.75" hidden="false" customHeight="true" outlineLevel="0" collapsed="false">
      <c r="B7" s="22" t="s">
        <v>24</v>
      </c>
      <c r="C7" s="21" t="n">
        <f aca="false">COUNTIF('Coffee Audit'!B2:B2000,"*Bali*")</f>
        <v>3</v>
      </c>
      <c r="D7" s="21" t="s">
        <v>957</v>
      </c>
      <c r="E7" s="21" t="s">
        <v>885</v>
      </c>
      <c r="F7" s="21" t="s">
        <v>1189</v>
      </c>
    </row>
    <row r="8" customFormat="false" ht="12.75" hidden="false" customHeight="true" outlineLevel="0" collapsed="false">
      <c r="B8" s="24" t="s">
        <v>69</v>
      </c>
      <c r="C8" s="23" t="n">
        <f aca="false">COUNTIF('Coffee Audit'!B2:B2000,"*Mumbai*")</f>
        <v>2</v>
      </c>
      <c r="D8" s="23" t="s">
        <v>1118</v>
      </c>
      <c r="E8" s="23" t="s">
        <v>979</v>
      </c>
      <c r="F8" s="23" t="s">
        <v>1190</v>
      </c>
    </row>
    <row r="9" customFormat="false" ht="12.75" hidden="false" customHeight="true" outlineLevel="0" collapsed="false">
      <c r="B9" s="22" t="s">
        <v>227</v>
      </c>
      <c r="C9" s="21" t="n">
        <f aca="false">COUNTIF('Coffee Audit'!B2:B2000,"*Johor*")</f>
        <v>1</v>
      </c>
      <c r="D9" s="21" t="s">
        <v>957</v>
      </c>
      <c r="E9" s="21" t="s">
        <v>979</v>
      </c>
      <c r="F9" s="21" t="s">
        <v>1191</v>
      </c>
    </row>
    <row r="10" customFormat="false" ht="7.5" hidden="false" customHeight="true" outlineLevel="0" collapsed="false"/>
    <row r="11" customFormat="false" ht="15.75" hidden="false" customHeight="true" outlineLevel="0" collapsed="false">
      <c r="B11" s="16" t="s">
        <v>1192</v>
      </c>
      <c r="C11" s="16"/>
      <c r="D11" s="16"/>
      <c r="E11" s="16"/>
      <c r="F11" s="16"/>
      <c r="G11" s="16"/>
      <c r="H11" s="16"/>
      <c r="I11" s="16"/>
      <c r="J11" s="16"/>
      <c r="K11" s="16"/>
      <c r="L11" s="16"/>
    </row>
    <row r="12" customFormat="false" ht="15.75" hidden="false" customHeight="true" outlineLevel="0" collapsed="false">
      <c r="B12" s="20" t="s">
        <v>793</v>
      </c>
      <c r="C12" s="20" t="s">
        <v>1</v>
      </c>
      <c r="D12" s="20" t="s">
        <v>844</v>
      </c>
      <c r="E12" s="20" t="s">
        <v>171</v>
      </c>
      <c r="F12" s="20" t="s">
        <v>1193</v>
      </c>
      <c r="G12" s="20" t="s">
        <v>1194</v>
      </c>
      <c r="H12" s="20" t="s">
        <v>1195</v>
      </c>
      <c r="I12" s="20" t="s">
        <v>1196</v>
      </c>
      <c r="J12" s="20" t="s">
        <v>1197</v>
      </c>
      <c r="K12" s="20" t="s">
        <v>1198</v>
      </c>
    </row>
    <row r="13" customFormat="false" ht="13.5" hidden="false" customHeight="true" outlineLevel="0" collapsed="false">
      <c r="B13" s="40" t="s">
        <v>251</v>
      </c>
      <c r="C13" s="41" t="s">
        <v>52</v>
      </c>
      <c r="D13" s="41" t="n">
        <f aca="false">COUNTIF('Coffee Audit'!C2:C2000,B13)</f>
        <v>6</v>
      </c>
      <c r="E13" s="41" t="n">
        <f aca="false">SUMPRODUCT(('Coffee Audit'!C2:C2000=B13)*('Coffee Audit'!W2:W2000="⭐ GESHA"))</f>
        <v>0</v>
      </c>
      <c r="F13" s="41" t="str">
        <f aca="false">IFERROR("S$"&amp;TEXT(AVERAGEIFS('Coffee Audit'!Q2:Q2000,'Coffee Audit'!C2:C2000,B13,'Coffee Audit'!Q2:Q2000,"&gt;0"),"0.00"),"—")</f>
        <v>S$8.00</v>
      </c>
      <c r="G13" s="41" t="s">
        <v>1199</v>
      </c>
      <c r="H13" s="41" t="s">
        <v>1200</v>
      </c>
      <c r="I13" s="41" t="s">
        <v>1201</v>
      </c>
      <c r="J13" s="41" t="s">
        <v>1202</v>
      </c>
      <c r="K13" s="41" t="s">
        <v>1203</v>
      </c>
    </row>
    <row r="14" customFormat="false" ht="13.5" hidden="false" customHeight="true" outlineLevel="0" collapsed="false">
      <c r="B14" s="42" t="s">
        <v>322</v>
      </c>
      <c r="C14" s="43" t="s">
        <v>52</v>
      </c>
      <c r="D14" s="43" t="n">
        <f aca="false">COUNTIF('Coffee Audit'!C2:C2000,B14)</f>
        <v>4</v>
      </c>
      <c r="E14" s="43" t="n">
        <f aca="false">SUMPRODUCT(('Coffee Audit'!C2:C2000=B14)*('Coffee Audit'!W2:W2000="⭐ GESHA"))</f>
        <v>1</v>
      </c>
      <c r="F14" s="43" t="str">
        <f aca="false">IFERROR("S$"&amp;TEXT(AVERAGEIFS('Coffee Audit'!Q2:Q2000,'Coffee Audit'!C2:C2000,B14,'Coffee Audit'!Q2:Q2000,"&gt;0"),"0.00"),"—")</f>
        <v>S$11.33</v>
      </c>
      <c r="G14" s="43" t="s">
        <v>1204</v>
      </c>
      <c r="H14" s="43" t="s">
        <v>1205</v>
      </c>
      <c r="I14" s="43" t="s">
        <v>814</v>
      </c>
      <c r="J14" s="43" t="s">
        <v>1202</v>
      </c>
      <c r="K14" s="43" t="s">
        <v>1206</v>
      </c>
    </row>
    <row r="15" customFormat="false" ht="13.5" hidden="false" customHeight="true" outlineLevel="0" collapsed="false">
      <c r="B15" s="40" t="s">
        <v>167</v>
      </c>
      <c r="C15" s="41" t="s">
        <v>52</v>
      </c>
      <c r="D15" s="41" t="n">
        <f aca="false">COUNTIF('Coffee Audit'!C2:C2000,B15)</f>
        <v>4</v>
      </c>
      <c r="E15" s="41" t="n">
        <f aca="false">SUMPRODUCT(('Coffee Audit'!C2:C2000=B15)*('Coffee Audit'!W2:W2000="⭐ GESHA"))</f>
        <v>2</v>
      </c>
      <c r="F15" s="41" t="str">
        <f aca="false">IFERROR("S$"&amp;TEXT(AVERAGEIFS('Coffee Audit'!Q2:Q2000,'Coffee Audit'!C2:C2000,B15,'Coffee Audit'!Q2:Q2000,"&gt;0"),"0.00"),"—")</f>
        <v>S$12.50</v>
      </c>
      <c r="G15" s="41" t="s">
        <v>1207</v>
      </c>
      <c r="H15" s="41" t="s">
        <v>814</v>
      </c>
      <c r="I15" s="41" t="s">
        <v>814</v>
      </c>
      <c r="J15" s="41" t="s">
        <v>1202</v>
      </c>
      <c r="K15" s="41" t="s">
        <v>1208</v>
      </c>
    </row>
    <row r="16" customFormat="false" ht="13.5" hidden="false" customHeight="true" outlineLevel="0" collapsed="false">
      <c r="B16" s="42" t="s">
        <v>370</v>
      </c>
      <c r="C16" s="43" t="s">
        <v>52</v>
      </c>
      <c r="D16" s="43" t="n">
        <f aca="false">COUNTIF('Coffee Audit'!C2:C2000,B16)</f>
        <v>2</v>
      </c>
      <c r="E16" s="43" t="n">
        <f aca="false">SUMPRODUCT(('Coffee Audit'!C2:C2000=B16)*('Coffee Audit'!W2:W2000="⭐ GESHA"))</f>
        <v>0</v>
      </c>
      <c r="F16" s="43" t="str">
        <f aca="false">IFERROR("S$"&amp;TEXT(AVERAGEIFS('Coffee Audit'!Q2:Q2000,'Coffee Audit'!C2:C2000,B16,'Coffee Audit'!Q2:Q2000,"&gt;0"),"0.00"),"—")</f>
        <v>S$10.50</v>
      </c>
      <c r="G16" s="43" t="s">
        <v>1209</v>
      </c>
      <c r="H16" s="43" t="s">
        <v>1210</v>
      </c>
      <c r="I16" s="43" t="s">
        <v>1211</v>
      </c>
      <c r="J16" s="43" t="s">
        <v>1202</v>
      </c>
      <c r="K16" s="43" t="s">
        <v>823</v>
      </c>
    </row>
    <row r="17" customFormat="false" ht="13.5" hidden="false" customHeight="true" outlineLevel="0" collapsed="false">
      <c r="B17" s="40" t="s">
        <v>53</v>
      </c>
      <c r="C17" s="41" t="s">
        <v>52</v>
      </c>
      <c r="D17" s="41" t="n">
        <f aca="false">COUNTIF('Coffee Audit'!C2:C2000,B17)</f>
        <v>3</v>
      </c>
      <c r="E17" s="41" t="n">
        <f aca="false">SUMPRODUCT(('Coffee Audit'!C2:C2000=B17)*('Coffee Audit'!W2:W2000="⭐ GESHA"))</f>
        <v>0</v>
      </c>
      <c r="F17" s="41" t="str">
        <f aca="false">IFERROR("S$"&amp;TEXT(AVERAGEIFS('Coffee Audit'!Q2:Q2000,'Coffee Audit'!C2:C2000,B17,'Coffee Audit'!Q2:Q2000,"&gt;0"),"0.00"),"—")</f>
        <v>S$8.67</v>
      </c>
      <c r="G17" s="41" t="s">
        <v>1212</v>
      </c>
      <c r="H17" s="41" t="s">
        <v>1213</v>
      </c>
      <c r="I17" s="41" t="s">
        <v>1214</v>
      </c>
      <c r="J17" s="41" t="s">
        <v>1202</v>
      </c>
      <c r="K17" s="41" t="s">
        <v>1215</v>
      </c>
    </row>
    <row r="18" customFormat="false" ht="13.5" hidden="false" customHeight="true" outlineLevel="0" collapsed="false">
      <c r="B18" s="42" t="s">
        <v>646</v>
      </c>
      <c r="C18" s="43" t="s">
        <v>52</v>
      </c>
      <c r="D18" s="43" t="n">
        <f aca="false">COUNTIF('Coffee Audit'!C2:C2000,B18)</f>
        <v>1</v>
      </c>
      <c r="E18" s="43" t="n">
        <f aca="false">SUMPRODUCT(('Coffee Audit'!C2:C2000=B18)*('Coffee Audit'!W2:W2000="⭐ GESHA"))</f>
        <v>1</v>
      </c>
      <c r="F18" s="43" t="str">
        <f aca="false">IFERROR("S$"&amp;TEXT(AVERAGEIFS('Coffee Audit'!Q2:Q2000,'Coffee Audit'!C2:C2000,B18,'Coffee Audit'!Q2:Q2000,"&gt;0"),"0.00"),"—")</f>
        <v>S$21.00</v>
      </c>
      <c r="G18" s="43" t="s">
        <v>1216</v>
      </c>
      <c r="H18" s="43" t="s">
        <v>1217</v>
      </c>
      <c r="I18" s="43" t="s">
        <v>1218</v>
      </c>
      <c r="J18" s="43" t="s">
        <v>1202</v>
      </c>
      <c r="K18" s="43" t="s">
        <v>1219</v>
      </c>
    </row>
    <row r="19" customFormat="false" ht="13.5" hidden="false" customHeight="true" outlineLevel="0" collapsed="false">
      <c r="B19" s="44" t="s">
        <v>540</v>
      </c>
      <c r="C19" s="45" t="s">
        <v>52</v>
      </c>
      <c r="D19" s="45" t="n">
        <f aca="false">COUNTIF('Coffee Audit'!C2:C2000,B19)</f>
        <v>2</v>
      </c>
      <c r="E19" s="45" t="n">
        <f aca="false">SUMPRODUCT(('Coffee Audit'!C2:C2000=B19)*('Coffee Audit'!W2:W2000="⭐ GESHA"))</f>
        <v>0</v>
      </c>
      <c r="F19" s="45" t="str">
        <f aca="false">IFERROR("S$"&amp;TEXT(AVERAGEIFS('Coffee Audit'!Q2:Q2000,'Coffee Audit'!C2:C2000,B19,'Coffee Audit'!Q2:Q2000,"&gt;0"),"0.00"),"—")</f>
        <v>S$9.00</v>
      </c>
      <c r="G19" s="45" t="s">
        <v>1220</v>
      </c>
      <c r="H19" s="45" t="s">
        <v>1221</v>
      </c>
      <c r="I19" s="45" t="s">
        <v>1222</v>
      </c>
      <c r="J19" s="45" t="s">
        <v>1223</v>
      </c>
      <c r="K19" s="45" t="s">
        <v>1224</v>
      </c>
    </row>
    <row r="20" customFormat="false" ht="13.5" hidden="false" customHeight="true" outlineLevel="0" collapsed="false">
      <c r="B20" s="42" t="s">
        <v>555</v>
      </c>
      <c r="C20" s="43" t="s">
        <v>52</v>
      </c>
      <c r="D20" s="43" t="n">
        <f aca="false">COUNTIF('Coffee Audit'!C2:C2000,B20)</f>
        <v>2</v>
      </c>
      <c r="E20" s="43" t="n">
        <f aca="false">SUMPRODUCT(('Coffee Audit'!C2:C2000=B20)*('Coffee Audit'!W2:W2000="⭐ GESHA"))</f>
        <v>1</v>
      </c>
      <c r="F20" s="43" t="str">
        <f aca="false">IFERROR("S$"&amp;TEXT(AVERAGEIFS('Coffee Audit'!Q2:Q2000,'Coffee Audit'!C2:C2000,B20,'Coffee Audit'!Q2:Q2000,"&gt;0"),"0.00"),"—")</f>
        <v>S$14.50</v>
      </c>
      <c r="G20" s="43" t="s">
        <v>1225</v>
      </c>
      <c r="H20" s="43" t="s">
        <v>1226</v>
      </c>
      <c r="I20" s="43" t="s">
        <v>1227</v>
      </c>
      <c r="J20" s="43" t="s">
        <v>1202</v>
      </c>
      <c r="K20" s="43" t="s">
        <v>1228</v>
      </c>
    </row>
    <row r="21" customFormat="false" ht="13.5" hidden="false" customHeight="true" outlineLevel="0" collapsed="false">
      <c r="B21" s="40" t="s">
        <v>607</v>
      </c>
      <c r="C21" s="41" t="s">
        <v>52</v>
      </c>
      <c r="D21" s="41" t="n">
        <f aca="false">COUNTIF('Coffee Audit'!C2:C2000,B21)</f>
        <v>1</v>
      </c>
      <c r="E21" s="41" t="n">
        <f aca="false">SUMPRODUCT(('Coffee Audit'!C2:C2000=B21)*('Coffee Audit'!W2:W2000="⭐ GESHA"))</f>
        <v>1</v>
      </c>
      <c r="F21" s="41" t="str">
        <f aca="false">IFERROR("S$"&amp;TEXT(AVERAGEIFS('Coffee Audit'!Q2:Q2000,'Coffee Audit'!C2:C2000,B21,'Coffee Audit'!Q2:Q2000,"&gt;0"),"0.00"),"—")</f>
        <v>S$15.00</v>
      </c>
      <c r="G21" s="41" t="s">
        <v>1229</v>
      </c>
      <c r="H21" s="41" t="s">
        <v>1230</v>
      </c>
      <c r="I21" s="41" t="s">
        <v>1231</v>
      </c>
      <c r="J21" s="41" t="s">
        <v>1202</v>
      </c>
      <c r="K21" s="41"/>
    </row>
    <row r="22" customFormat="false" ht="13.5" hidden="false" customHeight="true" outlineLevel="0" collapsed="false">
      <c r="B22" s="42" t="s">
        <v>622</v>
      </c>
      <c r="C22" s="43" t="s">
        <v>52</v>
      </c>
      <c r="D22" s="43" t="n">
        <f aca="false">COUNTIF('Coffee Audit'!C2:C2000,B22)</f>
        <v>1</v>
      </c>
      <c r="E22" s="43" t="n">
        <f aca="false">SUMPRODUCT(('Coffee Audit'!C2:C2000=B22)*('Coffee Audit'!W2:W2000="⭐ GESHA"))</f>
        <v>1</v>
      </c>
      <c r="F22" s="43" t="str">
        <f aca="false">IFERROR("S$"&amp;TEXT(AVERAGEIFS('Coffee Audit'!Q2:Q2000,'Coffee Audit'!C2:C2000,B22,'Coffee Audit'!Q2:Q2000,"&gt;0"),"0.00"),"—")</f>
        <v>S$16.00</v>
      </c>
      <c r="G22" s="43" t="s">
        <v>1232</v>
      </c>
      <c r="H22" s="43" t="s">
        <v>814</v>
      </c>
      <c r="I22" s="43" t="s">
        <v>1233</v>
      </c>
      <c r="J22" s="43" t="s">
        <v>1202</v>
      </c>
      <c r="K22" s="43" t="s">
        <v>1234</v>
      </c>
    </row>
    <row r="23" customFormat="false" ht="13.5" hidden="false" customHeight="true" outlineLevel="0" collapsed="false">
      <c r="B23" s="40" t="s">
        <v>115</v>
      </c>
      <c r="C23" s="41" t="s">
        <v>52</v>
      </c>
      <c r="D23" s="41" t="n">
        <f aca="false">COUNTIF('Coffee Audit'!C2:C2000,B23)</f>
        <v>1</v>
      </c>
      <c r="E23" s="41" t="n">
        <f aca="false">SUMPRODUCT(('Coffee Audit'!C2:C2000=B23)*('Coffee Audit'!W2:W2000="⭐ GESHA"))</f>
        <v>0</v>
      </c>
      <c r="F23" s="41" t="str">
        <f aca="false">IFERROR("S$"&amp;TEXT(AVERAGEIFS('Coffee Audit'!Q2:Q2000,'Coffee Audit'!C2:C2000,B23,'Coffee Audit'!Q2:Q2000,"&gt;0"),"0.00"),"—")</f>
        <v>—</v>
      </c>
      <c r="G23" s="41" t="s">
        <v>1235</v>
      </c>
      <c r="H23" s="41" t="s">
        <v>1236</v>
      </c>
      <c r="I23" s="41" t="s">
        <v>1237</v>
      </c>
      <c r="J23" s="41" t="s">
        <v>1202</v>
      </c>
      <c r="K23" s="41" t="s">
        <v>1238</v>
      </c>
    </row>
    <row r="24" customFormat="false" ht="13.5" hidden="false" customHeight="true" outlineLevel="0" collapsed="false">
      <c r="B24" s="42" t="s">
        <v>443</v>
      </c>
      <c r="C24" s="43" t="s">
        <v>52</v>
      </c>
      <c r="D24" s="43" t="n">
        <f aca="false">COUNTIF('Coffee Audit'!C2:C2000,B24)</f>
        <v>2</v>
      </c>
      <c r="E24" s="43" t="n">
        <f aca="false">SUMPRODUCT(('Coffee Audit'!C2:C2000=B24)*('Coffee Audit'!W2:W2000="⭐ GESHA"))</f>
        <v>0</v>
      </c>
      <c r="F24" s="43" t="str">
        <f aca="false">IFERROR("S$"&amp;TEXT(AVERAGEIFS('Coffee Audit'!Q2:Q2000,'Coffee Audit'!C2:C2000,B24,'Coffee Audit'!Q2:Q2000,"&gt;0"),"0.00"),"—")</f>
        <v>S$9.50</v>
      </c>
      <c r="G24" s="43" t="s">
        <v>455</v>
      </c>
      <c r="H24" s="43" t="s">
        <v>1236</v>
      </c>
      <c r="I24" s="43" t="s">
        <v>1237</v>
      </c>
      <c r="J24" s="43" t="s">
        <v>1223</v>
      </c>
      <c r="K24" s="43" t="s">
        <v>1239</v>
      </c>
    </row>
    <row r="25" customFormat="false" ht="13.5" hidden="false" customHeight="true" outlineLevel="0" collapsed="false">
      <c r="B25" s="40" t="s">
        <v>401</v>
      </c>
      <c r="C25" s="41" t="s">
        <v>52</v>
      </c>
      <c r="D25" s="41" t="n">
        <f aca="false">COUNTIF('Coffee Audit'!C2:C2000,B25)</f>
        <v>2</v>
      </c>
      <c r="E25" s="41" t="n">
        <f aca="false">SUMPRODUCT(('Coffee Audit'!C2:C2000=B25)*('Coffee Audit'!W2:W2000="⭐ GESHA"))</f>
        <v>1</v>
      </c>
      <c r="F25" s="41" t="str">
        <f aca="false">IFERROR("S$"&amp;TEXT(AVERAGEIFS('Coffee Audit'!Q2:Q2000,'Coffee Audit'!C2:C2000,B25,'Coffee Audit'!Q2:Q2000,"&gt;0"),"0.00"),"—")</f>
        <v>S$14.00</v>
      </c>
      <c r="G25" s="41" t="s">
        <v>1240</v>
      </c>
      <c r="H25" s="41" t="s">
        <v>1241</v>
      </c>
      <c r="I25" s="41" t="s">
        <v>1242</v>
      </c>
      <c r="J25" s="41" t="s">
        <v>1202</v>
      </c>
      <c r="K25" s="41" t="s">
        <v>1243</v>
      </c>
    </row>
    <row r="26" customFormat="false" ht="13.5" hidden="false" customHeight="true" outlineLevel="0" collapsed="false">
      <c r="B26" s="42" t="s">
        <v>179</v>
      </c>
      <c r="C26" s="43" t="s">
        <v>52</v>
      </c>
      <c r="D26" s="43" t="n">
        <f aca="false">COUNTIF('Coffee Audit'!C2:C2000,B26)</f>
        <v>2</v>
      </c>
      <c r="E26" s="43" t="n">
        <f aca="false">SUMPRODUCT(('Coffee Audit'!C2:C2000=B26)*('Coffee Audit'!W2:W2000="⭐ GESHA"))</f>
        <v>0</v>
      </c>
      <c r="F26" s="43" t="str">
        <f aca="false">IFERROR("S$"&amp;TEXT(AVERAGEIFS('Coffee Audit'!Q2:Q2000,'Coffee Audit'!C2:C2000,B26,'Coffee Audit'!Q2:Q2000,"&gt;0"),"0.00"),"—")</f>
        <v>S$9.00</v>
      </c>
      <c r="G26" s="43" t="s">
        <v>1244</v>
      </c>
      <c r="H26" s="43" t="s">
        <v>814</v>
      </c>
      <c r="I26" s="43" t="s">
        <v>1245</v>
      </c>
      <c r="J26" s="43" t="s">
        <v>1202</v>
      </c>
      <c r="K26" s="43" t="s">
        <v>1246</v>
      </c>
    </row>
    <row r="27" customFormat="false" ht="13.5" hidden="false" customHeight="true" outlineLevel="0" collapsed="false">
      <c r="B27" s="40" t="s">
        <v>332</v>
      </c>
      <c r="C27" s="41" t="s">
        <v>52</v>
      </c>
      <c r="D27" s="41" t="n">
        <f aca="false">COUNTIF('Coffee Audit'!C2:C2000,B27)</f>
        <v>1</v>
      </c>
      <c r="E27" s="41" t="n">
        <f aca="false">SUMPRODUCT(('Coffee Audit'!C2:C2000=B27)*('Coffee Audit'!W2:W2000="⭐ GESHA"))</f>
        <v>1</v>
      </c>
      <c r="F27" s="41" t="str">
        <f aca="false">IFERROR("S$"&amp;TEXT(AVERAGEIFS('Coffee Audit'!Q2:Q2000,'Coffee Audit'!C2:C2000,B27,'Coffee Audit'!Q2:Q2000,"&gt;0"),"0.00"),"—")</f>
        <v>S$18.00</v>
      </c>
      <c r="G27" s="41" t="s">
        <v>1247</v>
      </c>
      <c r="H27" s="41" t="s">
        <v>1248</v>
      </c>
      <c r="I27" s="41" t="s">
        <v>814</v>
      </c>
      <c r="J27" s="41" t="s">
        <v>1202</v>
      </c>
      <c r="K27" s="41" t="s">
        <v>1249</v>
      </c>
    </row>
    <row r="28" customFormat="false" ht="13.5" hidden="false" customHeight="true" outlineLevel="0" collapsed="false">
      <c r="B28" s="42" t="s">
        <v>104</v>
      </c>
      <c r="C28" s="43" t="s">
        <v>52</v>
      </c>
      <c r="D28" s="43" t="n">
        <f aca="false">COUNTIF('Coffee Audit'!C2:C2000,B28)</f>
        <v>2</v>
      </c>
      <c r="E28" s="43" t="n">
        <f aca="false">SUMPRODUCT(('Coffee Audit'!C2:C2000=B28)*('Coffee Audit'!W2:W2000="⭐ GESHA"))</f>
        <v>0</v>
      </c>
      <c r="F28" s="43" t="str">
        <f aca="false">IFERROR("S$"&amp;TEXT(AVERAGEIFS('Coffee Audit'!Q2:Q2000,'Coffee Audit'!C2:C2000,B28,'Coffee Audit'!Q2:Q2000,"&gt;0"),"0.00"),"—")</f>
        <v>S$15.00</v>
      </c>
      <c r="G28" s="43" t="s">
        <v>1250</v>
      </c>
      <c r="H28" s="43" t="s">
        <v>1251</v>
      </c>
      <c r="I28" s="43" t="s">
        <v>814</v>
      </c>
      <c r="J28" s="43" t="s">
        <v>1202</v>
      </c>
      <c r="K28" s="43" t="s">
        <v>1252</v>
      </c>
    </row>
    <row r="29" customFormat="false" ht="13.5" hidden="false" customHeight="true" outlineLevel="0" collapsed="false">
      <c r="B29" s="40" t="s">
        <v>132</v>
      </c>
      <c r="C29" s="41" t="s">
        <v>52</v>
      </c>
      <c r="D29" s="41" t="n">
        <f aca="false">COUNTIF('Coffee Audit'!C2:C2000,B29)</f>
        <v>3</v>
      </c>
      <c r="E29" s="41" t="n">
        <f aca="false">SUMPRODUCT(('Coffee Audit'!C2:C2000=B29)*('Coffee Audit'!W2:W2000="⭐ GESHA"))</f>
        <v>0</v>
      </c>
      <c r="F29" s="41" t="str">
        <f aca="false">IFERROR("S$"&amp;TEXT(AVERAGEIFS('Coffee Audit'!Q2:Q2000,'Coffee Audit'!C2:C2000,B29,'Coffee Audit'!Q2:Q2000,"&gt;0"),"0.00"),"—")</f>
        <v>—</v>
      </c>
      <c r="G29" s="41" t="s">
        <v>1253</v>
      </c>
      <c r="H29" s="41" t="s">
        <v>1254</v>
      </c>
      <c r="I29" s="41" t="s">
        <v>814</v>
      </c>
      <c r="J29" s="41" t="s">
        <v>1202</v>
      </c>
      <c r="K29" s="41" t="s">
        <v>1255</v>
      </c>
    </row>
    <row r="30" customFormat="false" ht="13.5" hidden="false" customHeight="true" outlineLevel="0" collapsed="false">
      <c r="B30" s="42" t="s">
        <v>431</v>
      </c>
      <c r="C30" s="43" t="s">
        <v>52</v>
      </c>
      <c r="D30" s="43" t="n">
        <f aca="false">COUNTIF('Coffee Audit'!C2:C2000,B30)</f>
        <v>2</v>
      </c>
      <c r="E30" s="43" t="n">
        <f aca="false">SUMPRODUCT(('Coffee Audit'!C2:C2000=B30)*('Coffee Audit'!W2:W2000="⭐ GESHA"))</f>
        <v>2</v>
      </c>
      <c r="F30" s="43" t="str">
        <f aca="false">IFERROR("S$"&amp;TEXT(AVERAGEIFS('Coffee Audit'!Q2:Q2000,'Coffee Audit'!C2:C2000,B30,'Coffee Audit'!Q2:Q2000,"&gt;0"),"0.00"),"—")</f>
        <v>S$12.50</v>
      </c>
      <c r="G30" s="43" t="s">
        <v>1256</v>
      </c>
      <c r="H30" s="43" t="s">
        <v>1257</v>
      </c>
      <c r="I30" s="43" t="s">
        <v>1258</v>
      </c>
      <c r="J30" s="43" t="s">
        <v>1202</v>
      </c>
      <c r="K30" s="43" t="s">
        <v>1259</v>
      </c>
    </row>
    <row r="31" customFormat="false" ht="13.5" hidden="false" customHeight="true" outlineLevel="0" collapsed="false">
      <c r="B31" s="40" t="s">
        <v>577</v>
      </c>
      <c r="C31" s="41" t="s">
        <v>52</v>
      </c>
      <c r="D31" s="41" t="n">
        <f aca="false">COUNTIF('Coffee Audit'!C2:C2000,B31)</f>
        <v>1</v>
      </c>
      <c r="E31" s="41" t="n">
        <f aca="false">SUMPRODUCT(('Coffee Audit'!C2:C2000=B31)*('Coffee Audit'!W2:W2000="⭐ GESHA"))</f>
        <v>1</v>
      </c>
      <c r="F31" s="41" t="str">
        <f aca="false">IFERROR("S$"&amp;TEXT(AVERAGEIFS('Coffee Audit'!Q2:Q2000,'Coffee Audit'!C2:C2000,B31,'Coffee Audit'!Q2:Q2000,"&gt;0"),"0.00"),"—")</f>
        <v>S$9.90</v>
      </c>
      <c r="G31" s="41" t="s">
        <v>1260</v>
      </c>
      <c r="H31" s="41" t="s">
        <v>1261</v>
      </c>
      <c r="I31" s="41" t="s">
        <v>1262</v>
      </c>
      <c r="J31" s="41" t="s">
        <v>1202</v>
      </c>
      <c r="K31" s="41" t="s">
        <v>1263</v>
      </c>
    </row>
    <row r="32" customFormat="false" ht="13.5" hidden="false" customHeight="true" outlineLevel="0" collapsed="false">
      <c r="B32" s="42" t="s">
        <v>278</v>
      </c>
      <c r="C32" s="43" t="s">
        <v>52</v>
      </c>
      <c r="D32" s="43" t="n">
        <f aca="false">COUNTIF('Coffee Audit'!C2:C2000,B32)</f>
        <v>2</v>
      </c>
      <c r="E32" s="43" t="n">
        <f aca="false">SUMPRODUCT(('Coffee Audit'!C2:C2000=B32)*('Coffee Audit'!W2:W2000="⭐ GESHA"))</f>
        <v>0</v>
      </c>
      <c r="F32" s="43" t="str">
        <f aca="false">IFERROR("S$"&amp;TEXT(AVERAGEIFS('Coffee Audit'!Q2:Q2000,'Coffee Audit'!C2:C2000,B32,'Coffee Audit'!Q2:Q2000,"&gt;0"),"0.00"),"—")</f>
        <v>S$8.50</v>
      </c>
      <c r="G32" s="43" t="s">
        <v>1264</v>
      </c>
      <c r="H32" s="43" t="s">
        <v>1265</v>
      </c>
      <c r="I32" s="43" t="s">
        <v>1266</v>
      </c>
      <c r="J32" s="43" t="s">
        <v>1202</v>
      </c>
      <c r="K32" s="43" t="s">
        <v>1267</v>
      </c>
    </row>
    <row r="33" customFormat="false" ht="13.5" hidden="false" customHeight="true" outlineLevel="0" collapsed="false">
      <c r="B33" s="40" t="s">
        <v>1268</v>
      </c>
      <c r="C33" s="41" t="s">
        <v>52</v>
      </c>
      <c r="D33" s="41" t="n">
        <f aca="false">COUNTIF('Coffee Audit'!C2:C2000,B33)</f>
        <v>0</v>
      </c>
      <c r="E33" s="41" t="n">
        <f aca="false">SUMPRODUCT(('Coffee Audit'!C2:C2000=B33)*('Coffee Audit'!W2:W2000="⭐ GESHA"))</f>
        <v>0</v>
      </c>
      <c r="F33" s="41" t="str">
        <f aca="false">IFERROR("S$"&amp;TEXT(AVERAGEIFS('Coffee Audit'!Q2:Q2000,'Coffee Audit'!C2:C2000,B33,'Coffee Audit'!Q2:Q2000,"&gt;0"),"0.00"),"—")</f>
        <v>—</v>
      </c>
      <c r="G33" s="41" t="s">
        <v>1269</v>
      </c>
      <c r="H33" s="41" t="s">
        <v>1265</v>
      </c>
      <c r="I33" s="41" t="s">
        <v>1266</v>
      </c>
      <c r="J33" s="41" t="s">
        <v>1202</v>
      </c>
      <c r="K33" s="41" t="s">
        <v>1270</v>
      </c>
    </row>
    <row r="34" customFormat="false" ht="13.5" hidden="false" customHeight="true" outlineLevel="0" collapsed="false">
      <c r="B34" s="42" t="s">
        <v>192</v>
      </c>
      <c r="C34" s="43" t="s">
        <v>52</v>
      </c>
      <c r="D34" s="43" t="n">
        <f aca="false">COUNTIF('Coffee Audit'!C2:C2000,B34)</f>
        <v>1</v>
      </c>
      <c r="E34" s="43" t="n">
        <f aca="false">SUMPRODUCT(('Coffee Audit'!C2:C2000=B34)*('Coffee Audit'!W2:W2000="⭐ GESHA"))</f>
        <v>1</v>
      </c>
      <c r="F34" s="43" t="str">
        <f aca="false">IFERROR("S$"&amp;TEXT(AVERAGEIFS('Coffee Audit'!Q2:Q2000,'Coffee Audit'!C2:C2000,B34,'Coffee Audit'!Q2:Q2000,"&gt;0"),"0.00"),"—")</f>
        <v>S$12.00</v>
      </c>
      <c r="G34" s="43" t="s">
        <v>1271</v>
      </c>
      <c r="H34" s="43" t="s">
        <v>1272</v>
      </c>
      <c r="I34" s="43" t="s">
        <v>1273</v>
      </c>
      <c r="J34" s="43" t="s">
        <v>1202</v>
      </c>
      <c r="K34" s="43" t="s">
        <v>1274</v>
      </c>
    </row>
    <row r="35" customFormat="false" ht="13.5" hidden="false" customHeight="true" outlineLevel="0" collapsed="false">
      <c r="B35" s="40" t="s">
        <v>153</v>
      </c>
      <c r="C35" s="41" t="s">
        <v>52</v>
      </c>
      <c r="D35" s="41" t="n">
        <f aca="false">COUNTIF('Coffee Audit'!C2:C2000,B35)</f>
        <v>2</v>
      </c>
      <c r="E35" s="41" t="n">
        <f aca="false">SUMPRODUCT(('Coffee Audit'!C2:C2000=B35)*('Coffee Audit'!W2:W2000="⭐ GESHA"))</f>
        <v>0</v>
      </c>
      <c r="F35" s="41" t="str">
        <f aca="false">IFERROR("S$"&amp;TEXT(AVERAGEIFS('Coffee Audit'!Q2:Q2000,'Coffee Audit'!C2:C2000,B35,'Coffee Audit'!Q2:Q2000,"&gt;0"),"0.00"),"—")</f>
        <v>S$6.55</v>
      </c>
      <c r="G35" s="41" t="s">
        <v>1275</v>
      </c>
      <c r="H35" s="41" t="s">
        <v>814</v>
      </c>
      <c r="I35" s="41" t="s">
        <v>1276</v>
      </c>
      <c r="J35" s="41" t="s">
        <v>1202</v>
      </c>
      <c r="K35" s="41" t="s">
        <v>1277</v>
      </c>
    </row>
    <row r="36" customFormat="false" ht="13.5" hidden="false" customHeight="true" outlineLevel="0" collapsed="false">
      <c r="B36" s="42" t="s">
        <v>289</v>
      </c>
      <c r="C36" s="43" t="s">
        <v>52</v>
      </c>
      <c r="D36" s="43" t="n">
        <f aca="false">COUNTIF('Coffee Audit'!C2:C2000,B36)</f>
        <v>2</v>
      </c>
      <c r="E36" s="43" t="n">
        <f aca="false">SUMPRODUCT(('Coffee Audit'!C2:C2000=B36)*('Coffee Audit'!W2:W2000="⭐ GESHA"))</f>
        <v>0</v>
      </c>
      <c r="F36" s="43" t="str">
        <f aca="false">IFERROR("S$"&amp;TEXT(AVERAGEIFS('Coffee Audit'!Q2:Q2000,'Coffee Audit'!C2:C2000,B36,'Coffee Audit'!Q2:Q2000,"&gt;0"),"0.00"),"—")</f>
        <v>S$9.39</v>
      </c>
      <c r="G36" s="43" t="s">
        <v>1278</v>
      </c>
      <c r="H36" s="43" t="s">
        <v>1279</v>
      </c>
      <c r="I36" s="43" t="s">
        <v>1280</v>
      </c>
      <c r="J36" s="43" t="s">
        <v>1202</v>
      </c>
      <c r="K36" s="43" t="s">
        <v>1281</v>
      </c>
    </row>
    <row r="37" customFormat="false" ht="13.5" hidden="false" customHeight="true" outlineLevel="0" collapsed="false">
      <c r="B37" s="40" t="s">
        <v>416</v>
      </c>
      <c r="C37" s="41" t="s">
        <v>52</v>
      </c>
      <c r="D37" s="41" t="n">
        <f aca="false">COUNTIF('Coffee Audit'!C2:C2000,B37)</f>
        <v>1</v>
      </c>
      <c r="E37" s="41" t="n">
        <f aca="false">SUMPRODUCT(('Coffee Audit'!C2:C2000=B37)*('Coffee Audit'!W2:W2000="⭐ GESHA"))</f>
        <v>0</v>
      </c>
      <c r="F37" s="41" t="str">
        <f aca="false">IFERROR("S$"&amp;TEXT(AVERAGEIFS('Coffee Audit'!Q2:Q2000,'Coffee Audit'!C2:C2000,B37,'Coffee Audit'!Q2:Q2000,"&gt;0"),"0.00"),"—")</f>
        <v>S$13.00</v>
      </c>
      <c r="G37" s="41" t="s">
        <v>1282</v>
      </c>
      <c r="H37" s="41" t="s">
        <v>1283</v>
      </c>
      <c r="I37" s="41" t="s">
        <v>814</v>
      </c>
      <c r="J37" s="41" t="s">
        <v>1202</v>
      </c>
      <c r="K37" s="41" t="s">
        <v>1284</v>
      </c>
    </row>
    <row r="38" customFormat="false" ht="13.5" hidden="false" customHeight="true" outlineLevel="0" collapsed="false">
      <c r="B38" s="42" t="s">
        <v>502</v>
      </c>
      <c r="C38" s="43" t="s">
        <v>52</v>
      </c>
      <c r="D38" s="43" t="n">
        <f aca="false">COUNTIF('Coffee Audit'!C2:C2000,B38)</f>
        <v>1</v>
      </c>
      <c r="E38" s="43" t="n">
        <f aca="false">SUMPRODUCT(('Coffee Audit'!C2:C2000=B38)*('Coffee Audit'!W2:W2000="⭐ GESHA"))</f>
        <v>0</v>
      </c>
      <c r="F38" s="43" t="str">
        <f aca="false">IFERROR("S$"&amp;TEXT(AVERAGEIFS('Coffee Audit'!Q2:Q2000,'Coffee Audit'!C2:C2000,B38,'Coffee Audit'!Q2:Q2000,"&gt;0"),"0.00"),"—")</f>
        <v>S$6.00</v>
      </c>
      <c r="G38" s="43" t="s">
        <v>1285</v>
      </c>
      <c r="H38" s="43" t="s">
        <v>1286</v>
      </c>
      <c r="I38" s="43" t="s">
        <v>814</v>
      </c>
      <c r="J38" s="43" t="s">
        <v>1202</v>
      </c>
      <c r="K38" s="43" t="s">
        <v>1287</v>
      </c>
    </row>
    <row r="39" customFormat="false" ht="13.5" hidden="false" customHeight="true" outlineLevel="0" collapsed="false">
      <c r="B39" s="40" t="s">
        <v>456</v>
      </c>
      <c r="C39" s="41" t="s">
        <v>52</v>
      </c>
      <c r="D39" s="41" t="n">
        <f aca="false">COUNTIF('Coffee Audit'!C2:C2000,B39)</f>
        <v>1</v>
      </c>
      <c r="E39" s="41" t="n">
        <f aca="false">SUMPRODUCT(('Coffee Audit'!C2:C2000=B39)*('Coffee Audit'!W2:W2000="⭐ GESHA"))</f>
        <v>0</v>
      </c>
      <c r="F39" s="41" t="str">
        <f aca="false">IFERROR("S$"&amp;TEXT(AVERAGEIFS('Coffee Audit'!Q2:Q2000,'Coffee Audit'!C2:C2000,B39,'Coffee Audit'!Q2:Q2000,"&gt;0"),"0.00"),"—")</f>
        <v>S$9.00</v>
      </c>
      <c r="G39" s="41" t="s">
        <v>1288</v>
      </c>
      <c r="H39" s="41" t="s">
        <v>814</v>
      </c>
      <c r="I39" s="41" t="s">
        <v>814</v>
      </c>
      <c r="J39" s="41" t="s">
        <v>1202</v>
      </c>
      <c r="K39" s="41" t="s">
        <v>1289</v>
      </c>
    </row>
    <row r="40" customFormat="false" ht="13.5" hidden="false" customHeight="true" outlineLevel="0" collapsed="false">
      <c r="B40" s="46" t="s">
        <v>302</v>
      </c>
      <c r="C40" s="47" t="s">
        <v>52</v>
      </c>
      <c r="D40" s="47" t="n">
        <f aca="false">COUNTIF('Coffee Audit'!C2:C2000,B40)</f>
        <v>1</v>
      </c>
      <c r="E40" s="47" t="n">
        <f aca="false">SUMPRODUCT(('Coffee Audit'!C2:C2000=B40)*('Coffee Audit'!W2:W2000="⭐ GESHA"))</f>
        <v>0</v>
      </c>
      <c r="F40" s="47" t="str">
        <f aca="false">IFERROR("S$"&amp;TEXT(AVERAGEIFS('Coffee Audit'!Q2:Q2000,'Coffee Audit'!C2:C2000,B40,'Coffee Audit'!Q2:Q2000,"&gt;0"),"0.00"),"—")</f>
        <v>S$9.00</v>
      </c>
      <c r="G40" s="47" t="s">
        <v>1290</v>
      </c>
      <c r="H40" s="47" t="s">
        <v>814</v>
      </c>
      <c r="I40" s="47" t="s">
        <v>814</v>
      </c>
      <c r="J40" s="47" t="s">
        <v>1291</v>
      </c>
      <c r="K40" s="47" t="s">
        <v>1292</v>
      </c>
    </row>
    <row r="41" customFormat="false" ht="13.5" hidden="false" customHeight="true" outlineLevel="0" collapsed="false">
      <c r="B41" s="46" t="s">
        <v>88</v>
      </c>
      <c r="C41" s="47" t="s">
        <v>52</v>
      </c>
      <c r="D41" s="47" t="n">
        <f aca="false">COUNTIF('Coffee Audit'!C2:C2000,B41)</f>
        <v>2</v>
      </c>
      <c r="E41" s="47" t="n">
        <f aca="false">SUMPRODUCT(('Coffee Audit'!C2:C2000=B41)*('Coffee Audit'!W2:W2000="⭐ GESHA"))</f>
        <v>0</v>
      </c>
      <c r="F41" s="47" t="str">
        <f aca="false">IFERROR("S$"&amp;TEXT(AVERAGEIFS('Coffee Audit'!Q2:Q2000,'Coffee Audit'!C2:C2000,B41,'Coffee Audit'!Q2:Q2000,"&gt;0"),"0.00"),"—")</f>
        <v>—</v>
      </c>
      <c r="G41" s="47" t="s">
        <v>1293</v>
      </c>
      <c r="H41" s="47" t="s">
        <v>814</v>
      </c>
      <c r="I41" s="47" t="s">
        <v>814</v>
      </c>
      <c r="J41" s="47" t="s">
        <v>1291</v>
      </c>
      <c r="K41" s="47" t="s">
        <v>1294</v>
      </c>
    </row>
    <row r="42" customFormat="false" ht="13.5" hidden="false" customHeight="true" outlineLevel="0" collapsed="false">
      <c r="B42" s="40" t="s">
        <v>25</v>
      </c>
      <c r="C42" s="41" t="s">
        <v>24</v>
      </c>
      <c r="D42" s="41" t="n">
        <f aca="false">COUNTIF('Coffee Audit'!C2:C2000,B42)</f>
        <v>3</v>
      </c>
      <c r="E42" s="41" t="n">
        <f aca="false">SUMPRODUCT(('Coffee Audit'!C2:C2000=B42)*('Coffee Audit'!W2:W2000="⭐ GESHA"))</f>
        <v>0</v>
      </c>
      <c r="F42" s="41" t="str">
        <f aca="false">IFERROR("S$"&amp;TEXT(AVERAGEIFS('Coffee Audit'!Q2:Q2000,'Coffee Audit'!C2:C2000,B42,'Coffee Audit'!Q2:Q2000,"&gt;0"),"0.00"),"—")</f>
        <v>—</v>
      </c>
      <c r="G42" s="41" t="s">
        <v>1295</v>
      </c>
      <c r="H42" s="41" t="s">
        <v>1296</v>
      </c>
      <c r="I42" s="41" t="s">
        <v>1297</v>
      </c>
      <c r="J42" s="41" t="s">
        <v>1298</v>
      </c>
      <c r="K42" s="41" t="s">
        <v>1299</v>
      </c>
    </row>
    <row r="43" customFormat="false" ht="13.5" hidden="false" customHeight="true" outlineLevel="0" collapsed="false">
      <c r="B43" s="40" t="s">
        <v>70</v>
      </c>
      <c r="C43" s="41" t="s">
        <v>69</v>
      </c>
      <c r="D43" s="41" t="n">
        <f aca="false">COUNTIF('Coffee Audit'!C2:C2000,B43)</f>
        <v>1</v>
      </c>
      <c r="E43" s="41" t="n">
        <f aca="false">SUMPRODUCT(('Coffee Audit'!C2:C2000=B43)*('Coffee Audit'!W2:W2000="⭐ GESHA"))</f>
        <v>0</v>
      </c>
      <c r="F43" s="41" t="str">
        <f aca="false">IFERROR("S$"&amp;TEXT(AVERAGEIFS('Coffee Audit'!Q2:Q2000,'Coffee Audit'!C2:C2000,B43,'Coffee Audit'!Q2:Q2000,"&gt;0"),"0.00"),"—")</f>
        <v>—</v>
      </c>
      <c r="G43" s="41" t="s">
        <v>1300</v>
      </c>
      <c r="H43" s="41" t="s">
        <v>1301</v>
      </c>
      <c r="I43" s="41" t="s">
        <v>1302</v>
      </c>
      <c r="J43" s="41" t="s">
        <v>1298</v>
      </c>
      <c r="K43" s="41" t="s">
        <v>1303</v>
      </c>
    </row>
    <row r="44" customFormat="false" ht="13.5" hidden="false" customHeight="true" outlineLevel="0" collapsed="false">
      <c r="B44" s="40" t="s">
        <v>80</v>
      </c>
      <c r="C44" s="41" t="s">
        <v>69</v>
      </c>
      <c r="D44" s="41" t="n">
        <f aca="false">COUNTIF('Coffee Audit'!C2:C2000,B44)</f>
        <v>1</v>
      </c>
      <c r="E44" s="41" t="n">
        <f aca="false">SUMPRODUCT(('Coffee Audit'!C2:C2000=B44)*('Coffee Audit'!W2:W2000="⭐ GESHA"))</f>
        <v>0</v>
      </c>
      <c r="F44" s="41" t="str">
        <f aca="false">IFERROR("S$"&amp;TEXT(AVERAGEIFS('Coffee Audit'!Q2:Q2000,'Coffee Audit'!C2:C2000,B44,'Coffee Audit'!Q2:Q2000,"&gt;0"),"0.00"),"—")</f>
        <v>—</v>
      </c>
      <c r="G44" s="41" t="s">
        <v>1304</v>
      </c>
      <c r="H44" s="41" t="s">
        <v>1305</v>
      </c>
      <c r="I44" s="41" t="s">
        <v>814</v>
      </c>
      <c r="J44" s="41" t="s">
        <v>1298</v>
      </c>
      <c r="K44" s="41" t="s">
        <v>1303</v>
      </c>
    </row>
    <row r="45" customFormat="false" ht="13.5" hidden="false" customHeight="true" outlineLevel="0" collapsed="false">
      <c r="B45" s="44" t="s">
        <v>228</v>
      </c>
      <c r="C45" s="45" t="s">
        <v>227</v>
      </c>
      <c r="D45" s="45" t="n">
        <f aca="false">COUNTIF('Coffee Audit'!C2:C2000,B45)</f>
        <v>1</v>
      </c>
      <c r="E45" s="45" t="n">
        <f aca="false">SUMPRODUCT(('Coffee Audit'!C2:C2000=B45)*('Coffee Audit'!W2:W2000="⭐ GESHA"))</f>
        <v>0</v>
      </c>
      <c r="F45" s="45" t="str">
        <f aca="false">IFERROR("S$"&amp;TEXT(AVERAGEIFS('Coffee Audit'!Q2:Q2000,'Coffee Audit'!C2:C2000,B45,'Coffee Audit'!Q2:Q2000,"&gt;0"),"0.00"),"—")</f>
        <v>S$11.08</v>
      </c>
      <c r="G45" s="45" t="s">
        <v>1306</v>
      </c>
      <c r="H45" s="45" t="s">
        <v>814</v>
      </c>
      <c r="I45" s="45" t="s">
        <v>814</v>
      </c>
      <c r="J45" s="45" t="s">
        <v>1223</v>
      </c>
      <c r="K45" s="45" t="s">
        <v>1307</v>
      </c>
    </row>
    <row r="46" customFormat="false" ht="7.5" hidden="false" customHeight="true" outlineLevel="0" collapsed="false">
      <c r="B46" s="44" t="s">
        <v>749</v>
      </c>
      <c r="C46" s="45" t="s">
        <v>52</v>
      </c>
      <c r="D46" s="45" t="n">
        <f aca="false">COUNTIF('Coffee Audit'!C2:C2000,B46)</f>
        <v>1</v>
      </c>
      <c r="E46" s="45" t="n">
        <f aca="false">SUMPRODUCT(('Coffee Audit'!C2:C2000=B46)*('Coffee Audit'!W2:W2000="⭐ GESHA"))</f>
        <v>1</v>
      </c>
      <c r="F46" s="45" t="str">
        <f aca="false">IFERROR("S$"&amp;TEXT(AVERAGEIFS('Coffee Audit'!Q2:Q2000,'Coffee Audit'!C2:C2000,B46,'Coffee Audit'!Q2:Q2000,"&gt;0"),"0.00"),"—")</f>
        <v>S$12.00</v>
      </c>
      <c r="G46" s="45" t="s">
        <v>759</v>
      </c>
      <c r="H46" s="45" t="s">
        <v>1308</v>
      </c>
      <c r="I46" s="45" t="s">
        <v>1309</v>
      </c>
      <c r="J46" s="45" t="s">
        <v>1223</v>
      </c>
      <c r="K46" s="45" t="s">
        <v>1310</v>
      </c>
    </row>
    <row r="47" customFormat="false" ht="15.75" hidden="false" customHeight="true" outlineLevel="0" collapsed="false">
      <c r="B47" s="44" t="s">
        <v>738</v>
      </c>
      <c r="C47" s="45" t="s">
        <v>52</v>
      </c>
      <c r="D47" s="45" t="n">
        <f aca="false">COUNTIF('Coffee Audit'!C2:C2000,B47)</f>
        <v>2</v>
      </c>
      <c r="E47" s="45" t="n">
        <f aca="false">SUMPRODUCT(('Coffee Audit'!C2:C2000=B47)*('Coffee Audit'!W2:W2000="⭐ GESHA"))</f>
        <v>0</v>
      </c>
      <c r="F47" s="45" t="str">
        <f aca="false">IFERROR("S$"&amp;TEXT(AVERAGEIFS('Coffee Audit'!Q2:Q2000,'Coffee Audit'!C2:C2000,B47,'Coffee Audit'!Q2:Q2000,"&gt;0"),"0.00"),"—")</f>
        <v>S$9.50</v>
      </c>
      <c r="G47" s="45" t="s">
        <v>748</v>
      </c>
      <c r="H47" s="45" t="s">
        <v>1265</v>
      </c>
      <c r="I47" s="45" t="s">
        <v>1266</v>
      </c>
      <c r="J47" s="45" t="s">
        <v>1202</v>
      </c>
      <c r="K47" s="45" t="s">
        <v>1311</v>
      </c>
    </row>
    <row r="48" customFormat="false" ht="13.5" hidden="false" customHeight="true" outlineLevel="0" collapsed="false">
      <c r="B48" s="44" t="s">
        <v>668</v>
      </c>
      <c r="C48" s="45" t="s">
        <v>52</v>
      </c>
      <c r="D48" s="45" t="n">
        <f aca="false">COUNTIF('Coffee Audit'!C2:C2000,B48)</f>
        <v>3</v>
      </c>
      <c r="E48" s="45" t="n">
        <f aca="false">SUMPRODUCT(('Coffee Audit'!C2:C2000=B48)*('Coffee Audit'!W2:W2000="⭐ GESHA"))</f>
        <v>2</v>
      </c>
      <c r="F48" s="45" t="str">
        <f aca="false">IFERROR("S$"&amp;TEXT(AVERAGEIFS('Coffee Audit'!Q2:Q2000,'Coffee Audit'!C2:C2000,B48,'Coffee Audit'!Q2:Q2000,"&gt;0"),"0.00"),"—")</f>
        <v>S$26.67</v>
      </c>
      <c r="G48" s="45" t="s">
        <v>1312</v>
      </c>
      <c r="H48" s="45" t="s">
        <v>1313</v>
      </c>
      <c r="I48" s="45" t="s">
        <v>814</v>
      </c>
      <c r="J48" s="45" t="s">
        <v>1291</v>
      </c>
      <c r="K48" s="45" t="s">
        <v>1314</v>
      </c>
    </row>
    <row r="49" customFormat="false" ht="13.5" hidden="false" customHeight="true" outlineLevel="0" collapsed="false">
      <c r="B49" s="44" t="s">
        <v>344</v>
      </c>
      <c r="C49" s="45" t="s">
        <v>52</v>
      </c>
      <c r="D49" s="45" t="n">
        <f aca="false">COUNTIF('Coffee Audit'!C2:C2000,B49)</f>
        <v>2</v>
      </c>
      <c r="E49" s="45" t="n">
        <f aca="false">SUMPRODUCT(('Coffee Audit'!C2:C2000=B49)*('Coffee Audit'!W2:W2000="⭐ GESHA"))</f>
        <v>0</v>
      </c>
      <c r="F49" s="45" t="str">
        <f aca="false">IFERROR("S$"&amp;TEXT(AVERAGEIFS('Coffee Audit'!Q2:Q2000,'Coffee Audit'!C2:C2000,B49,'Coffee Audit'!Q2:Q2000,"&gt;0"),"0.00"),"—")</f>
        <v>S$9.50</v>
      </c>
      <c r="G49" s="45" t="s">
        <v>1315</v>
      </c>
      <c r="H49" s="45" t="s">
        <v>1316</v>
      </c>
      <c r="I49" s="45" t="s">
        <v>814</v>
      </c>
      <c r="J49" s="45" t="s">
        <v>1298</v>
      </c>
      <c r="K49" s="45" t="s">
        <v>1317</v>
      </c>
    </row>
    <row r="50" customFormat="false" ht="13.5" hidden="false" customHeight="true" outlineLevel="0" collapsed="false">
      <c r="B50" s="44" t="s">
        <v>714</v>
      </c>
      <c r="C50" s="45" t="s">
        <v>52</v>
      </c>
      <c r="D50" s="45" t="n">
        <f aca="false">COUNTIF('Coffee Audit'!C2:C2000,B50)</f>
        <v>1</v>
      </c>
      <c r="E50" s="45" t="n">
        <f aca="false">SUMPRODUCT(('Coffee Audit'!C2:C2000=B50)*('Coffee Audit'!W2:W2000="⭐ GESHA"))</f>
        <v>1</v>
      </c>
      <c r="F50" s="45" t="str">
        <f aca="false">IFERROR("S$"&amp;TEXT(AVERAGEIFS('Coffee Audit'!Q2:Q2000,'Coffee Audit'!C2:C2000,B50,'Coffee Audit'!Q2:Q2000,"&gt;0"),"0.00"),"—")</f>
        <v>S$16.00</v>
      </c>
      <c r="G50" s="45" t="s">
        <v>1318</v>
      </c>
      <c r="H50" s="45" t="s">
        <v>1319</v>
      </c>
      <c r="I50" s="45" t="s">
        <v>814</v>
      </c>
      <c r="J50" s="45" t="s">
        <v>1223</v>
      </c>
      <c r="K50" s="45" t="s">
        <v>1320</v>
      </c>
    </row>
    <row r="51" customFormat="false" ht="13.5" hidden="false" customHeight="true" outlineLevel="0" collapsed="false"/>
    <row r="52" customFormat="false" ht="12.75" hidden="false" customHeight="true" outlineLevel="0" collapsed="false">
      <c r="B52" s="16" t="s">
        <v>1321</v>
      </c>
      <c r="C52" s="16"/>
      <c r="D52" s="16"/>
      <c r="E52" s="16"/>
      <c r="F52" s="16"/>
      <c r="G52" s="16"/>
      <c r="H52" s="16"/>
      <c r="I52" s="16"/>
      <c r="J52" s="16"/>
      <c r="K52" s="16"/>
      <c r="L52" s="16"/>
    </row>
    <row r="53" customFormat="false" ht="59.25" hidden="false" customHeight="true" outlineLevel="0" collapsed="false">
      <c r="B53" s="20" t="s">
        <v>1322</v>
      </c>
      <c r="C53" s="20" t="s">
        <v>1323</v>
      </c>
      <c r="D53" s="20" t="s">
        <v>1324</v>
      </c>
    </row>
    <row r="54" customFormat="false" ht="39.75" hidden="false" customHeight="true" outlineLevel="0" collapsed="false">
      <c r="B54" s="31" t="s">
        <v>1223</v>
      </c>
      <c r="C54" s="32" t="s">
        <v>1325</v>
      </c>
      <c r="D54" s="32" t="s">
        <v>1326</v>
      </c>
    </row>
    <row r="55" customFormat="false" ht="69.4" hidden="false" customHeight="false" outlineLevel="0" collapsed="false">
      <c r="B55" s="24" t="s">
        <v>1202</v>
      </c>
      <c r="C55" s="23" t="s">
        <v>1327</v>
      </c>
      <c r="D55" s="23" t="s">
        <v>1328</v>
      </c>
    </row>
    <row r="56" customFormat="false" ht="59.7" hidden="false" customHeight="false" outlineLevel="0" collapsed="false">
      <c r="B56" s="22" t="s">
        <v>1298</v>
      </c>
      <c r="C56" s="21" t="s">
        <v>1329</v>
      </c>
      <c r="D56" s="21" t="s">
        <v>1330</v>
      </c>
    </row>
    <row r="57" customFormat="false" ht="40.25" hidden="false" customHeight="false" outlineLevel="0" collapsed="false">
      <c r="B57" s="35" t="s">
        <v>1291</v>
      </c>
      <c r="C57" s="36" t="s">
        <v>1331</v>
      </c>
      <c r="D57" s="36" t="s">
        <v>1332</v>
      </c>
    </row>
  </sheetData>
  <mergeCells count="5">
    <mergeCell ref="B1:L1"/>
    <mergeCell ref="B2:L2"/>
    <mergeCell ref="B4:L4"/>
    <mergeCell ref="B11:L11"/>
    <mergeCell ref="B52:L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14" t="s">
        <v>1333</v>
      </c>
      <c r="C1" s="14"/>
      <c r="D1" s="14"/>
      <c r="E1" s="14"/>
      <c r="F1" s="14"/>
      <c r="G1" s="14"/>
      <c r="H1" s="14"/>
      <c r="I1" s="14"/>
      <c r="J1" s="14"/>
    </row>
    <row r="2" customFormat="false" ht="13.5" hidden="false" customHeight="true" outlineLevel="0" collapsed="false">
      <c r="B2" s="15" t="s">
        <v>1334</v>
      </c>
      <c r="C2" s="15"/>
      <c r="D2" s="15"/>
      <c r="E2" s="15"/>
      <c r="F2" s="15"/>
      <c r="G2" s="15"/>
      <c r="H2" s="15"/>
      <c r="I2" s="15"/>
      <c r="J2" s="15"/>
    </row>
    <row r="3" customFormat="false" ht="6" hidden="false" customHeight="true" outlineLevel="0" collapsed="false"/>
    <row r="4" customFormat="false" ht="15.75" hidden="false" customHeight="true" outlineLevel="0" collapsed="false">
      <c r="B4" s="16" t="s">
        <v>1335</v>
      </c>
      <c r="C4" s="16"/>
      <c r="D4" s="16"/>
      <c r="E4" s="16"/>
      <c r="F4" s="16"/>
      <c r="G4" s="16"/>
      <c r="H4" s="16"/>
      <c r="I4" s="16"/>
      <c r="J4" s="16"/>
    </row>
    <row r="5" customFormat="false" ht="15.75" hidden="false" customHeight="true" outlineLevel="0" collapsed="false">
      <c r="B5" s="20" t="s">
        <v>1336</v>
      </c>
      <c r="C5" s="20" t="s">
        <v>1323</v>
      </c>
    </row>
    <row r="6" customFormat="false" ht="12.75" hidden="false" customHeight="true" outlineLevel="0" collapsed="false">
      <c r="B6" s="48"/>
      <c r="C6" s="49" t="s">
        <v>1337</v>
      </c>
    </row>
    <row r="7" customFormat="false" ht="12.75" hidden="false" customHeight="true" outlineLevel="0" collapsed="false">
      <c r="B7" s="50"/>
      <c r="C7" s="49" t="s">
        <v>1338</v>
      </c>
    </row>
    <row r="8" customFormat="false" ht="12.75" hidden="false" customHeight="true" outlineLevel="0" collapsed="false">
      <c r="B8" s="51"/>
      <c r="C8" s="49" t="s">
        <v>1339</v>
      </c>
    </row>
    <row r="9" customFormat="false" ht="12.75" hidden="false" customHeight="true" outlineLevel="0" collapsed="false">
      <c r="B9" s="52"/>
      <c r="C9" s="49" t="s">
        <v>1340</v>
      </c>
    </row>
    <row r="10" customFormat="false" ht="7.5" hidden="false" customHeight="true" outlineLevel="0" collapsed="false"/>
    <row r="11" customFormat="false" ht="15.75" hidden="false" customHeight="true" outlineLevel="0" collapsed="false">
      <c r="B11" s="16" t="s">
        <v>1341</v>
      </c>
      <c r="C11" s="16"/>
      <c r="D11" s="16"/>
      <c r="E11" s="16"/>
      <c r="F11" s="16"/>
      <c r="G11" s="16"/>
      <c r="H11" s="16"/>
      <c r="I11" s="16"/>
      <c r="J11" s="16"/>
    </row>
    <row r="12" customFormat="false" ht="19.5" hidden="false" customHeight="true" outlineLevel="0" collapsed="false">
      <c r="B12" s="38" t="s">
        <v>1342</v>
      </c>
      <c r="C12" s="38"/>
      <c r="D12" s="38"/>
      <c r="E12" s="38"/>
      <c r="F12" s="38"/>
      <c r="G12" s="38"/>
      <c r="H12" s="38"/>
      <c r="I12" s="38"/>
    </row>
    <row r="13" customFormat="false" ht="19.5" hidden="false" customHeight="true" outlineLevel="0" collapsed="false">
      <c r="B13" s="39" t="s">
        <v>1343</v>
      </c>
      <c r="C13" s="39"/>
      <c r="D13" s="39"/>
      <c r="E13" s="39"/>
      <c r="F13" s="39"/>
      <c r="G13" s="39"/>
      <c r="H13" s="39"/>
      <c r="I13" s="39"/>
    </row>
    <row r="14" customFormat="false" ht="19.5" hidden="false" customHeight="true" outlineLevel="0" collapsed="false">
      <c r="B14" s="38" t="s">
        <v>1344</v>
      </c>
      <c r="C14" s="38"/>
      <c r="D14" s="38"/>
      <c r="E14" s="38"/>
      <c r="F14" s="38"/>
      <c r="G14" s="38"/>
      <c r="H14" s="38"/>
      <c r="I14" s="38"/>
    </row>
    <row r="15" customFormat="false" ht="19.5" hidden="false" customHeight="true" outlineLevel="0" collapsed="false">
      <c r="B15" s="39" t="s">
        <v>1345</v>
      </c>
      <c r="C15" s="39"/>
      <c r="D15" s="39"/>
      <c r="E15" s="39"/>
      <c r="F15" s="39"/>
      <c r="G15" s="39"/>
      <c r="H15" s="39"/>
      <c r="I15" s="39"/>
    </row>
    <row r="16" customFormat="false" ht="19.5" hidden="false" customHeight="true" outlineLevel="0" collapsed="false">
      <c r="B16" s="38" t="s">
        <v>1346</v>
      </c>
      <c r="C16" s="38"/>
      <c r="D16" s="38"/>
      <c r="E16" s="38"/>
      <c r="F16" s="38"/>
      <c r="G16" s="38"/>
      <c r="H16" s="38"/>
      <c r="I16" s="38"/>
    </row>
    <row r="17" customFormat="false" ht="19.5" hidden="false" customHeight="true" outlineLevel="0" collapsed="false">
      <c r="B17" s="39" t="s">
        <v>1347</v>
      </c>
      <c r="C17" s="39"/>
      <c r="D17" s="39"/>
      <c r="E17" s="39"/>
      <c r="F17" s="39"/>
      <c r="G17" s="39"/>
      <c r="H17" s="39"/>
      <c r="I17" s="39"/>
    </row>
    <row r="18" customFormat="false" ht="19.5" hidden="false" customHeight="true" outlineLevel="0" collapsed="false">
      <c r="B18" s="38" t="s">
        <v>1348</v>
      </c>
      <c r="C18" s="38"/>
      <c r="D18" s="38"/>
      <c r="E18" s="38"/>
      <c r="F18" s="38"/>
      <c r="G18" s="38"/>
      <c r="H18" s="38"/>
      <c r="I18" s="38"/>
    </row>
    <row r="19" customFormat="false" ht="7.5" hidden="false" customHeight="true" outlineLevel="0" collapsed="false"/>
    <row r="20" customFormat="false" ht="15.75" hidden="false" customHeight="true" outlineLevel="0" collapsed="false">
      <c r="B20" s="16" t="s">
        <v>1349</v>
      </c>
      <c r="C20" s="16"/>
      <c r="D20" s="16"/>
      <c r="E20" s="16"/>
      <c r="F20" s="16"/>
      <c r="G20" s="16"/>
      <c r="H20" s="16"/>
      <c r="I20" s="16"/>
      <c r="J20" s="16"/>
    </row>
    <row r="21" customFormat="false" ht="18" hidden="false" customHeight="true" outlineLevel="0" collapsed="false">
      <c r="B21" s="53" t="s">
        <v>1350</v>
      </c>
      <c r="C21" s="53"/>
      <c r="D21" s="53"/>
      <c r="E21" s="53"/>
      <c r="F21" s="53"/>
      <c r="G21" s="53"/>
      <c r="H21" s="53"/>
      <c r="I21" s="53"/>
    </row>
    <row r="22" customFormat="false" ht="18" hidden="false" customHeight="true" outlineLevel="0" collapsed="false">
      <c r="B22" s="54" t="s">
        <v>1351</v>
      </c>
      <c r="C22" s="54"/>
      <c r="D22" s="54"/>
      <c r="E22" s="54"/>
      <c r="F22" s="54"/>
      <c r="G22" s="54"/>
      <c r="H22" s="54"/>
      <c r="I22" s="54"/>
    </row>
    <row r="23" customFormat="false" ht="18" hidden="false" customHeight="true" outlineLevel="0" collapsed="false">
      <c r="B23" s="53" t="s">
        <v>1352</v>
      </c>
      <c r="C23" s="53"/>
      <c r="D23" s="53"/>
      <c r="E23" s="53"/>
      <c r="F23" s="53"/>
      <c r="G23" s="53"/>
      <c r="H23" s="53"/>
      <c r="I23" s="53"/>
    </row>
    <row r="24" customFormat="false" ht="18" hidden="false" customHeight="true" outlineLevel="0" collapsed="false">
      <c r="B24" s="54" t="s">
        <v>1353</v>
      </c>
      <c r="C24" s="54"/>
      <c r="D24" s="54"/>
      <c r="E24" s="54"/>
      <c r="F24" s="54"/>
      <c r="G24" s="54"/>
      <c r="H24" s="54"/>
      <c r="I24" s="54"/>
    </row>
    <row r="25" customFormat="false" ht="18" hidden="false" customHeight="true" outlineLevel="0" collapsed="false">
      <c r="B25" s="53" t="s">
        <v>1354</v>
      </c>
      <c r="C25" s="53"/>
      <c r="D25" s="53"/>
      <c r="E25" s="53"/>
      <c r="F25" s="53"/>
      <c r="G25" s="53"/>
      <c r="H25" s="53"/>
      <c r="I25" s="53"/>
    </row>
    <row r="26" customFormat="false" ht="18" hidden="false" customHeight="true" outlineLevel="0" collapsed="false">
      <c r="B26" s="54" t="s">
        <v>1355</v>
      </c>
      <c r="C26" s="54"/>
      <c r="D26" s="54"/>
      <c r="E26" s="54"/>
      <c r="F26" s="54"/>
      <c r="G26" s="54"/>
      <c r="H26" s="54"/>
      <c r="I26" s="54"/>
    </row>
    <row r="27" customFormat="false" ht="18" hidden="false" customHeight="true" outlineLevel="0" collapsed="false">
      <c r="B27" s="53" t="s">
        <v>1356</v>
      </c>
      <c r="C27" s="53"/>
      <c r="D27" s="53"/>
      <c r="E27" s="53"/>
      <c r="F27" s="53"/>
      <c r="G27" s="53"/>
      <c r="H27" s="53"/>
      <c r="I27" s="53"/>
    </row>
    <row r="28" customFormat="false" ht="18" hidden="false" customHeight="true" outlineLevel="0" collapsed="false">
      <c r="B28" s="54" t="s">
        <v>1357</v>
      </c>
      <c r="C28" s="54"/>
      <c r="D28" s="54"/>
      <c r="E28" s="54"/>
      <c r="F28" s="54"/>
      <c r="G28" s="54"/>
      <c r="H28" s="54"/>
      <c r="I28" s="54"/>
    </row>
    <row r="29" customFormat="false" ht="18" hidden="false" customHeight="true" outlineLevel="0" collapsed="false">
      <c r="B29" s="53" t="s">
        <v>1358</v>
      </c>
      <c r="C29" s="53"/>
      <c r="D29" s="53"/>
      <c r="E29" s="53"/>
      <c r="F29" s="53"/>
      <c r="G29" s="53"/>
      <c r="H29" s="53"/>
      <c r="I29" s="53"/>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55" t="s">
        <v>1359</v>
      </c>
    </row>
    <row r="3" customFormat="false" ht="15" hidden="false" customHeight="true" outlineLevel="0" collapsed="false">
      <c r="A3" s="55" t="s">
        <v>1360</v>
      </c>
      <c r="B3" s="56" t="n">
        <f aca="false">COUNTA('Coffee Audit'!A2:A2000)</f>
        <v>70</v>
      </c>
    </row>
    <row r="4" customFormat="false" ht="15" hidden="false" customHeight="true" outlineLevel="0" collapsed="false">
      <c r="A4" s="55" t="s">
        <v>1361</v>
      </c>
      <c r="B4" s="56" t="n">
        <v>15</v>
      </c>
    </row>
    <row r="5" customFormat="false" ht="15" hidden="false" customHeight="true" outlineLevel="0" collapsed="false">
      <c r="A5" s="55" t="s">
        <v>1362</v>
      </c>
      <c r="B5" s="56" t="n">
        <v>8</v>
      </c>
    </row>
    <row r="6" customFormat="false" ht="15" hidden="false" customHeight="true" outlineLevel="0" collapsed="false">
      <c r="A6" s="55" t="s">
        <v>1363</v>
      </c>
      <c r="B6" s="56" t="n">
        <v>5</v>
      </c>
    </row>
    <row r="7" customFormat="false" ht="15" hidden="false" customHeight="true" outlineLevel="0" collapsed="false">
      <c r="A7" s="55" t="s">
        <v>1364</v>
      </c>
      <c r="B7" s="56" t="n">
        <f aca="false">SUMPRODUCT(('Coffee Audit'!B2:B2000&lt;&gt;"")/COUNTIF('Coffee Audit'!B2:B2000,'Coffee Audit'!B2:B2000&amp;""))</f>
        <v>4</v>
      </c>
    </row>
    <row r="8" customFormat="false" ht="15" hidden="false" customHeight="true" outlineLevel="0" collapsed="false">
      <c r="A8" s="55" t="s">
        <v>1365</v>
      </c>
      <c r="B8" s="56" t="n">
        <f aca="false">SUMPRODUCT(('Coffee Audit'!C2:C2000&lt;&gt;"")/COUNTIF('Coffee Audit'!C2:C2000,'Coffee Audit'!C2:C2000&amp;""))</f>
        <v>37</v>
      </c>
    </row>
    <row r="9" customFormat="false" ht="15" hidden="false" customHeight="true" outlineLevel="0" collapsed="false">
      <c r="A9" s="55" t="s">
        <v>1366</v>
      </c>
      <c r="B9" s="56" t="str">
        <f aca="false">TEXT(MIN('Coffee Audit'!A2:A2000),"YYYY-MM-DD")&amp;"  →  "&amp;TEXT(MAX('Coffee Audit'!A2:A2000),"YYYY-MM-DD")</f>
        <v>2026-01-03  →  2026-07-25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2026-07-25T17:23:27Z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