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ffee Audit" sheetId="1" state="visible" r:id="rId1"/>
    <sheet xmlns:r="http://schemas.openxmlformats.org/officeDocument/2006/relationships" name="☕ Dashboard" sheetId="2" state="visible" r:id="rId2"/>
    <sheet xmlns:r="http://schemas.openxmlformats.org/officeDocument/2006/relationships" name="🧬 Palate DNA" sheetId="3" state="visible" r:id="rId3"/>
    <sheet xmlns:r="http://schemas.openxmlformats.org/officeDocument/2006/relationships" name="🌍 Origin &amp; Terroir" sheetId="4" state="visible" r:id="rId4"/>
    <sheet xmlns:r="http://schemas.openxmlformats.org/officeDocument/2006/relationships" name="⚙️ Hardware" sheetId="5" state="visible" r:id="rId5"/>
    <sheet xmlns:r="http://schemas.openxmlformats.org/officeDocument/2006/relationships" name="🏙️ Café Directory" sheetId="6" state="visible" r:id="rId6"/>
    <sheet xmlns:r="http://schemas.openxmlformats.org/officeDocument/2006/relationships" name="📖 Legend" sheetId="7" state="visible" r:id="rId7"/>
    <sheet xmlns:r="http://schemas.openxmlformats.org/officeDocument/2006/relationships" name="Stat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yyyy\-mm\-dd"/>
    <numFmt numFmtId="165" formatCode="&quot;S$&quot;0.00"/>
    <numFmt numFmtId="166" formatCode="&quot;S$&quot;#,##0.00"/>
    <numFmt numFmtId="167" formatCode="dd\ mmm\ yyyy"/>
  </numFmts>
  <fonts count="37">
    <font>
      <name val="Calibri"/>
      <charset val="1"/>
      <family val="2"/>
      <color theme="1"/>
      <sz val="11"/>
    </font>
    <font>
      <name val="Arial"/>
      <family val="0"/>
      <sz val="10"/>
    </font>
    <font>
      <name val="Arial"/>
      <family val="0"/>
      <sz val="10"/>
    </font>
    <font>
      <name val="Arial"/>
      <family val="0"/>
      <sz val="10"/>
    </font>
    <font>
      <name val="Calibri"/>
      <charset val="1"/>
      <family val="0"/>
      <b val="1"/>
      <color rgb="FFFDF8EE"/>
      <sz val="8"/>
    </font>
    <font>
      <name val="Calibri"/>
      <charset val="1"/>
      <family val="0"/>
      <color rgb="FF2D1F0F"/>
      <sz val="8"/>
    </font>
    <font>
      <name val="Calibri"/>
      <charset val="1"/>
      <family val="0"/>
      <b val="1"/>
      <color rgb="FF6A1B9A"/>
      <sz val="8"/>
    </font>
    <font>
      <name val="Calibri"/>
      <charset val="1"/>
      <family val="0"/>
      <sz val="8"/>
    </font>
    <font>
      <name val="Arial"/>
      <family val="2"/>
      <sz val="10"/>
    </font>
    <font>
      <name val="Calibri"/>
      <charset val="1"/>
      <family val="0"/>
      <b val="1"/>
      <color rgb="FFFDF8EE"/>
      <sz val="18"/>
    </font>
    <font>
      <name val="Calibri"/>
      <charset val="1"/>
      <family val="0"/>
      <color rgb="FFC9902A"/>
      <sz val="9"/>
    </font>
    <font>
      <name val="Calibri"/>
      <charset val="1"/>
      <family val="0"/>
      <b val="1"/>
      <color rgb="FFFDF8EE"/>
      <sz val="10"/>
    </font>
    <font>
      <name val="Calibri"/>
      <charset val="1"/>
      <family val="0"/>
      <b val="1"/>
      <color rgb="FFC9902A"/>
      <sz val="7"/>
    </font>
    <font>
      <name val="Calibri"/>
      <charset val="1"/>
      <family val="0"/>
      <b val="1"/>
      <color rgb="FFC9902A"/>
      <sz val="20"/>
    </font>
    <font>
      <name val="Calibri"/>
      <charset val="1"/>
      <family val="0"/>
      <b val="1"/>
      <color rgb="FFFDF8EE"/>
      <sz val="13"/>
    </font>
    <font>
      <name val="Calibri"/>
      <charset val="1"/>
      <family val="0"/>
      <color rgb="FFCCB48A"/>
      <sz val="7"/>
    </font>
    <font>
      <name val="Calibri"/>
      <charset val="1"/>
      <family val="0"/>
      <b val="1"/>
      <color rgb="FF120A00"/>
      <sz val="7"/>
    </font>
    <font>
      <name val="Calibri"/>
      <charset val="1"/>
      <family val="0"/>
      <b val="1"/>
      <color rgb="FF2D1F0F"/>
      <sz val="8.5"/>
    </font>
    <font>
      <name val="Calibri"/>
      <charset val="1"/>
      <family val="0"/>
      <b val="1"/>
      <color rgb="FF2D1F0F"/>
      <sz val="8"/>
    </font>
    <font>
      <name val="Calibri"/>
      <charset val="1"/>
      <family val="0"/>
      <b val="1"/>
      <color rgb="FF6A1B9A"/>
      <sz val="7"/>
    </font>
    <font>
      <name val="Calibri"/>
      <charset val="1"/>
      <family val="0"/>
      <color rgb="FF2D1F0F"/>
      <sz val="7.5"/>
    </font>
    <font>
      <name val="Calibri"/>
      <charset val="1"/>
      <family val="0"/>
      <b val="1"/>
      <color rgb="FF6A4A20"/>
      <sz val="7.5"/>
    </font>
    <font>
      <name val="Calibri"/>
      <charset val="1"/>
      <family val="0"/>
      <color rgb="FFC9902A"/>
      <sz val="7"/>
    </font>
    <font>
      <name val="Calibri"/>
      <charset val="1"/>
      <family val="0"/>
      <b val="1"/>
      <color rgb="FF2D1F0F"/>
      <sz val="7.5"/>
    </font>
    <font>
      <name val="Calibri"/>
      <charset val="1"/>
      <family val="0"/>
      <b val="1"/>
      <color rgb="FF1B5E20"/>
      <sz val="7.5"/>
    </font>
    <font>
      <name val="Calibri"/>
      <charset val="1"/>
      <family val="0"/>
      <i val="1"/>
      <color rgb="FF2D1F0F"/>
      <sz val="7.5"/>
    </font>
    <font>
      <name val="Calibri"/>
      <charset val="1"/>
      <family val="0"/>
      <color rgb="FF2D1F0F"/>
      <sz val="8.5"/>
    </font>
    <font>
      <name val="Calibri"/>
      <charset val="1"/>
      <family val="0"/>
      <i val="1"/>
      <color rgb="FFC9902A"/>
      <sz val="9"/>
    </font>
    <font>
      <name val="Calibri"/>
      <charset val="1"/>
      <family val="0"/>
      <i val="1"/>
      <color rgb="FF2D1F0F"/>
      <sz val="8.5"/>
    </font>
    <font>
      <name val="Calibri"/>
      <charset val="1"/>
      <family val="0"/>
      <sz val="10"/>
    </font>
    <font>
      <name val="Calibri"/>
      <charset val="1"/>
      <family val="0"/>
      <b val="1"/>
      <sz val="10"/>
    </font>
    <font>
      <name val="Calibri"/>
      <sz val="8"/>
    </font>
    <font>
      <name val="Calibri"/>
      <b val="1"/>
      <color rgb="FF2D1F0F"/>
      <sz val="7.5"/>
    </font>
    <font>
      <name val="Calibri"/>
      <color rgb="FF2D1F0F"/>
      <sz val="7.5"/>
    </font>
    <font>
      <name val="Calibri"/>
      <b val="1"/>
      <color rgb="FF2D1F0F"/>
      <sz val="8"/>
    </font>
    <font>
      <name val="Calibri"/>
      <color rgb="FF2D1F0F"/>
      <sz val="8"/>
    </font>
    <font>
      <name val="Calibri"/>
      <b val="1"/>
      <color rgb="FF6A1B9A"/>
      <sz val="7"/>
    </font>
  </fonts>
  <fills count="16">
    <fill>
      <patternFill/>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9">
    <border>
      <left/>
      <right/>
      <top/>
      <bottom/>
      <diagonal/>
    </border>
    <border>
      <left style="thin">
        <color rgb="FF9E8060"/>
      </left>
      <right style="thin">
        <color rgb="FF9E8060"/>
      </right>
      <top style="thin">
        <color rgb="FF9E8060"/>
      </top>
      <bottom style="thin">
        <color rgb="FF9E8060"/>
      </bottom>
      <diagonal/>
    </border>
    <border>
      <left style="thin"/>
      <right style="thin"/>
      <top style="thin"/>
      <bottom style="thin"/>
      <diagonal/>
    </border>
    <border>
      <left style="medium">
        <color rgb="FF6B4428"/>
      </left>
      <right/>
      <top style="medium">
        <color rgb="FF6B4428"/>
      </top>
      <bottom/>
      <diagonal/>
    </border>
    <border>
      <left style="thin">
        <color rgb="FF9E8060"/>
      </left>
      <right/>
      <top style="thin">
        <color rgb="FF9E8060"/>
      </top>
      <bottom style="thin">
        <color rgb="FF9E8060"/>
      </bottom>
      <diagonal/>
    </border>
    <border>
      <left/>
      <right/>
      <top style="medium">
        <color rgb="FF6B4428"/>
      </top>
      <bottom/>
      <diagonal/>
    </border>
    <border>
      <left style="medium">
        <color rgb="FF6B4428"/>
      </left>
      <right/>
      <top/>
      <bottom/>
      <diagonal/>
    </border>
    <border>
      <left/>
      <right/>
      <top style="thin">
        <color rgb="FF9E8060"/>
      </top>
      <bottom/>
      <diagonal/>
    </border>
    <border>
      <left/>
      <right/>
      <top style="thin">
        <color rgb="FF9E8060"/>
      </top>
      <bottom style="thin">
        <color rgb="FF9E806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164" fontId="5"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center" vertical="center" wrapText="1"/>
    </xf>
    <xf numFmtId="165" fontId="5" fillId="0" borderId="1" applyAlignment="1" pivotButton="0" quotePrefix="0" xfId="0">
      <alignment horizontal="general" vertical="top" wrapText="1"/>
    </xf>
    <xf numFmtId="164" fontId="5"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7" fillId="0" borderId="2" applyAlignment="1" pivotButton="0" quotePrefix="0" xfId="0">
      <alignment horizontal="general" vertical="top" wrapText="1"/>
    </xf>
    <xf numFmtId="0" fontId="7" fillId="0" borderId="2" applyAlignment="1" pivotButton="0" quotePrefix="0" xfId="0">
      <alignment horizontal="general" vertical="top" wrapText="1"/>
    </xf>
    <xf numFmtId="164" fontId="7"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3" borderId="0" applyAlignment="1" pivotButton="0" quotePrefix="0" xfId="0">
      <alignment horizontal="center" vertical="center"/>
    </xf>
    <xf numFmtId="0" fontId="10" fillId="4" borderId="0" applyAlignment="1" pivotButton="0" quotePrefix="0" xfId="0">
      <alignment horizontal="center" vertical="center"/>
    </xf>
    <xf numFmtId="0" fontId="11" fillId="4" borderId="0" applyAlignment="1" pivotButton="0" quotePrefix="0" xfId="0">
      <alignment horizontal="left" vertical="center"/>
    </xf>
    <xf numFmtId="0" fontId="12" fillId="3" borderId="0" applyAlignment="1" pivotButton="0" quotePrefix="0" xfId="0">
      <alignment horizontal="center" vertical="center"/>
    </xf>
    <xf numFmtId="0" fontId="12" fillId="3" borderId="0" applyAlignment="1" pivotButton="0" quotePrefix="0" xfId="0">
      <alignment horizontal="center" vertical="center"/>
    </xf>
    <xf numFmtId="0" fontId="13" fillId="4" borderId="0" applyAlignment="1" pivotButton="0" quotePrefix="0" xfId="0">
      <alignment horizontal="center" vertical="center"/>
    </xf>
    <xf numFmtId="0" fontId="13" fillId="4" borderId="0" applyAlignment="1" pivotButton="0" quotePrefix="0" xfId="0">
      <alignment horizontal="center" vertical="center"/>
    </xf>
    <xf numFmtId="166" fontId="14" fillId="4" borderId="0" applyAlignment="1" pivotButton="0" quotePrefix="0" xfId="0">
      <alignment horizontal="center" vertical="center"/>
    </xf>
    <xf numFmtId="0" fontId="14" fillId="4" borderId="0" applyAlignment="1" pivotButton="0" quotePrefix="0" xfId="0">
      <alignment horizontal="center" vertical="center"/>
    </xf>
    <xf numFmtId="0" fontId="15" fillId="4" borderId="0" applyAlignment="1" pivotButton="0" quotePrefix="0" xfId="0">
      <alignment horizontal="center" vertical="center"/>
    </xf>
    <xf numFmtId="0" fontId="15" fillId="4" borderId="0" applyAlignment="1" pivotButton="0" quotePrefix="0" xfId="0">
      <alignment horizontal="center" vertical="center"/>
    </xf>
    <xf numFmtId="0" fontId="11" fillId="5" borderId="0" applyAlignment="1" pivotButton="0" quotePrefix="0" xfId="0">
      <alignment horizontal="left" vertical="center"/>
    </xf>
    <xf numFmtId="0" fontId="16" fillId="6" borderId="0" applyAlignment="1" pivotButton="0" quotePrefix="0" xfId="0">
      <alignment horizontal="center" vertical="center"/>
    </xf>
    <xf numFmtId="0" fontId="16" fillId="6" borderId="0" applyAlignment="1" pivotButton="0" quotePrefix="0" xfId="0">
      <alignment horizontal="center" vertical="center"/>
    </xf>
    <xf numFmtId="167" fontId="17" fillId="7" borderId="0" applyAlignment="1" pivotButton="0" quotePrefix="0" xfId="0">
      <alignment horizontal="center" vertical="center" wrapText="1"/>
    </xf>
    <xf numFmtId="0" fontId="17" fillId="7" borderId="0" applyAlignment="1" pivotButton="0" quotePrefix="0" xfId="0">
      <alignment horizontal="center" vertical="center" wrapText="1"/>
    </xf>
    <xf numFmtId="0" fontId="17" fillId="7" borderId="0" applyAlignment="1" pivotButton="0" quotePrefix="0" xfId="0">
      <alignment horizontal="center" vertical="center" wrapText="1"/>
    </xf>
    <xf numFmtId="166" fontId="17" fillId="7" borderId="0" applyAlignment="1" pivotButton="0" quotePrefix="0" xfId="0">
      <alignment horizontal="center" vertical="center" wrapText="1"/>
    </xf>
    <xf numFmtId="0" fontId="4" fillId="5" borderId="0" applyAlignment="1" pivotButton="0" quotePrefix="0" xfId="0">
      <alignment horizontal="center" vertical="center"/>
    </xf>
    <xf numFmtId="0" fontId="4" fillId="5" borderId="0" applyAlignment="1" pivotButton="0" quotePrefix="0" xfId="0">
      <alignment horizontal="center" vertical="center"/>
    </xf>
    <xf numFmtId="0" fontId="18" fillId="6" borderId="0" applyAlignment="1" pivotButton="0" quotePrefix="0" xfId="0">
      <alignment horizontal="center" vertical="center"/>
    </xf>
    <xf numFmtId="0" fontId="5" fillId="6" borderId="0" applyAlignment="1" pivotButton="0" quotePrefix="0" xfId="0">
      <alignment horizontal="general" vertical="center"/>
    </xf>
    <xf numFmtId="0" fontId="5" fillId="6" borderId="0" applyAlignment="1" pivotButton="0" quotePrefix="0" xfId="0">
      <alignment horizontal="center" vertical="center"/>
    </xf>
    <xf numFmtId="166" fontId="18" fillId="6" borderId="0" applyAlignment="1" pivotButton="0" quotePrefix="0" xfId="0">
      <alignment horizontal="center" vertical="center"/>
    </xf>
    <xf numFmtId="0" fontId="19" fillId="6" borderId="0" applyAlignment="1" pivotButton="0" quotePrefix="0" xfId="0">
      <alignment horizontal="center" vertical="center"/>
    </xf>
    <xf numFmtId="0" fontId="18" fillId="8" borderId="0" applyAlignment="1" pivotButton="0" quotePrefix="0" xfId="0">
      <alignment horizontal="center" vertical="center"/>
    </xf>
    <xf numFmtId="0" fontId="5" fillId="8" borderId="0" applyAlignment="1" pivotButton="0" quotePrefix="0" xfId="0">
      <alignment horizontal="general" vertical="center"/>
    </xf>
    <xf numFmtId="0" fontId="5" fillId="8" borderId="0" applyAlignment="1" pivotButton="0" quotePrefix="0" xfId="0">
      <alignment horizontal="center" vertical="center"/>
    </xf>
    <xf numFmtId="166" fontId="18" fillId="8" borderId="0" applyAlignment="1" pivotButton="0" quotePrefix="0" xfId="0">
      <alignment horizontal="center" vertical="center"/>
    </xf>
    <xf numFmtId="0" fontId="19" fillId="8" borderId="0" applyAlignment="1" pivotButton="0" quotePrefix="0" xfId="0">
      <alignment horizontal="center" vertical="center"/>
    </xf>
    <xf numFmtId="0" fontId="18" fillId="9" borderId="0" applyAlignment="1" pivotButton="0" quotePrefix="0" xfId="0">
      <alignment horizontal="center" vertical="center"/>
    </xf>
    <xf numFmtId="0" fontId="5" fillId="9" borderId="0" applyAlignment="1" pivotButton="0" quotePrefix="0" xfId="0">
      <alignment horizontal="general" vertical="center"/>
    </xf>
    <xf numFmtId="0" fontId="5" fillId="9" borderId="0" applyAlignment="1" pivotButton="0" quotePrefix="0" xfId="0">
      <alignment horizontal="center" vertical="center"/>
    </xf>
    <xf numFmtId="166" fontId="18" fillId="9" borderId="0" applyAlignment="1" pivotButton="0" quotePrefix="0" xfId="0">
      <alignment horizontal="center" vertical="center"/>
    </xf>
    <xf numFmtId="0" fontId="19" fillId="9" borderId="0" applyAlignment="1" pivotButton="0" quotePrefix="0" xfId="0">
      <alignment horizontal="center" vertical="center"/>
    </xf>
    <xf numFmtId="0" fontId="18" fillId="7" borderId="0" applyAlignment="1" pivotButton="0" quotePrefix="0" xfId="0">
      <alignment horizontal="center" vertical="center"/>
    </xf>
    <xf numFmtId="0" fontId="5" fillId="7" borderId="0" applyAlignment="1" pivotButton="0" quotePrefix="0" xfId="0">
      <alignment horizontal="general" vertical="center"/>
    </xf>
    <xf numFmtId="0" fontId="5" fillId="7" borderId="0" applyAlignment="1" pivotButton="0" quotePrefix="0" xfId="0">
      <alignment horizontal="center" vertical="center"/>
    </xf>
    <xf numFmtId="166" fontId="18" fillId="7" borderId="0" applyAlignment="1" pivotButton="0" quotePrefix="0" xfId="0">
      <alignment horizontal="center" vertical="center"/>
    </xf>
    <xf numFmtId="0" fontId="19" fillId="7" borderId="0" applyAlignment="1" pivotButton="0" quotePrefix="0" xfId="0">
      <alignment horizontal="center" vertical="center"/>
    </xf>
    <xf numFmtId="0" fontId="19" fillId="9" borderId="0" applyAlignment="1" pivotButton="0" quotePrefix="0" xfId="0">
      <alignment horizontal="center" vertical="center"/>
    </xf>
    <xf numFmtId="0" fontId="20" fillId="7" borderId="0" applyAlignment="1" pivotButton="0" quotePrefix="0" xfId="0">
      <alignment horizontal="left" vertical="center"/>
    </xf>
    <xf numFmtId="0" fontId="0" fillId="0" borderId="0" applyAlignment="1" pivotButton="0" quotePrefix="0" xfId="0">
      <alignment horizontal="general" vertical="bottom"/>
    </xf>
    <xf numFmtId="0" fontId="11" fillId="4" borderId="0" applyAlignment="1" pivotButton="0" quotePrefix="0" xfId="0">
      <alignment horizontal="left" vertical="center"/>
    </xf>
    <xf numFmtId="0" fontId="18" fillId="9" borderId="0" applyAlignment="1" pivotButton="0" quotePrefix="0" xfId="0">
      <alignment horizontal="general" vertical="center"/>
    </xf>
    <xf numFmtId="0" fontId="20" fillId="9" borderId="0" applyAlignment="1" pivotButton="0" quotePrefix="0" xfId="0">
      <alignment horizontal="general" vertical="center"/>
    </xf>
    <xf numFmtId="0" fontId="21" fillId="9" borderId="0" applyAlignment="1" pivotButton="0" quotePrefix="0" xfId="0">
      <alignment horizontal="general" vertical="center"/>
    </xf>
    <xf numFmtId="0" fontId="18" fillId="8" borderId="0" applyAlignment="1" pivotButton="0" quotePrefix="0" xfId="0">
      <alignment horizontal="general" vertical="center"/>
    </xf>
    <xf numFmtId="0" fontId="20" fillId="8" borderId="0" applyAlignment="1" pivotButton="0" quotePrefix="0" xfId="0">
      <alignment horizontal="general" vertical="center"/>
    </xf>
    <xf numFmtId="0" fontId="21" fillId="8" borderId="0" applyAlignment="1" pivotButton="0" quotePrefix="0" xfId="0">
      <alignment horizontal="general" vertical="center"/>
    </xf>
    <xf numFmtId="0" fontId="21" fillId="8" borderId="0" applyAlignment="1" pivotButton="0" quotePrefix="0" xfId="0">
      <alignment horizontal="general" vertical="center"/>
    </xf>
    <xf numFmtId="0" fontId="6" fillId="9" borderId="0" applyAlignment="1" pivotButton="0" quotePrefix="0" xfId="0">
      <alignment horizontal="center" vertical="center"/>
    </xf>
    <xf numFmtId="0" fontId="22" fillId="9" borderId="0" applyAlignment="1" pivotButton="0" quotePrefix="0" xfId="0">
      <alignment horizontal="left" vertical="center"/>
    </xf>
    <xf numFmtId="0" fontId="20" fillId="9" borderId="0" applyAlignment="1" pivotButton="0" quotePrefix="0" xfId="0">
      <alignment horizontal="general" vertical="center"/>
    </xf>
    <xf numFmtId="0" fontId="6" fillId="8" borderId="0" applyAlignment="1" pivotButton="0" quotePrefix="0" xfId="0">
      <alignment horizontal="center" vertical="center"/>
    </xf>
    <xf numFmtId="0" fontId="22" fillId="8" borderId="0" applyAlignment="1" pivotButton="0" quotePrefix="0" xfId="0">
      <alignment horizontal="left" vertical="center"/>
    </xf>
    <xf numFmtId="0" fontId="20" fillId="8" borderId="0" applyAlignment="1" pivotButton="0" quotePrefix="0" xfId="0">
      <alignment horizontal="general" vertical="center"/>
    </xf>
    <xf numFmtId="0" fontId="23" fillId="9" borderId="0" applyAlignment="1" pivotButton="0" quotePrefix="0" xfId="0">
      <alignment horizontal="center" vertical="center"/>
    </xf>
    <xf numFmtId="0" fontId="23" fillId="8" borderId="0" applyAlignment="1" pivotButton="0" quotePrefix="0" xfId="0">
      <alignment horizontal="center" vertical="center"/>
    </xf>
    <xf numFmtId="0" fontId="18" fillId="8" borderId="0" applyAlignment="1" pivotButton="0" quotePrefix="0" xfId="0">
      <alignment horizontal="general" vertical="center"/>
    </xf>
    <xf numFmtId="0" fontId="24" fillId="10" borderId="0" applyAlignment="1" pivotButton="0" quotePrefix="0" xfId="0">
      <alignment horizontal="general" vertical="center"/>
    </xf>
    <xf numFmtId="0" fontId="9" fillId="2" borderId="0" applyAlignment="1" pivotButton="0" quotePrefix="0" xfId="0">
      <alignment horizontal="center" vertical="center" wrapText="1"/>
    </xf>
    <xf numFmtId="0" fontId="10" fillId="4" borderId="0" applyAlignment="1" pivotButton="0" quotePrefix="0" xfId="0">
      <alignment horizontal="center" vertical="center" wrapText="1"/>
    </xf>
    <xf numFmtId="0" fontId="11" fillId="4" borderId="0" applyAlignment="1" pivotButton="0" quotePrefix="0" xfId="0">
      <alignment horizontal="left" vertical="center" wrapText="1"/>
    </xf>
    <xf numFmtId="0" fontId="5" fillId="8" borderId="3" applyAlignment="1" pivotButton="0" quotePrefix="0" xfId="0">
      <alignment horizontal="general" vertical="top" wrapText="1"/>
    </xf>
    <xf numFmtId="0" fontId="4" fillId="5" borderId="1" applyAlignment="1" pivotButton="0" quotePrefix="0" xfId="0">
      <alignment horizontal="center" vertical="center" wrapText="1"/>
    </xf>
    <xf numFmtId="0" fontId="18" fillId="9" borderId="1" applyAlignment="1" pivotButton="0" quotePrefix="0" xfId="0">
      <alignment horizontal="general" vertical="center"/>
    </xf>
    <xf numFmtId="0" fontId="5" fillId="9" borderId="1" applyAlignment="1" pivotButton="0" quotePrefix="0" xfId="0">
      <alignment horizontal="general" vertical="center"/>
    </xf>
    <xf numFmtId="0" fontId="20" fillId="9" borderId="1" applyAlignment="1" pivotButton="0" quotePrefix="0" xfId="0">
      <alignment horizontal="general" vertical="center" wrapText="1"/>
    </xf>
    <xf numFmtId="0" fontId="23" fillId="9" borderId="1" applyAlignment="1" pivotButton="0" quotePrefix="0" xfId="0">
      <alignment horizontal="general" vertical="center"/>
    </xf>
    <xf numFmtId="0" fontId="18" fillId="11" borderId="1" applyAlignment="1" pivotButton="0" quotePrefix="0" xfId="0">
      <alignment horizontal="general" vertical="top" wrapText="1"/>
    </xf>
    <xf numFmtId="0" fontId="5" fillId="11" borderId="1" applyAlignment="1" pivotButton="0" quotePrefix="0" xfId="0">
      <alignment horizontal="general" vertical="top" wrapText="1"/>
    </xf>
    <xf numFmtId="0" fontId="18" fillId="8" borderId="1" applyAlignment="1" pivotButton="0" quotePrefix="0" xfId="0">
      <alignment horizontal="general" vertical="center"/>
    </xf>
    <xf numFmtId="0" fontId="5" fillId="8" borderId="1" applyAlignment="1" pivotButton="0" quotePrefix="0" xfId="0">
      <alignment horizontal="general" vertical="center"/>
    </xf>
    <xf numFmtId="0" fontId="20" fillId="8" borderId="1" applyAlignment="1" pivotButton="0" quotePrefix="0" xfId="0">
      <alignment horizontal="general" vertical="center" wrapText="1"/>
    </xf>
    <xf numFmtId="0" fontId="23" fillId="8" borderId="1" applyAlignment="1" pivotButton="0" quotePrefix="0" xfId="0">
      <alignment horizontal="general" vertical="center"/>
    </xf>
    <xf numFmtId="0" fontId="18" fillId="9" borderId="1" applyAlignment="1" pivotButton="0" quotePrefix="0" xfId="0">
      <alignment horizontal="general" vertical="top" wrapText="1"/>
    </xf>
    <xf numFmtId="0" fontId="5" fillId="9" borderId="1" applyAlignment="1" pivotButton="0" quotePrefix="0" xfId="0">
      <alignment horizontal="general" vertical="top" wrapText="1"/>
    </xf>
    <xf numFmtId="0" fontId="18" fillId="0" borderId="1" applyAlignment="1" pivotButton="0" quotePrefix="0" xfId="0">
      <alignment horizontal="general" vertical="top" wrapText="1"/>
    </xf>
    <xf numFmtId="0" fontId="25" fillId="8" borderId="4" applyAlignment="1" pivotButton="0" quotePrefix="0" xfId="0">
      <alignment horizontal="general" vertical="top" wrapText="1"/>
    </xf>
    <xf numFmtId="0" fontId="5" fillId="7" borderId="1" applyAlignment="1" pivotButton="0" quotePrefix="0" xfId="0">
      <alignment horizontal="general" vertical="top" wrapText="1"/>
    </xf>
    <xf numFmtId="0" fontId="5" fillId="12" borderId="1" applyAlignment="1" pivotButton="0" quotePrefix="0" xfId="0">
      <alignment horizontal="general" vertical="top" wrapText="1"/>
    </xf>
    <xf numFmtId="0" fontId="5" fillId="9" borderId="0" applyAlignment="1" pivotButton="0" quotePrefix="0" xfId="0">
      <alignment horizontal="general" vertical="center" wrapText="1"/>
    </xf>
    <xf numFmtId="0" fontId="11" fillId="4" borderId="0" applyAlignment="1" pivotButton="0" quotePrefix="0" xfId="0">
      <alignment horizontal="left" vertical="center" wrapText="1"/>
    </xf>
    <xf numFmtId="0" fontId="18" fillId="10" borderId="1" applyAlignment="1" pivotButton="0" quotePrefix="0" xfId="0">
      <alignment horizontal="general" vertical="top" wrapText="1"/>
    </xf>
    <xf numFmtId="0" fontId="5" fillId="10" borderId="1" applyAlignment="1" pivotButton="0" quotePrefix="0" xfId="0">
      <alignment horizontal="general" vertical="top" wrapText="1"/>
    </xf>
    <xf numFmtId="0" fontId="18" fillId="13" borderId="1" applyAlignment="1" pivotButton="0" quotePrefix="0" xfId="0">
      <alignment horizontal="general" vertical="top" wrapText="1"/>
    </xf>
    <xf numFmtId="0" fontId="5" fillId="13" borderId="1" applyAlignment="1" pivotButton="0" quotePrefix="0" xfId="0">
      <alignment horizontal="general" vertical="top" wrapText="1"/>
    </xf>
    <xf numFmtId="0" fontId="18" fillId="14" borderId="1" applyAlignment="1" pivotButton="0" quotePrefix="0" xfId="0">
      <alignment horizontal="general" vertical="top" wrapText="1"/>
    </xf>
    <xf numFmtId="0" fontId="5" fillId="14" borderId="1" applyAlignment="1" pivotButton="0" quotePrefix="0" xfId="0">
      <alignment horizontal="general" vertical="top" wrapText="1"/>
    </xf>
    <xf numFmtId="0" fontId="17" fillId="8" borderId="4" applyAlignment="1" pivotButton="0" quotePrefix="0" xfId="0">
      <alignment horizontal="general" vertical="top" wrapText="1"/>
    </xf>
    <xf numFmtId="0" fontId="26" fillId="11" borderId="4" applyAlignment="1" pivotButton="0" quotePrefix="0" xfId="0">
      <alignment horizontal="general" vertical="top" wrapText="1"/>
    </xf>
    <xf numFmtId="0" fontId="26" fillId="8" borderId="4" applyAlignment="1" pivotButton="0" quotePrefix="0" xfId="0">
      <alignment horizontal="general" vertical="top" wrapText="1"/>
    </xf>
    <xf numFmtId="0" fontId="20" fillId="7" borderId="0" applyAlignment="1" pivotButton="0" quotePrefix="0" xfId="0">
      <alignment horizontal="general" vertical="top" wrapText="1"/>
    </xf>
    <xf numFmtId="0" fontId="27" fillId="4" borderId="0" applyAlignment="1" pivotButton="0" quotePrefix="0" xfId="0">
      <alignment horizontal="center" vertical="center" wrapText="1"/>
    </xf>
    <xf numFmtId="0" fontId="23" fillId="9" borderId="1" applyAlignment="1" pivotButton="0" quotePrefix="0" xfId="0">
      <alignment horizontal="general" vertical="top" wrapText="1"/>
    </xf>
    <xf numFmtId="0" fontId="20" fillId="9" borderId="1" applyAlignment="1" pivotButton="0" quotePrefix="0" xfId="0">
      <alignment horizontal="general" vertical="top" wrapText="1"/>
    </xf>
    <xf numFmtId="0" fontId="23" fillId="11" borderId="1" applyAlignment="1" pivotButton="0" quotePrefix="0" xfId="0">
      <alignment horizontal="general" vertical="top" wrapText="1"/>
    </xf>
    <xf numFmtId="0" fontId="20" fillId="11" borderId="1" applyAlignment="1" pivotButton="0" quotePrefix="0" xfId="0">
      <alignment horizontal="general" vertical="top" wrapText="1"/>
    </xf>
    <xf numFmtId="0" fontId="23" fillId="10" borderId="1" applyAlignment="1" pivotButton="0" quotePrefix="0" xfId="0">
      <alignment horizontal="general" vertical="top" wrapText="1"/>
    </xf>
    <xf numFmtId="0" fontId="20" fillId="10" borderId="1" applyAlignment="1" pivotButton="0" quotePrefix="0" xfId="0">
      <alignment horizontal="general" vertical="top" wrapText="1"/>
    </xf>
    <xf numFmtId="0" fontId="23" fillId="14" borderId="1" applyAlignment="1" pivotButton="0" quotePrefix="0" xfId="0">
      <alignment horizontal="general" vertical="top" wrapText="1"/>
    </xf>
    <xf numFmtId="0" fontId="20" fillId="14" borderId="1" applyAlignment="1" pivotButton="0" quotePrefix="0" xfId="0">
      <alignment horizontal="general" vertical="top" wrapText="1"/>
    </xf>
    <xf numFmtId="0" fontId="0" fillId="15" borderId="1" applyAlignment="1" pivotButton="0" quotePrefix="0" xfId="0">
      <alignment horizontal="general" vertical="bottom"/>
    </xf>
    <xf numFmtId="0" fontId="5" fillId="8" borderId="1" applyAlignment="1" pivotButton="0" quotePrefix="0" xfId="0">
      <alignment horizontal="general" vertical="top" wrapText="1"/>
    </xf>
    <xf numFmtId="0" fontId="0" fillId="9" borderId="1" applyAlignment="1" pivotButton="0" quotePrefix="0" xfId="0">
      <alignment horizontal="general" vertical="bottom"/>
    </xf>
    <xf numFmtId="0" fontId="0" fillId="7" borderId="1" applyAlignment="1" pivotButton="0" quotePrefix="0" xfId="0">
      <alignment horizontal="general" vertical="bottom"/>
    </xf>
    <xf numFmtId="0" fontId="0" fillId="2" borderId="1" applyAlignment="1" pivotButton="0" quotePrefix="0" xfId="0">
      <alignment horizontal="general" vertical="bottom"/>
    </xf>
    <xf numFmtId="0" fontId="28" fillId="8" borderId="4" applyAlignment="1" pivotButton="0" quotePrefix="0" xfId="0">
      <alignment horizontal="general" vertical="top" wrapText="1"/>
    </xf>
    <xf numFmtId="0" fontId="28" fillId="11" borderId="4" applyAlignment="1" pivotButton="0" quotePrefix="0" xfId="0">
      <alignment horizontal="general" vertical="top" wrapText="1"/>
    </xf>
    <xf numFmtId="0" fontId="29" fillId="0" borderId="0" applyAlignment="1" pivotButton="0" quotePrefix="0" xfId="0">
      <alignment horizontal="general" vertical="bottom"/>
    </xf>
    <xf numFmtId="0" fontId="30" fillId="0" borderId="0" applyAlignment="1" pivotButton="0" quotePrefix="0" xfId="0">
      <alignment horizontal="general" vertical="bottom"/>
    </xf>
    <xf numFmtId="0" fontId="11" fillId="3" borderId="0" applyAlignment="1" pivotButton="0" quotePrefix="0" xfId="0">
      <alignment horizontal="left" vertical="center"/>
    </xf>
    <xf numFmtId="0" fontId="5" fillId="8" borderId="0" applyAlignment="1" pivotButton="0" quotePrefix="0" xfId="0">
      <alignment horizontal="general" vertical="center" wrapText="1"/>
    </xf>
    <xf numFmtId="167" fontId="5" fillId="9"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164" fontId="5"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center" vertical="center" wrapText="1"/>
    </xf>
    <xf numFmtId="165" fontId="5" fillId="0" borderId="1" applyAlignment="1" pivotButton="0" quotePrefix="0" xfId="0">
      <alignment horizontal="general" vertical="top" wrapText="1"/>
    </xf>
    <xf numFmtId="164" fontId="5"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7" fillId="0" borderId="2" applyAlignment="1" pivotButton="0" quotePrefix="0" xfId="0">
      <alignment horizontal="general" vertical="top" wrapText="1"/>
    </xf>
    <xf numFmtId="0" fontId="7" fillId="0" borderId="2" applyAlignment="1" pivotButton="0" quotePrefix="0" xfId="0">
      <alignment horizontal="general" vertical="top" wrapText="1"/>
    </xf>
    <xf numFmtId="164" fontId="7" fillId="0" borderId="0" applyAlignment="1" pivotButton="0" quotePrefix="0" xfId="0">
      <alignment horizontal="general" vertical="top" wrapText="1"/>
    </xf>
    <xf numFmtId="0" fontId="7" fillId="0" borderId="0" applyAlignment="1" pivotButton="0" quotePrefix="0" xfId="0">
      <alignment horizontal="general" vertical="top" wrapText="1"/>
    </xf>
    <xf numFmtId="164" fontId="31" fillId="0" borderId="0" applyAlignment="1" pivotButton="0" quotePrefix="0" xfId="0">
      <alignment vertical="top" wrapText="1"/>
    </xf>
    <xf numFmtId="0" fontId="31" fillId="0" borderId="0" applyAlignment="1" pivotButton="0" quotePrefix="0" xfId="0">
      <alignment vertical="top" wrapText="1"/>
    </xf>
    <xf numFmtId="0" fontId="9" fillId="3" borderId="0" applyAlignment="1" pivotButton="0" quotePrefix="0" xfId="0">
      <alignment horizontal="center" vertical="center"/>
    </xf>
    <xf numFmtId="0" fontId="10" fillId="4" borderId="0" applyAlignment="1" pivotButton="0" quotePrefix="0" xfId="0">
      <alignment horizontal="center" vertical="center"/>
    </xf>
    <xf numFmtId="0" fontId="11" fillId="4" borderId="0" applyAlignment="1" pivotButton="0" quotePrefix="0" xfId="0">
      <alignment horizontal="left" vertical="center"/>
    </xf>
    <xf numFmtId="0" fontId="12" fillId="3" borderId="0" applyAlignment="1" pivotButton="0" quotePrefix="0" xfId="0">
      <alignment horizontal="center" vertical="center"/>
    </xf>
    <xf numFmtId="0" fontId="13" fillId="4" borderId="0" applyAlignment="1" pivotButton="0" quotePrefix="0" xfId="0">
      <alignment horizontal="center" vertical="center"/>
    </xf>
    <xf numFmtId="166" fontId="14" fillId="4" borderId="0" applyAlignment="1" pivotButton="0" quotePrefix="0" xfId="0">
      <alignment horizontal="center" vertical="center"/>
    </xf>
    <xf numFmtId="0" fontId="14" fillId="4" borderId="0" applyAlignment="1" pivotButton="0" quotePrefix="0" xfId="0">
      <alignment horizontal="center" vertical="center"/>
    </xf>
    <xf numFmtId="0" fontId="15" fillId="4" borderId="0" applyAlignment="1" pivotButton="0" quotePrefix="0" xfId="0">
      <alignment horizontal="center" vertical="center"/>
    </xf>
    <xf numFmtId="0" fontId="11" fillId="5" borderId="0" applyAlignment="1" pivotButton="0" quotePrefix="0" xfId="0">
      <alignment horizontal="left" vertical="center"/>
    </xf>
    <xf numFmtId="0" fontId="16" fillId="6" borderId="0" applyAlignment="1" pivotButton="0" quotePrefix="0" xfId="0">
      <alignment horizontal="center" vertical="center"/>
    </xf>
    <xf numFmtId="167" fontId="17" fillId="7" borderId="0" applyAlignment="1" pivotButton="0" quotePrefix="0" xfId="0">
      <alignment horizontal="center" vertical="center" wrapText="1"/>
    </xf>
    <xf numFmtId="0" fontId="17" fillId="7" borderId="0" applyAlignment="1" pivotButton="0" quotePrefix="0" xfId="0">
      <alignment horizontal="center" vertical="center" wrapText="1"/>
    </xf>
    <xf numFmtId="166" fontId="17" fillId="7" borderId="0" applyAlignment="1" pivotButton="0" quotePrefix="0" xfId="0">
      <alignment horizontal="center" vertical="center" wrapText="1"/>
    </xf>
    <xf numFmtId="0" fontId="4" fillId="5" borderId="0" applyAlignment="1" pivotButton="0" quotePrefix="0" xfId="0">
      <alignment horizontal="center" vertical="center"/>
    </xf>
    <xf numFmtId="0" fontId="18" fillId="6" borderId="0" applyAlignment="1" pivotButton="0" quotePrefix="0" xfId="0">
      <alignment horizontal="center" vertical="center"/>
    </xf>
    <xf numFmtId="0" fontId="5" fillId="6" borderId="0" applyAlignment="1" pivotButton="0" quotePrefix="0" xfId="0">
      <alignment horizontal="general" vertical="center"/>
    </xf>
    <xf numFmtId="0" fontId="5" fillId="6" borderId="0" applyAlignment="1" pivotButton="0" quotePrefix="0" xfId="0">
      <alignment horizontal="center" vertical="center"/>
    </xf>
    <xf numFmtId="166" fontId="18" fillId="6" borderId="0" applyAlignment="1" pivotButton="0" quotePrefix="0" xfId="0">
      <alignment horizontal="center" vertical="center"/>
    </xf>
    <xf numFmtId="0" fontId="19" fillId="6" borderId="0" applyAlignment="1" pivotButton="0" quotePrefix="0" xfId="0">
      <alignment horizontal="center" vertical="center"/>
    </xf>
    <xf numFmtId="0" fontId="18" fillId="8" borderId="0" applyAlignment="1" pivotButton="0" quotePrefix="0" xfId="0">
      <alignment horizontal="center" vertical="center"/>
    </xf>
    <xf numFmtId="0" fontId="5" fillId="8" borderId="0" applyAlignment="1" pivotButton="0" quotePrefix="0" xfId="0">
      <alignment horizontal="general" vertical="center"/>
    </xf>
    <xf numFmtId="0" fontId="5" fillId="8" borderId="0" applyAlignment="1" pivotButton="0" quotePrefix="0" xfId="0">
      <alignment horizontal="center" vertical="center"/>
    </xf>
    <xf numFmtId="166" fontId="18" fillId="8" borderId="0" applyAlignment="1" pivotButton="0" quotePrefix="0" xfId="0">
      <alignment horizontal="center" vertical="center"/>
    </xf>
    <xf numFmtId="0" fontId="19" fillId="8" borderId="0" applyAlignment="1" pivotButton="0" quotePrefix="0" xfId="0">
      <alignment horizontal="center" vertical="center"/>
    </xf>
    <xf numFmtId="0" fontId="18" fillId="9" borderId="0" applyAlignment="1" pivotButton="0" quotePrefix="0" xfId="0">
      <alignment horizontal="center" vertical="center"/>
    </xf>
    <xf numFmtId="0" fontId="5" fillId="9" borderId="0" applyAlignment="1" pivotButton="0" quotePrefix="0" xfId="0">
      <alignment horizontal="general" vertical="center"/>
    </xf>
    <xf numFmtId="0" fontId="5" fillId="9" borderId="0" applyAlignment="1" pivotButton="0" quotePrefix="0" xfId="0">
      <alignment horizontal="center" vertical="center"/>
    </xf>
    <xf numFmtId="166" fontId="18" fillId="9" borderId="0" applyAlignment="1" pivotButton="0" quotePrefix="0" xfId="0">
      <alignment horizontal="center" vertical="center"/>
    </xf>
    <xf numFmtId="0" fontId="19" fillId="9" borderId="0" applyAlignment="1" pivotButton="0" quotePrefix="0" xfId="0">
      <alignment horizontal="center" vertical="center"/>
    </xf>
    <xf numFmtId="0" fontId="34" fillId="0" borderId="0" applyAlignment="1" pivotButton="0" quotePrefix="0" xfId="0">
      <alignment horizontal="center" vertical="center"/>
    </xf>
    <xf numFmtId="0" fontId="35" fillId="0" borderId="0" applyAlignment="1" pivotButton="0" quotePrefix="0" xfId="0">
      <alignment horizontal="general" vertical="center"/>
    </xf>
    <xf numFmtId="0" fontId="35" fillId="0" borderId="0" applyAlignment="1" pivotButton="0" quotePrefix="0" xfId="0">
      <alignment horizontal="center" vertical="center"/>
    </xf>
    <xf numFmtId="166" fontId="34" fillId="0" borderId="0" applyAlignment="1" pivotButton="0" quotePrefix="0" xfId="0">
      <alignment horizontal="center" vertical="center"/>
    </xf>
    <xf numFmtId="0" fontId="36" fillId="0" borderId="0" applyAlignment="1" pivotButton="0" quotePrefix="0" xfId="0">
      <alignment horizontal="center" vertical="center"/>
    </xf>
    <xf numFmtId="0" fontId="18" fillId="7" borderId="0" applyAlignment="1" pivotButton="0" quotePrefix="0" xfId="0">
      <alignment horizontal="center" vertical="center"/>
    </xf>
    <xf numFmtId="0" fontId="5" fillId="7" borderId="0" applyAlignment="1" pivotButton="0" quotePrefix="0" xfId="0">
      <alignment horizontal="general" vertical="center"/>
    </xf>
    <xf numFmtId="0" fontId="5" fillId="7" borderId="0" applyAlignment="1" pivotButton="0" quotePrefix="0" xfId="0">
      <alignment horizontal="center" vertical="center"/>
    </xf>
    <xf numFmtId="166" fontId="18" fillId="7" borderId="0" applyAlignment="1" pivotButton="0" quotePrefix="0" xfId="0">
      <alignment horizontal="center" vertical="center"/>
    </xf>
    <xf numFmtId="0" fontId="19" fillId="7" borderId="0" applyAlignment="1" pivotButton="0" quotePrefix="0" xfId="0">
      <alignment horizontal="center" vertical="center"/>
    </xf>
    <xf numFmtId="0" fontId="20" fillId="7" borderId="0" applyAlignment="1" pivotButton="0" quotePrefix="0" xfId="0">
      <alignment horizontal="left" vertical="center"/>
    </xf>
    <xf numFmtId="0" fontId="18" fillId="9" borderId="0" applyAlignment="1" pivotButton="0" quotePrefix="0" xfId="0">
      <alignment horizontal="general" vertical="center"/>
    </xf>
    <xf numFmtId="0" fontId="20" fillId="9" borderId="0" applyAlignment="1" pivotButton="0" quotePrefix="0" xfId="0">
      <alignment horizontal="general" vertical="center"/>
    </xf>
    <xf numFmtId="0" fontId="21" fillId="9" borderId="0" applyAlignment="1" pivotButton="0" quotePrefix="0" xfId="0">
      <alignment horizontal="general" vertical="center"/>
    </xf>
    <xf numFmtId="0" fontId="18" fillId="8" borderId="0" applyAlignment="1" pivotButton="0" quotePrefix="0" xfId="0">
      <alignment horizontal="general" vertical="center"/>
    </xf>
    <xf numFmtId="0" fontId="20" fillId="8" borderId="0" applyAlignment="1" pivotButton="0" quotePrefix="0" xfId="0">
      <alignment horizontal="general" vertical="center"/>
    </xf>
    <xf numFmtId="0" fontId="21" fillId="8" borderId="0" applyAlignment="1" pivotButton="0" quotePrefix="0" xfId="0">
      <alignment horizontal="general" vertical="center"/>
    </xf>
    <xf numFmtId="0" fontId="6" fillId="9" borderId="0" applyAlignment="1" pivotButton="0" quotePrefix="0" xfId="0">
      <alignment horizontal="center" vertical="center"/>
    </xf>
    <xf numFmtId="0" fontId="22" fillId="9" borderId="0" applyAlignment="1" pivotButton="0" quotePrefix="0" xfId="0">
      <alignment horizontal="left" vertical="center"/>
    </xf>
    <xf numFmtId="0" fontId="6" fillId="8" borderId="0" applyAlignment="1" pivotButton="0" quotePrefix="0" xfId="0">
      <alignment horizontal="center" vertical="center"/>
    </xf>
    <xf numFmtId="0" fontId="22" fillId="8" borderId="0" applyAlignment="1" pivotButton="0" quotePrefix="0" xfId="0">
      <alignment horizontal="left" vertical="center"/>
    </xf>
    <xf numFmtId="0" fontId="23" fillId="9" borderId="0" applyAlignment="1" pivotButton="0" quotePrefix="0" xfId="0">
      <alignment horizontal="center" vertical="center"/>
    </xf>
    <xf numFmtId="0" fontId="23" fillId="8" borderId="0" applyAlignment="1" pivotButton="0" quotePrefix="0" xfId="0">
      <alignment horizontal="center" vertical="center"/>
    </xf>
    <xf numFmtId="0" fontId="24" fillId="10" borderId="0" applyAlignment="1" pivotButton="0" quotePrefix="0" xfId="0">
      <alignment horizontal="general" vertical="center"/>
    </xf>
    <xf numFmtId="0" fontId="9" fillId="2" borderId="0" applyAlignment="1" pivotButton="0" quotePrefix="0" xfId="0">
      <alignment horizontal="center" vertical="center" wrapText="1"/>
    </xf>
    <xf numFmtId="0" fontId="10" fillId="4" borderId="0" applyAlignment="1" pivotButton="0" quotePrefix="0" xfId="0">
      <alignment horizontal="center" vertical="center" wrapText="1"/>
    </xf>
    <xf numFmtId="0" fontId="11" fillId="4" borderId="0" applyAlignment="1" pivotButton="0" quotePrefix="0" xfId="0">
      <alignment horizontal="left" vertical="center" wrapText="1"/>
    </xf>
    <xf numFmtId="0" fontId="5" fillId="8" borderId="3" applyAlignment="1" pivotButton="0" quotePrefix="0" xfId="0">
      <alignment horizontal="general" vertical="top" wrapText="1"/>
    </xf>
    <xf numFmtId="0" fontId="0" fillId="0" borderId="5" pivotButton="0" quotePrefix="0" xfId="0"/>
    <xf numFmtId="0" fontId="0" fillId="0" borderId="6" pivotButton="0" quotePrefix="0" xfId="0"/>
    <xf numFmtId="0" fontId="4" fillId="5" borderId="1" applyAlignment="1" pivotButton="0" quotePrefix="0" xfId="0">
      <alignment horizontal="center" vertical="center" wrapText="1"/>
    </xf>
    <xf numFmtId="0" fontId="18" fillId="9" borderId="1" applyAlignment="1" pivotButton="0" quotePrefix="0" xfId="0">
      <alignment horizontal="general" vertical="center"/>
    </xf>
    <xf numFmtId="0" fontId="5" fillId="9" borderId="1" applyAlignment="1" pivotButton="0" quotePrefix="0" xfId="0">
      <alignment horizontal="general" vertical="center"/>
    </xf>
    <xf numFmtId="0" fontId="20" fillId="9" borderId="1" applyAlignment="1" pivotButton="0" quotePrefix="0" xfId="0">
      <alignment horizontal="general" vertical="center" wrapText="1"/>
    </xf>
    <xf numFmtId="0" fontId="23" fillId="9" borderId="1" applyAlignment="1" pivotButton="0" quotePrefix="0" xfId="0">
      <alignment horizontal="general" vertical="center"/>
    </xf>
    <xf numFmtId="0" fontId="18" fillId="11" borderId="1" applyAlignment="1" pivotButton="0" quotePrefix="0" xfId="0">
      <alignment horizontal="general" vertical="top" wrapText="1"/>
    </xf>
    <xf numFmtId="0" fontId="5" fillId="11" borderId="1" applyAlignment="1" pivotButton="0" quotePrefix="0" xfId="0">
      <alignment horizontal="general" vertical="top" wrapText="1"/>
    </xf>
    <xf numFmtId="0" fontId="18" fillId="8" borderId="1" applyAlignment="1" pivotButton="0" quotePrefix="0" xfId="0">
      <alignment horizontal="general" vertical="center"/>
    </xf>
    <xf numFmtId="0" fontId="5" fillId="8" borderId="1" applyAlignment="1" pivotButton="0" quotePrefix="0" xfId="0">
      <alignment horizontal="general" vertical="center"/>
    </xf>
    <xf numFmtId="0" fontId="20" fillId="8" borderId="1" applyAlignment="1" pivotButton="0" quotePrefix="0" xfId="0">
      <alignment horizontal="general" vertical="center" wrapText="1"/>
    </xf>
    <xf numFmtId="0" fontId="23" fillId="8" borderId="1" applyAlignment="1" pivotButton="0" quotePrefix="0" xfId="0">
      <alignment horizontal="general" vertical="center"/>
    </xf>
    <xf numFmtId="0" fontId="18" fillId="9" borderId="1" applyAlignment="1" pivotButton="0" quotePrefix="0" xfId="0">
      <alignment horizontal="general" vertical="top" wrapText="1"/>
    </xf>
    <xf numFmtId="0" fontId="5" fillId="9" borderId="1" applyAlignment="1" pivotButton="0" quotePrefix="0" xfId="0">
      <alignment horizontal="general" vertical="top" wrapText="1"/>
    </xf>
    <xf numFmtId="0" fontId="18" fillId="0" borderId="1" applyAlignment="1" pivotButton="0" quotePrefix="0" xfId="0">
      <alignment horizontal="general" vertical="top" wrapText="1"/>
    </xf>
    <xf numFmtId="0" fontId="25" fillId="8" borderId="4" applyAlignment="1" pivotButton="0" quotePrefix="0" xfId="0">
      <alignment horizontal="general" vertical="top" wrapText="1"/>
    </xf>
    <xf numFmtId="0" fontId="0" fillId="0" borderId="8" pivotButton="0" quotePrefix="0" xfId="0"/>
    <xf numFmtId="0" fontId="5" fillId="7" borderId="1" applyAlignment="1" pivotButton="0" quotePrefix="0" xfId="0">
      <alignment horizontal="general" vertical="top" wrapText="1"/>
    </xf>
    <xf numFmtId="0" fontId="5" fillId="12" borderId="1" applyAlignment="1" pivotButton="0" quotePrefix="0" xfId="0">
      <alignment horizontal="general" vertical="top" wrapText="1"/>
    </xf>
    <xf numFmtId="0" fontId="5" fillId="9" borderId="0" applyAlignment="1" pivotButton="0" quotePrefix="0" xfId="0">
      <alignment horizontal="general" vertical="center" wrapText="1"/>
    </xf>
    <xf numFmtId="0" fontId="18" fillId="10" borderId="1" applyAlignment="1" pivotButton="0" quotePrefix="0" xfId="0">
      <alignment horizontal="general" vertical="top" wrapText="1"/>
    </xf>
    <xf numFmtId="0" fontId="5" fillId="10" borderId="1" applyAlignment="1" pivotButton="0" quotePrefix="0" xfId="0">
      <alignment horizontal="general" vertical="top" wrapText="1"/>
    </xf>
    <xf numFmtId="0" fontId="34" fillId="0" borderId="0" applyAlignment="1" pivotButton="0" quotePrefix="0" xfId="0">
      <alignment vertical="top" wrapText="1"/>
    </xf>
    <xf numFmtId="0" fontId="35" fillId="0" borderId="0" applyAlignment="1" pivotButton="0" quotePrefix="0" xfId="0">
      <alignment vertical="top" wrapText="1"/>
    </xf>
    <xf numFmtId="0" fontId="18" fillId="13" borderId="1" applyAlignment="1" pivotButton="0" quotePrefix="0" xfId="0">
      <alignment horizontal="general" vertical="top" wrapText="1"/>
    </xf>
    <xf numFmtId="0" fontId="5" fillId="13" borderId="1" applyAlignment="1" pivotButton="0" quotePrefix="0" xfId="0">
      <alignment horizontal="general" vertical="top" wrapText="1"/>
    </xf>
    <xf numFmtId="0" fontId="18" fillId="14" borderId="1" applyAlignment="1" pivotButton="0" quotePrefix="0" xfId="0">
      <alignment horizontal="general" vertical="top" wrapText="1"/>
    </xf>
    <xf numFmtId="0" fontId="5" fillId="14" borderId="1" applyAlignment="1" pivotButton="0" quotePrefix="0" xfId="0">
      <alignment horizontal="general" vertical="top" wrapText="1"/>
    </xf>
    <xf numFmtId="0" fontId="17" fillId="8" borderId="4" applyAlignment="1" pivotButton="0" quotePrefix="0" xfId="0">
      <alignment horizontal="general" vertical="top" wrapText="1"/>
    </xf>
    <xf numFmtId="0" fontId="26" fillId="11" borderId="4" applyAlignment="1" pivotButton="0" quotePrefix="0" xfId="0">
      <alignment horizontal="general" vertical="top" wrapText="1"/>
    </xf>
    <xf numFmtId="0" fontId="26" fillId="8" borderId="4" applyAlignment="1" pivotButton="0" quotePrefix="0" xfId="0">
      <alignment horizontal="general" vertical="top" wrapText="1"/>
    </xf>
    <xf numFmtId="0" fontId="20" fillId="7" borderId="0" applyAlignment="1" pivotButton="0" quotePrefix="0" xfId="0">
      <alignment horizontal="general" vertical="top" wrapText="1"/>
    </xf>
    <xf numFmtId="0" fontId="33" fillId="0" borderId="0" applyAlignment="1" pivotButton="0" quotePrefix="0" xfId="0">
      <alignment vertical="top" wrapText="1"/>
    </xf>
    <xf numFmtId="0" fontId="27" fillId="4" borderId="0" applyAlignment="1" pivotButton="0" quotePrefix="0" xfId="0">
      <alignment horizontal="center" vertical="center" wrapText="1"/>
    </xf>
    <xf numFmtId="0" fontId="23" fillId="9" borderId="1" applyAlignment="1" pivotButton="0" quotePrefix="0" xfId="0">
      <alignment horizontal="general" vertical="top" wrapText="1"/>
    </xf>
    <xf numFmtId="0" fontId="20" fillId="9" borderId="1" applyAlignment="1" pivotButton="0" quotePrefix="0" xfId="0">
      <alignment horizontal="general" vertical="top" wrapText="1"/>
    </xf>
    <xf numFmtId="0" fontId="23" fillId="11" borderId="1" applyAlignment="1" pivotButton="0" quotePrefix="0" xfId="0">
      <alignment horizontal="general" vertical="top" wrapText="1"/>
    </xf>
    <xf numFmtId="0" fontId="20" fillId="11" borderId="1" applyAlignment="1" pivotButton="0" quotePrefix="0" xfId="0">
      <alignment horizontal="general" vertical="top" wrapText="1"/>
    </xf>
    <xf numFmtId="0" fontId="23" fillId="10" borderId="1" applyAlignment="1" pivotButton="0" quotePrefix="0" xfId="0">
      <alignment horizontal="general" vertical="top" wrapText="1"/>
    </xf>
    <xf numFmtId="0" fontId="20" fillId="10" borderId="1" applyAlignment="1" pivotButton="0" quotePrefix="0" xfId="0">
      <alignment horizontal="general" vertical="top" wrapText="1"/>
    </xf>
    <xf numFmtId="0" fontId="23" fillId="14" borderId="1" applyAlignment="1" pivotButton="0" quotePrefix="0" xfId="0">
      <alignment horizontal="general" vertical="top" wrapText="1"/>
    </xf>
    <xf numFmtId="0" fontId="20" fillId="14" borderId="1" applyAlignment="1" pivotButton="0" quotePrefix="0" xfId="0">
      <alignment horizontal="general" vertical="top" wrapText="1"/>
    </xf>
    <xf numFmtId="0" fontId="32" fillId="0" borderId="0" applyAlignment="1" pivotButton="0" quotePrefix="0" xfId="0">
      <alignment horizontal="general" vertical="top" wrapText="1"/>
    </xf>
    <xf numFmtId="0" fontId="33" fillId="0" borderId="0" applyAlignment="1" pivotButton="0" quotePrefix="0" xfId="0">
      <alignment horizontal="general" vertical="top" wrapText="1"/>
    </xf>
    <xf numFmtId="0" fontId="0" fillId="15" borderId="1" applyAlignment="1" pivotButton="0" quotePrefix="0" xfId="0">
      <alignment horizontal="general" vertical="bottom"/>
    </xf>
    <xf numFmtId="0" fontId="5" fillId="8" borderId="1" applyAlignment="1" pivotButton="0" quotePrefix="0" xfId="0">
      <alignment horizontal="general" vertical="top" wrapText="1"/>
    </xf>
    <xf numFmtId="0" fontId="0" fillId="9" borderId="1" applyAlignment="1" pivotButton="0" quotePrefix="0" xfId="0">
      <alignment horizontal="general" vertical="bottom"/>
    </xf>
    <xf numFmtId="0" fontId="0" fillId="7" borderId="1" applyAlignment="1" pivotButton="0" quotePrefix="0" xfId="0">
      <alignment horizontal="general" vertical="bottom"/>
    </xf>
    <xf numFmtId="0" fontId="0" fillId="2" borderId="1" applyAlignment="1" pivotButton="0" quotePrefix="0" xfId="0">
      <alignment horizontal="general" vertical="bottom"/>
    </xf>
    <xf numFmtId="0" fontId="28" fillId="8" borderId="4" applyAlignment="1" pivotButton="0" quotePrefix="0" xfId="0">
      <alignment horizontal="general" vertical="top" wrapText="1"/>
    </xf>
    <xf numFmtId="0" fontId="28" fillId="11" borderId="4" applyAlignment="1" pivotButton="0" quotePrefix="0" xfId="0">
      <alignment horizontal="general" vertical="top" wrapText="1"/>
    </xf>
    <xf numFmtId="0" fontId="29" fillId="0" borderId="0" applyAlignment="1" pivotButton="0" quotePrefix="0" xfId="0">
      <alignment horizontal="general" vertical="bottom"/>
    </xf>
    <xf numFmtId="0" fontId="30" fillId="0" borderId="0" applyAlignment="1" pivotButton="0" quotePrefix="0" xfId="0">
      <alignment horizontal="general" vertical="bottom"/>
    </xf>
    <xf numFmtId="0" fontId="11" fillId="3" borderId="0" applyAlignment="1" pivotButton="0" quotePrefix="0" xfId="0">
      <alignment horizontal="left" vertical="center"/>
    </xf>
    <xf numFmtId="0" fontId="5" fillId="8" borderId="0" applyAlignment="1" pivotButton="0" quotePrefix="0" xfId="0">
      <alignment horizontal="general" vertical="center" wrapText="1"/>
    </xf>
    <xf numFmtId="167" fontId="5" fillId="9"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Unknown Author</author>
  </authors>
  <commentList>
    <comment ref="C30" authorId="0" shapeId="0">
      <text>
        <t>Corrected: user confirms only ever visited the OFC outlet. 'Raffles Place' was a mislabel. Now matches row 32/34 (same venue). 11Jul2026 audit.</t>
      </text>
    </comment>
    <comment ref="C41" authorId="0" shapeId="0">
      <text>
        <t>Capitalization standardized to Google's canonical listing. 11Jul2026 audit.</t>
      </text>
    </comment>
    <comment ref="C44" authorId="0" shapeId="0">
      <text>
        <t>Renamed per user instruction to distinguish from Apartment (Selegie Rd). 11Jul2026 audit.</t>
      </text>
    </comment>
    <comment ref="C46" authorId="0" shapeId="0">
      <text>
        <t>Renamed per user instruction to distinguish from Apartment (Selegie Rd). 11Jul2026 audit.</t>
      </text>
    </comment>
    <comment ref="C47" authorId="0" shapeId="0">
      <text>
        <t>Capitalization standardized to Google's canonical listing. 11Jul2026 audit.</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2D1F0F"/>
    <outlinePr summaryBelow="1" summaryRight="1"/>
    <pageSetUpPr fitToPage="0"/>
  </sheetPr>
  <dimension ref="A1:X87"/>
  <sheetViews>
    <sheetView showFormulas="0" showGridLines="0"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1" customWidth="1" style="129" min="1" max="2"/>
    <col width="22" customWidth="1" style="129" min="3" max="3"/>
    <col width="26" customWidth="1" style="129" min="4" max="4"/>
    <col width="20" customWidth="1" style="129" min="5" max="5"/>
    <col width="16" customWidth="1" style="129" min="6" max="7"/>
    <col width="20" customWidth="1" style="129" min="8" max="8"/>
    <col width="11" customWidth="1" style="129" min="9" max="9"/>
    <col width="24" customWidth="1" style="129" min="10" max="10"/>
    <col width="7" customWidth="1" style="129" min="11" max="12"/>
    <col width="8" customWidth="1" style="129" min="13" max="13"/>
    <col width="12" customWidth="1" style="129" min="14" max="14"/>
    <col width="20" customWidth="1" style="129" min="15" max="15"/>
    <col width="26" customWidth="1" style="129" min="16" max="16"/>
    <col width="8" customWidth="1" style="129" min="17" max="17"/>
    <col width="26" customWidth="1" style="129" min="18" max="18"/>
    <col width="50" customWidth="1" style="129" min="19" max="20"/>
    <col width="40" customWidth="1" style="129" min="21" max="21"/>
    <col width="24" customWidth="1" style="129" min="22" max="22"/>
    <col width="10" customWidth="1" style="129" min="23" max="23"/>
    <col width="46" customWidth="1" style="129" min="24" max="24"/>
  </cols>
  <sheetData>
    <row r="1" ht="18" customHeight="1" s="130">
      <c r="A1" s="131" t="inlineStr">
        <is>
          <t>Date</t>
        </is>
      </c>
      <c r="B1" s="131" t="inlineStr">
        <is>
          <t>City</t>
        </is>
      </c>
      <c r="C1" s="131" t="inlineStr">
        <is>
          <t>Cafe_Name</t>
        </is>
      </c>
      <c r="D1" s="131" t="inlineStr">
        <is>
          <t>Coffee_Name</t>
        </is>
      </c>
      <c r="E1" s="131" t="inlineStr">
        <is>
          <t>Producer_Farm</t>
        </is>
      </c>
      <c r="F1" s="131" t="inlineStr">
        <is>
          <t>Origin</t>
        </is>
      </c>
      <c r="G1" s="131" t="inlineStr">
        <is>
          <t>Varietal</t>
        </is>
      </c>
      <c r="H1" s="131" t="inlineStr">
        <is>
          <t>Process</t>
        </is>
      </c>
      <c r="I1" s="131" t="inlineStr">
        <is>
          <t>Roast_Level</t>
        </is>
      </c>
      <c r="J1" s="131" t="inlineStr">
        <is>
          <t>Brew_Method</t>
        </is>
      </c>
      <c r="K1" s="131" t="inlineStr">
        <is>
          <t>Dose_g</t>
        </is>
      </c>
      <c r="L1" s="131" t="inlineStr">
        <is>
          <t>Yield_g</t>
        </is>
      </c>
      <c r="M1" s="131" t="inlineStr">
        <is>
          <t>Ratio</t>
        </is>
      </c>
      <c r="N1" s="131" t="inlineStr">
        <is>
          <t>Water_Temp_C</t>
        </is>
      </c>
      <c r="O1" s="131" t="inlineStr">
        <is>
          <t>Bloom</t>
        </is>
      </c>
      <c r="P1" s="131" t="inlineStr">
        <is>
          <t>Grinder</t>
        </is>
      </c>
      <c r="Q1" s="131" t="inlineStr">
        <is>
          <t>Price_SGD</t>
        </is>
      </c>
      <c r="R1" s="131" t="inlineStr">
        <is>
          <t>Official_Notes</t>
        </is>
      </c>
      <c r="S1" s="131" t="inlineStr">
        <is>
          <t>Your_Verdict</t>
        </is>
      </c>
      <c r="T1" s="131" t="inlineStr">
        <is>
          <t>Technical_Enrichment</t>
        </is>
      </c>
      <c r="U1" s="131" t="inlineStr">
        <is>
          <t>Visit_Context</t>
        </is>
      </c>
      <c r="V1" s="131" t="inlineStr">
        <is>
          <t>Source</t>
        </is>
      </c>
      <c r="W1" s="131" t="inlineStr">
        <is>
          <t>Gesha_Alert</t>
        </is>
      </c>
      <c r="X1" s="131" t="inlineStr">
        <is>
          <t>Address</t>
        </is>
      </c>
    </row>
    <row r="2" ht="20.25" customHeight="1" s="130">
      <c r="A2" s="132" t="n">
        <v>46025</v>
      </c>
      <c r="B2" s="133" t="inlineStr">
        <is>
          <t>Ubud, Bali</t>
        </is>
      </c>
      <c r="C2" s="133" t="inlineStr">
        <is>
          <t>Seniman Coffee Studio</t>
        </is>
      </c>
      <c r="D2" s="133" t="inlineStr">
        <is>
          <t>Bali Karana Kintamanis</t>
        </is>
      </c>
      <c r="E2" s="133" t="inlineStr">
        <is>
          <t>Unknown</t>
        </is>
      </c>
      <c r="F2" s="133" t="inlineStr">
        <is>
          <t>Kintamani, Bali</t>
        </is>
      </c>
      <c r="G2" s="133" t="inlineStr">
        <is>
          <t>Unknown</t>
        </is>
      </c>
      <c r="H2" s="133" t="inlineStr">
        <is>
          <t>Natural</t>
        </is>
      </c>
      <c r="I2" s="133" t="inlineStr">
        <is>
          <t>Light</t>
        </is>
      </c>
      <c r="J2" s="133" t="inlineStr">
        <is>
          <t>Filter</t>
        </is>
      </c>
      <c r="K2" s="133" t="inlineStr">
        <is>
          <t>Unknown</t>
        </is>
      </c>
      <c r="L2" s="133" t="inlineStr">
        <is>
          <t>Unknown</t>
        </is>
      </c>
      <c r="M2" s="133" t="inlineStr">
        <is>
          <t>Unknown</t>
        </is>
      </c>
      <c r="N2" s="133" t="inlineStr">
        <is>
          <t>Unknown</t>
        </is>
      </c>
      <c r="O2" s="133" t="inlineStr">
        <is>
          <t>Unknown</t>
        </is>
      </c>
      <c r="P2" s="133" t="inlineStr">
        <is>
          <t>Unknown</t>
        </is>
      </c>
      <c r="Q2" s="133" t="inlineStr">
        <is>
          <t>Unknown</t>
        </is>
      </c>
      <c r="R2" s="133" t="inlineStr">
        <is>
          <t>Clean citrus; floral</t>
        </is>
      </c>
      <c r="S2" s="133" t="inlineStr">
        <is>
          <t>Excellent clarity for a natural process; clean citrus and floral notes.</t>
        </is>
      </c>
      <c r="T2" s="133" t="inlineStr">
        <is>
          <t>Natural processing contributed mild fruit-forward esters with relatively clean finish; foundational exposure to local Indonesian origins.</t>
        </is>
      </c>
      <c r="U2" s="133" t="inlineStr">
        <is>
          <t>Bali family trip</t>
        </is>
      </c>
      <c r="V2" s="133" t="inlineStr">
        <is>
          <t>Merged (Gemini + ChatGPT)</t>
        </is>
      </c>
      <c r="W2" s="134">
        <f>IF(OR(ISNUMBER(SEARCH("gesha",G2)),ISNUMBER(SEARCH("geisha",G2))),"⭐ GESHA","")</f>
        <v/>
      </c>
      <c r="X2" s="133" t="inlineStr">
        <is>
          <t>Jl. Sri Wedari No.5, Ubud, Gianyar, Bali 80571, Indonesia</t>
        </is>
      </c>
    </row>
    <row r="3" ht="20.25" customHeight="1" s="130">
      <c r="A3" s="132" t="n">
        <v>46026</v>
      </c>
      <c r="B3" s="133" t="inlineStr">
        <is>
          <t>Ubud, Bali</t>
        </is>
      </c>
      <c r="C3" s="133" t="inlineStr">
        <is>
          <t>Seniman Coffee Studio</t>
        </is>
      </c>
      <c r="D3" s="133" t="inlineStr">
        <is>
          <t>Sulawesi Toraja</t>
        </is>
      </c>
      <c r="E3" s="133" t="inlineStr">
        <is>
          <t>Unknown</t>
        </is>
      </c>
      <c r="F3" s="133" t="inlineStr">
        <is>
          <t>Sulawesi, Indonesia</t>
        </is>
      </c>
      <c r="G3" s="133" t="inlineStr">
        <is>
          <t>Unknown</t>
        </is>
      </c>
      <c r="H3" s="133" t="inlineStr">
        <is>
          <t>Wet-Hulled</t>
        </is>
      </c>
      <c r="I3" s="133" t="inlineStr">
        <is>
          <t>Medium</t>
        </is>
      </c>
      <c r="J3" s="133" t="inlineStr">
        <is>
          <t>Pour-over</t>
        </is>
      </c>
      <c r="K3" s="133" t="inlineStr">
        <is>
          <t>Unknown</t>
        </is>
      </c>
      <c r="L3" s="133" t="inlineStr">
        <is>
          <t>Unknown</t>
        </is>
      </c>
      <c r="M3" s="133" t="inlineStr">
        <is>
          <t>Unknown</t>
        </is>
      </c>
      <c r="N3" s="133" t="inlineStr">
        <is>
          <t>Unknown</t>
        </is>
      </c>
      <c r="O3" s="133" t="inlineStr">
        <is>
          <t>Unknown</t>
        </is>
      </c>
      <c r="P3" s="133" t="inlineStr">
        <is>
          <t>Unknown</t>
        </is>
      </c>
      <c r="Q3" s="133" t="inlineStr">
        <is>
          <t>Unknown</t>
        </is>
      </c>
      <c r="R3" s="133" t="inlineStr">
        <is>
          <t>Cocoa; earthy structures</t>
        </is>
      </c>
      <c r="S3" s="133" t="inlineStr">
        <is>
          <t>Heavy body with rich cocoa and earthy notes; low acidity; dense mouthfeel.</t>
        </is>
      </c>
      <c r="T3" s="133" t="inlineStr">
        <is>
          <t>Classic Giling Basah wet-hulled process emphasized earthy compounds and syrupy mouthfeel; structural density confirmed.</t>
        </is>
      </c>
      <c r="U3" s="133" t="inlineStr">
        <is>
          <t>Bali family trip</t>
        </is>
      </c>
      <c r="V3" s="133" t="inlineStr">
        <is>
          <t>Merged (Gemini + ChatGPT)</t>
        </is>
      </c>
      <c r="W3" s="134">
        <f>IF(OR(ISNUMBER(SEARCH("gesha",G3)),ISNUMBER(SEARCH("geisha",G3))),"⭐ GESHA","")</f>
        <v/>
      </c>
      <c r="X3" s="133" t="inlineStr">
        <is>
          <t>Jl. Sri Wedari No.5, Ubud, Gianyar, Bali 80571, Indonesia</t>
        </is>
      </c>
    </row>
    <row r="4" ht="20.25" customHeight="1" s="130">
      <c r="A4" s="132" t="n">
        <v>46026</v>
      </c>
      <c r="B4" s="133" t="inlineStr">
        <is>
          <t>Ubud, Bali</t>
        </is>
      </c>
      <c r="C4" s="133" t="inlineStr">
        <is>
          <t>Seniman Coffee Studio</t>
        </is>
      </c>
      <c r="D4" s="133" t="inlineStr">
        <is>
          <t>House Blend</t>
        </is>
      </c>
      <c r="E4" s="133" t="inlineStr">
        <is>
          <t>Unknown</t>
        </is>
      </c>
      <c r="F4" s="133" t="inlineStr">
        <is>
          <t>Unknown</t>
        </is>
      </c>
      <c r="G4" s="133" t="inlineStr">
        <is>
          <t>Unknown</t>
        </is>
      </c>
      <c r="H4" s="133" t="inlineStr">
        <is>
          <t>Unknown</t>
        </is>
      </c>
      <c r="I4" s="133" t="inlineStr">
        <is>
          <t>Espresso Roast</t>
        </is>
      </c>
      <c r="J4" s="133" t="inlineStr">
        <is>
          <t>Piccolo</t>
        </is>
      </c>
      <c r="K4" s="133" t="inlineStr">
        <is>
          <t>Unknown</t>
        </is>
      </c>
      <c r="L4" s="133" t="inlineStr">
        <is>
          <t>Unknown</t>
        </is>
      </c>
      <c r="M4" s="133" t="inlineStr">
        <is>
          <t>Unknown</t>
        </is>
      </c>
      <c r="N4" s="133" t="inlineStr">
        <is>
          <t>Unknown</t>
        </is>
      </c>
      <c r="O4" s="133" t="inlineStr">
        <is>
          <t>Unknown</t>
        </is>
      </c>
      <c r="P4" s="133" t="inlineStr">
        <is>
          <t>Unknown</t>
        </is>
      </c>
      <c r="Q4" s="133" t="inlineStr">
        <is>
          <t>Unknown</t>
        </is>
      </c>
      <c r="R4" s="133" t="inlineStr">
        <is>
          <t>Balanced</t>
        </is>
      </c>
      <c r="S4" s="133" t="inlineStr">
        <is>
          <t>Great milk integration; standard espresso + milk calibration.</t>
        </is>
      </c>
      <c r="T4" s="133" t="inlineStr">
        <is>
          <t>Baseline milk pairing; milk fats softened acidity and amplified sweetness and body.</t>
        </is>
      </c>
      <c r="U4" s="133" t="inlineStr">
        <is>
          <t>Bali family trip</t>
        </is>
      </c>
      <c r="V4" s="133" t="inlineStr">
        <is>
          <t>Merged (Gemini + ChatGPT)</t>
        </is>
      </c>
      <c r="W4" s="134">
        <f>IF(OR(ISNUMBER(SEARCH("gesha",G4)),ISNUMBER(SEARCH("geisha",G4))),"⭐ GESHA","")</f>
        <v/>
      </c>
      <c r="X4" s="133" t="inlineStr">
        <is>
          <t>Jl. Sri Wedari No.5, Ubud, Gianyar, Bali 80571, Indonesia</t>
        </is>
      </c>
    </row>
    <row r="5" ht="69" customHeight="1" s="130">
      <c r="A5" s="132" t="n">
        <v>46063</v>
      </c>
      <c r="B5" s="133" t="inlineStr">
        <is>
          <t>Singapore</t>
        </is>
      </c>
      <c r="C5" s="133" t="inlineStr">
        <is>
          <t>Kyuukei Coffee</t>
        </is>
      </c>
      <c r="D5" s="133" t="inlineStr">
        <is>
          <t>Kenya Kiamugumo AA</t>
        </is>
      </c>
      <c r="E5" s="133" t="inlineStr">
        <is>
          <t>New Ngariama Farmer's Cooperative Society</t>
        </is>
      </c>
      <c r="F5" s="133" t="inlineStr">
        <is>
          <t>Kiamugumo, Murang'a County, Kenya</t>
        </is>
      </c>
      <c r="G5" s="133" t="inlineStr">
        <is>
          <t>SL28 / SL34</t>
        </is>
      </c>
      <c r="H5" s="133" t="inlineStr">
        <is>
          <t>Washed</t>
        </is>
      </c>
      <c r="I5" s="133" t="inlineStr">
        <is>
          <t>Unknown</t>
        </is>
      </c>
      <c r="J5" s="133" t="inlineStr">
        <is>
          <t>Pour-over (Flat-Bottom)</t>
        </is>
      </c>
      <c r="K5" s="133" t="n">
        <v>15</v>
      </c>
      <c r="L5" s="133" t="n">
        <v>240</v>
      </c>
      <c r="M5" s="133" t="inlineStr">
        <is>
          <t>1:16</t>
        </is>
      </c>
      <c r="N5" s="133" t="inlineStr">
        <is>
          <t>93</t>
        </is>
      </c>
      <c r="O5" s="133" t="inlineStr">
        <is>
          <t>Unknown</t>
        </is>
      </c>
      <c r="P5" s="133" t="inlineStr">
        <is>
          <t>120mm Hybrid Burr</t>
        </is>
      </c>
      <c r="Q5" s="135" t="n">
        <v>8</v>
      </c>
      <c r="R5" s="133" t="inlineStr">
        <is>
          <t>Blackcurrant, Lemon, Citrus Zest, Mineral Finish</t>
        </is>
      </c>
      <c r="S5" s="133"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133"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133" t="inlineStr">
        <is>
          <t>Solo visit — early archive period, first Kyūkei filter audit</t>
        </is>
      </c>
      <c r="V5" s="133" t="inlineStr">
        <is>
          <t>Direct observation + infographic + Google review (10 Feb 2026)</t>
        </is>
      </c>
      <c r="W5" s="134">
        <f>IF(OR(ISNUMBER(SEARCH("gesha",G5)),ISNUMBER(SEARCH("geisha",G5))),"⭐ GESHA","")</f>
        <v/>
      </c>
      <c r="X5" s="133" t="inlineStr">
        <is>
          <t>121 Bukit Merah Lane 1, #01-06, Singapore 150121</t>
        </is>
      </c>
    </row>
    <row r="6" ht="20.25" customHeight="1" s="130">
      <c r="A6" s="132" t="n">
        <v>46082</v>
      </c>
      <c r="B6" s="133" t="inlineStr">
        <is>
          <t>Mumbai</t>
        </is>
      </c>
      <c r="C6" s="133" t="inlineStr">
        <is>
          <t>Subko Coffee Roasters</t>
        </is>
      </c>
      <c r="D6" s="133" t="inlineStr">
        <is>
          <t>Project Pearl Ratnagiri</t>
        </is>
      </c>
      <c r="E6" s="133" t="inlineStr">
        <is>
          <t>Ratnagiri Estate</t>
        </is>
      </c>
      <c r="F6" s="133" t="inlineStr">
        <is>
          <t>India</t>
        </is>
      </c>
      <c r="G6" s="133" t="inlineStr">
        <is>
          <t>Unknown</t>
        </is>
      </c>
      <c r="H6" s="133" t="inlineStr">
        <is>
          <t>Anaerobic Natural</t>
        </is>
      </c>
      <c r="I6" s="133" t="inlineStr">
        <is>
          <t>Light (Agtron 89)</t>
        </is>
      </c>
      <c r="J6" s="133" t="inlineStr">
        <is>
          <t>Filter</t>
        </is>
      </c>
      <c r="K6" s="133" t="inlineStr">
        <is>
          <t>Unknown</t>
        </is>
      </c>
      <c r="L6" s="133" t="inlineStr">
        <is>
          <t>Unknown</t>
        </is>
      </c>
      <c r="M6" s="133" t="inlineStr">
        <is>
          <t>Unknown</t>
        </is>
      </c>
      <c r="N6" s="133" t="inlineStr">
        <is>
          <t>Unknown</t>
        </is>
      </c>
      <c r="O6" s="133" t="inlineStr">
        <is>
          <t>Unknown</t>
        </is>
      </c>
      <c r="P6" s="133" t="inlineStr">
        <is>
          <t>Unknown</t>
        </is>
      </c>
      <c r="Q6" s="133" t="inlineStr">
        <is>
          <t>Unknown</t>
        </is>
      </c>
      <c r="R6" s="133" t="inlineStr">
        <is>
          <t>Unknown</t>
        </is>
      </c>
      <c r="S6" s="133" t="inlineStr">
        <is>
          <t>Clean and balanced; interesting but restrained anaerobic expression.</t>
        </is>
      </c>
      <c r="T6" s="133" t="inlineStr">
        <is>
          <t>Very light roast (Agtron 89) suppressed ester development despite anaerobic process; muted expected fermented intensity.</t>
        </is>
      </c>
      <c r="U6" s="133" t="inlineStr">
        <is>
          <t>Mumbai café exploration</t>
        </is>
      </c>
      <c r="V6" s="133" t="inlineStr">
        <is>
          <t>Merged (Gemini + ChatGPT)</t>
        </is>
      </c>
      <c r="W6" s="134">
        <f>IF(OR(ISNUMBER(SEARCH("gesha",G6)),ISNUMBER(SEARCH("geisha",G6))),"⭐ GESHA","")</f>
        <v/>
      </c>
      <c r="X6" s="133" t="inlineStr">
        <is>
          <t>Mary Lodge, 21A Chapel Rd, Ranwar, Bandra West, Mumbai 400050, India</t>
        </is>
      </c>
    </row>
    <row r="7" ht="20.25" customHeight="1" s="130">
      <c r="A7" s="132" t="n">
        <v>46089</v>
      </c>
      <c r="B7" s="133" t="inlineStr">
        <is>
          <t>Mumbai</t>
        </is>
      </c>
      <c r="C7" s="133" t="inlineStr">
        <is>
          <t>Grey Soul Coffee Roasters</t>
        </is>
      </c>
      <c r="D7" s="133" t="inlineStr">
        <is>
          <t>Raspberry in Loop - Zoya Estate</t>
        </is>
      </c>
      <c r="E7" s="133" t="inlineStr">
        <is>
          <t>Zoya Estate</t>
        </is>
      </c>
      <c r="F7" s="133" t="inlineStr">
        <is>
          <t>India</t>
        </is>
      </c>
      <c r="G7" s="133" t="inlineStr">
        <is>
          <t>Unknown</t>
        </is>
      </c>
      <c r="H7" s="133" t="inlineStr">
        <is>
          <t>Multi-stage Anaerobic</t>
        </is>
      </c>
      <c r="I7" s="133" t="inlineStr">
        <is>
          <t>Medium</t>
        </is>
      </c>
      <c r="J7" s="133" t="inlineStr">
        <is>
          <t>Filter</t>
        </is>
      </c>
      <c r="K7" s="133" t="inlineStr">
        <is>
          <t>Unknown</t>
        </is>
      </c>
      <c r="L7" s="133" t="inlineStr">
        <is>
          <t>Unknown</t>
        </is>
      </c>
      <c r="M7" s="133" t="inlineStr">
        <is>
          <t>Unknown</t>
        </is>
      </c>
      <c r="N7" s="133" t="inlineStr">
        <is>
          <t>Unknown</t>
        </is>
      </c>
      <c r="O7" s="133" t="inlineStr">
        <is>
          <t>Unknown</t>
        </is>
      </c>
      <c r="P7" s="133" t="inlineStr">
        <is>
          <t>Unknown</t>
        </is>
      </c>
      <c r="Q7" s="133" t="inlineStr">
        <is>
          <t>Unknown</t>
        </is>
      </c>
      <c r="R7" s="133" t="inlineStr">
        <is>
          <t>Chocolate</t>
        </is>
      </c>
      <c r="S7" s="133" t="inlineStr">
        <is>
          <t>Heavy body; over-smoothed expression muted brightness and terroir.</t>
        </is>
      </c>
      <c r="T7" s="133" t="inlineStr">
        <is>
          <t>Higher development in medium roast reduced aggressive fruit acidity; heavy multi-stage fermentation suppressed terroir expression.</t>
        </is>
      </c>
      <c r="U7" s="133" t="inlineStr">
        <is>
          <t>Mumbai café exploration</t>
        </is>
      </c>
      <c r="V7" s="133" t="inlineStr">
        <is>
          <t>Merged (Gemini + ChatGPT)</t>
        </is>
      </c>
      <c r="W7" s="134">
        <f>IF(OR(ISNUMBER(SEARCH("gesha",G7)),ISNUMBER(SEARCH("geisha",G7))),"⭐ GESHA","")</f>
        <v/>
      </c>
      <c r="X7" s="133" t="inlineStr">
        <is>
          <t>Dr Ambedkar Rd, Pali Village, Bandra West, Mumbai 400050, India</t>
        </is>
      </c>
    </row>
    <row r="8" ht="20.25" customHeight="1" s="130">
      <c r="A8" s="132" t="n">
        <v>46099</v>
      </c>
      <c r="B8" s="133" t="inlineStr">
        <is>
          <t>Singapore</t>
        </is>
      </c>
      <c r="C8" s="133" t="inlineStr">
        <is>
          <t>Narrative Coffee Stand</t>
        </is>
      </c>
      <c r="D8" s="133" t="inlineStr">
        <is>
          <t>Finca La Siberia</t>
        </is>
      </c>
      <c r="E8" s="133" t="inlineStr">
        <is>
          <t>Unknown</t>
        </is>
      </c>
      <c r="F8" s="133" t="inlineStr">
        <is>
          <t>El Salvador</t>
        </is>
      </c>
      <c r="G8" s="133" t="inlineStr">
        <is>
          <t>Pacamara</t>
        </is>
      </c>
      <c r="H8" s="133" t="inlineStr">
        <is>
          <t>Natural</t>
        </is>
      </c>
      <c r="I8" s="133" t="inlineStr">
        <is>
          <t>Light</t>
        </is>
      </c>
      <c r="J8" s="133" t="inlineStr">
        <is>
          <t>Pour-over</t>
        </is>
      </c>
      <c r="K8" s="133" t="inlineStr">
        <is>
          <t>Unknown</t>
        </is>
      </c>
      <c r="L8" s="133" t="inlineStr">
        <is>
          <t>Unknown</t>
        </is>
      </c>
      <c r="M8" s="133" t="inlineStr">
        <is>
          <t>Unknown</t>
        </is>
      </c>
      <c r="N8" s="133" t="inlineStr">
        <is>
          <t>Unknown</t>
        </is>
      </c>
      <c r="O8" s="133" t="inlineStr">
        <is>
          <t>Unknown</t>
        </is>
      </c>
      <c r="P8" s="133" t="inlineStr">
        <is>
          <t>Unknown</t>
        </is>
      </c>
      <c r="Q8" s="133" t="inlineStr">
        <is>
          <t>Unknown</t>
        </is>
      </c>
      <c r="R8" s="133" t="inlineStr">
        <is>
          <t>Unknown</t>
        </is>
      </c>
      <c r="S8" s="133" t="inlineStr">
        <is>
          <t>Stewed apples; Apricot; Pu'er tea — Aanya's first specialty filter experience.</t>
        </is>
      </c>
      <c r="T8" s="133" t="inlineStr">
        <is>
          <t>Natural Pacamara generated beginner-friendly fruit esters and approachable sweetness; large Pacamara bean size aided even extraction.</t>
        </is>
      </c>
      <c r="U8" s="133" t="inlineStr">
        <is>
          <t>Father-daughter coffee exploration</t>
        </is>
      </c>
      <c r="V8" s="133" t="inlineStr">
        <is>
          <t>ChatGPT only</t>
        </is>
      </c>
      <c r="W8" s="134">
        <f>IF(OR(ISNUMBER(SEARCH("gesha",G8)),ISNUMBER(SEARCH("geisha",G8))),"⭐ GESHA","")</f>
        <v/>
      </c>
      <c r="X8" s="133" t="inlineStr">
        <is>
          <t>Blk 231 Bain St, #01-05, Singapore 180231</t>
        </is>
      </c>
    </row>
    <row r="9" ht="20.25" customHeight="1" s="130">
      <c r="A9" s="132" t="n">
        <v>46099</v>
      </c>
      <c r="B9" s="133" t="inlineStr">
        <is>
          <t>Singapore</t>
        </is>
      </c>
      <c r="C9" s="133" t="inlineStr">
        <is>
          <t>Narrative Coffee Stand</t>
        </is>
      </c>
      <c r="D9" s="133" t="inlineStr">
        <is>
          <t>El Puente</t>
        </is>
      </c>
      <c r="E9" s="133" t="inlineStr">
        <is>
          <t>Unknown</t>
        </is>
      </c>
      <c r="F9" s="133" t="inlineStr">
        <is>
          <t>Honduras</t>
        </is>
      </c>
      <c r="G9" s="133" t="inlineStr">
        <is>
          <t>Catuai</t>
        </is>
      </c>
      <c r="H9" s="133" t="inlineStr">
        <is>
          <t>Washed</t>
        </is>
      </c>
      <c r="I9" s="133" t="inlineStr">
        <is>
          <t>Medium-Light</t>
        </is>
      </c>
      <c r="J9" s="133" t="inlineStr">
        <is>
          <t>Espresso</t>
        </is>
      </c>
      <c r="K9" s="133" t="inlineStr">
        <is>
          <t>Unknown</t>
        </is>
      </c>
      <c r="L9" s="133" t="inlineStr">
        <is>
          <t>Unknown</t>
        </is>
      </c>
      <c r="M9" s="133" t="inlineStr">
        <is>
          <t>Unknown</t>
        </is>
      </c>
      <c r="N9" s="133" t="inlineStr">
        <is>
          <t>Unknown</t>
        </is>
      </c>
      <c r="O9" s="133" t="inlineStr">
        <is>
          <t>Unknown</t>
        </is>
      </c>
      <c r="P9" s="133" t="inlineStr">
        <is>
          <t>Unknown</t>
        </is>
      </c>
      <c r="Q9" s="133" t="inlineStr">
        <is>
          <t>Unknown</t>
        </is>
      </c>
      <c r="R9" s="133" t="inlineStr">
        <is>
          <t>Unknown</t>
        </is>
      </c>
      <c r="S9" s="133" t="inlineStr">
        <is>
          <t>Black cherry; Apricot; Pecan — ordered for espresso contrast.</t>
        </is>
      </c>
      <c r="T9" s="133" t="inlineStr">
        <is>
          <t>Washed Central American espresso balanced nutty sweetness and fruit acidity; Catuai's consistent cell structure aided uniform extraction.</t>
        </is>
      </c>
      <c r="U9" s="133" t="inlineStr">
        <is>
          <t>Father-daughter coffee exploration</t>
        </is>
      </c>
      <c r="V9" s="133" t="inlineStr">
        <is>
          <t>ChatGPT only</t>
        </is>
      </c>
      <c r="W9" s="134">
        <f>IF(OR(ISNUMBER(SEARCH("gesha",G9)),ISNUMBER(SEARCH("geisha",G9))),"⭐ GESHA","")</f>
        <v/>
      </c>
      <c r="X9" s="133" t="inlineStr">
        <is>
          <t>Blk 231 Bain St, #01-05, Singapore 180231</t>
        </is>
      </c>
    </row>
    <row r="10" ht="20.25" customHeight="1" s="130">
      <c r="A10" s="132" t="n">
        <v>46099</v>
      </c>
      <c r="B10" s="133" t="inlineStr">
        <is>
          <t>Singapore</t>
        </is>
      </c>
      <c r="C10" s="133" t="inlineStr">
        <is>
          <t>ASK Coffee Roastery</t>
        </is>
      </c>
      <c r="D10" s="133" t="inlineStr">
        <is>
          <t>Honduras Masaguara (S13)</t>
        </is>
      </c>
      <c r="E10" s="133" t="inlineStr">
        <is>
          <t>Unknown</t>
        </is>
      </c>
      <c r="F10" s="133" t="inlineStr">
        <is>
          <t>Honduras</t>
        </is>
      </c>
      <c r="G10" s="133" t="inlineStr">
        <is>
          <t>Catuai / Caturra</t>
        </is>
      </c>
      <c r="H10" s="133" t="inlineStr">
        <is>
          <t>Washed Co-Ferment</t>
        </is>
      </c>
      <c r="I10" s="133" t="inlineStr">
        <is>
          <t>Light</t>
        </is>
      </c>
      <c r="J10" s="133" t="inlineStr">
        <is>
          <t>Pour-over</t>
        </is>
      </c>
      <c r="K10" s="133" t="inlineStr">
        <is>
          <t>Unknown</t>
        </is>
      </c>
      <c r="L10" s="133" t="inlineStr">
        <is>
          <t>Unknown</t>
        </is>
      </c>
      <c r="M10" s="133" t="inlineStr">
        <is>
          <t>Unknown</t>
        </is>
      </c>
      <c r="N10" s="133" t="inlineStr">
        <is>
          <t>Unknown</t>
        </is>
      </c>
      <c r="O10" s="133" t="inlineStr">
        <is>
          <t>Unknown</t>
        </is>
      </c>
      <c r="P10" s="133" t="inlineStr">
        <is>
          <t>Unknown</t>
        </is>
      </c>
      <c r="Q10" s="135" t="n">
        <v>15</v>
      </c>
      <c r="R10" s="133" t="inlineStr">
        <is>
          <t>Lychee; Brandy; Honeydew; Milk Chocolate</t>
        </is>
      </c>
      <c r="S10" s="133" t="inlineStr">
        <is>
          <t>Premium but memorable; highly complex tropical profile.</t>
        </is>
      </c>
      <c r="T10" s="133" t="inlineStr">
        <is>
          <t>Co-fermentation amplified tropical ester complexity; co-ferment substrates introduced lychee lactones and brandy-like ethyl esters.</t>
        </is>
      </c>
      <c r="U10" s="133" t="inlineStr">
        <is>
          <t>Father-daughter coffee exploration</t>
        </is>
      </c>
      <c r="V10" s="133" t="inlineStr">
        <is>
          <t>ChatGPT only</t>
        </is>
      </c>
      <c r="W10" s="134">
        <f>IF(OR(ISNUMBER(SEARCH("gesha",G10)),ISNUMBER(SEARCH("geisha",G10))),"⭐ GESHA","")</f>
        <v/>
      </c>
      <c r="X10" s="133" t="inlineStr">
        <is>
          <t>32 Seah St, Singapore 188388</t>
        </is>
      </c>
    </row>
    <row r="11" ht="20.25" customHeight="1" s="130">
      <c r="A11" s="132" t="n">
        <v>46099</v>
      </c>
      <c r="B11" s="133" t="inlineStr">
        <is>
          <t>Singapore</t>
        </is>
      </c>
      <c r="C11" s="133" t="inlineStr">
        <is>
          <t>ASK Coffee Roastery</t>
        </is>
      </c>
      <c r="D11" s="133" t="inlineStr">
        <is>
          <t>House Blend</t>
        </is>
      </c>
      <c r="E11" s="133" t="inlineStr">
        <is>
          <t>Unknown</t>
        </is>
      </c>
      <c r="F11" s="133" t="inlineStr">
        <is>
          <t>Unknown</t>
        </is>
      </c>
      <c r="G11" s="133" t="inlineStr">
        <is>
          <t>Unknown</t>
        </is>
      </c>
      <c r="H11" s="133" t="inlineStr">
        <is>
          <t>Unknown</t>
        </is>
      </c>
      <c r="I11" s="133" t="inlineStr">
        <is>
          <t>Unknown</t>
        </is>
      </c>
      <c r="J11" s="133" t="inlineStr">
        <is>
          <t>Magic (Ristretto Milk)</t>
        </is>
      </c>
      <c r="K11" s="133" t="inlineStr">
        <is>
          <t>Unknown</t>
        </is>
      </c>
      <c r="L11" s="133" t="inlineStr">
        <is>
          <t>Unknown</t>
        </is>
      </c>
      <c r="M11" s="133" t="inlineStr">
        <is>
          <t>Unknown</t>
        </is>
      </c>
      <c r="N11" s="133" t="inlineStr">
        <is>
          <t>Unknown</t>
        </is>
      </c>
      <c r="O11" s="133" t="inlineStr">
        <is>
          <t>Unknown</t>
        </is>
      </c>
      <c r="P11" s="133" t="inlineStr">
        <is>
          <t>Unknown</t>
        </is>
      </c>
      <c r="Q11" s="133" t="inlineStr">
        <is>
          <t>Unknown</t>
        </is>
      </c>
      <c r="R11" s="133" t="inlineStr">
        <is>
          <t>Unknown</t>
        </is>
      </c>
      <c r="S11" s="133" t="inlineStr">
        <is>
          <t>Contrast milk calibration; excellent concentrated cocoa expression.</t>
        </is>
      </c>
      <c r="T11" s="133" t="inlineStr">
        <is>
          <t>Ristretto milk extraction increased sweetness density and concentrated cocoa compounds through reduced water content.</t>
        </is>
      </c>
      <c r="U11" s="133" t="inlineStr">
        <is>
          <t>Father-daughter coffee exploration</t>
        </is>
      </c>
      <c r="V11" s="133" t="inlineStr">
        <is>
          <t>ChatGPT only</t>
        </is>
      </c>
      <c r="W11" s="134">
        <f>IF(OR(ISNUMBER(SEARCH("gesha",G11)),ISNUMBER(SEARCH("geisha",G11))),"⭐ GESHA","")</f>
        <v/>
      </c>
      <c r="X11" s="133" t="inlineStr">
        <is>
          <t>32 Seah St, Singapore 188388</t>
        </is>
      </c>
    </row>
    <row r="12" ht="20.25" customHeight="1" s="130">
      <c r="A12" s="132" t="n">
        <v>46103</v>
      </c>
      <c r="B12" s="133" t="inlineStr">
        <is>
          <t>Singapore</t>
        </is>
      </c>
      <c r="C12" s="133" t="inlineStr">
        <is>
          <t>Apartment (Selegie Rd)</t>
        </is>
      </c>
      <c r="D12" s="133" t="inlineStr">
        <is>
          <t>Colombia Don Gallego - Wush Wush</t>
        </is>
      </c>
      <c r="E12" s="133" t="inlineStr">
        <is>
          <t>Don Gallego</t>
        </is>
      </c>
      <c r="F12" s="133" t="inlineStr">
        <is>
          <t>Colombia</t>
        </is>
      </c>
      <c r="G12" s="133" t="inlineStr">
        <is>
          <t>Wush Wush</t>
        </is>
      </c>
      <c r="H12" s="133" t="inlineStr">
        <is>
          <t>Washed</t>
        </is>
      </c>
      <c r="I12" s="133" t="inlineStr">
        <is>
          <t>Light</t>
        </is>
      </c>
      <c r="J12" s="133" t="inlineStr">
        <is>
          <t>Pour-over (Flat-Bottom)</t>
        </is>
      </c>
      <c r="K12" s="133" t="inlineStr">
        <is>
          <t>Unknown</t>
        </is>
      </c>
      <c r="L12" s="133" t="inlineStr">
        <is>
          <t>Unknown</t>
        </is>
      </c>
      <c r="M12" s="133" t="inlineStr">
        <is>
          <t>1:17</t>
        </is>
      </c>
      <c r="N12" s="133" t="inlineStr">
        <is>
          <t>Unknown</t>
        </is>
      </c>
      <c r="O12" s="133" t="inlineStr">
        <is>
          <t>Unknown</t>
        </is>
      </c>
      <c r="P12" s="133" t="inlineStr">
        <is>
          <t>Unknown</t>
        </is>
      </c>
      <c r="Q12" s="133" t="inlineStr">
        <is>
          <t>Unknown</t>
        </is>
      </c>
      <c r="R12" s="133" t="inlineStr">
        <is>
          <t>Tea-like</t>
        </is>
      </c>
      <c r="S12" s="133" t="inlineStr">
        <is>
          <t>Incredible tea-like clarity; transparent floral expression.</t>
        </is>
      </c>
      <c r="T12" s="133" t="inlineStr">
        <is>
          <t>Lean 1:17 ratio maximized aromatic separation; Wush Wush's Ethiopian-lineage genetics produced delicate phenolic and floral complexity.</t>
        </is>
      </c>
      <c r="U12" s="133" t="inlineStr">
        <is>
          <t>Solo specialty calibration</t>
        </is>
      </c>
      <c r="V12" s="133" t="inlineStr">
        <is>
          <t>Merged (Gemini + ChatGPT)</t>
        </is>
      </c>
      <c r="W12" s="134">
        <f>IF(OR(ISNUMBER(SEARCH("gesha",G12)),ISNUMBER(SEARCH("geisha",G12))),"⭐ GESHA","")</f>
        <v/>
      </c>
      <c r="X12" s="133" t="inlineStr">
        <is>
          <t>139 Selegie Rd, #01-01, Singapore 188309</t>
        </is>
      </c>
    </row>
    <row r="13" ht="20.25" customHeight="1" s="130">
      <c r="A13" s="132" t="n">
        <v>46105</v>
      </c>
      <c r="B13" s="133" t="inlineStr">
        <is>
          <t>Singapore</t>
        </is>
      </c>
      <c r="C13" s="133" t="inlineStr">
        <is>
          <t>Kyuukei Coffee</t>
        </is>
      </c>
      <c r="D13" s="133" t="inlineStr">
        <is>
          <t>Kenya Ndiaini AA</t>
        </is>
      </c>
      <c r="E13" s="133" t="inlineStr">
        <is>
          <t>Unknown</t>
        </is>
      </c>
      <c r="F13" s="133" t="inlineStr">
        <is>
          <t>Kenya</t>
        </is>
      </c>
      <c r="G13" s="133" t="inlineStr">
        <is>
          <t>SL28 / SL34 / Ruiru 11</t>
        </is>
      </c>
      <c r="H13" s="133" t="inlineStr">
        <is>
          <t>Washed</t>
        </is>
      </c>
      <c r="I13" s="133" t="inlineStr">
        <is>
          <t>Unknown</t>
        </is>
      </c>
      <c r="J13" s="133" t="inlineStr">
        <is>
          <t>Pour-over</t>
        </is>
      </c>
      <c r="K13" s="133" t="inlineStr">
        <is>
          <t>Unknown</t>
        </is>
      </c>
      <c r="L13" s="133" t="inlineStr">
        <is>
          <t>Unknown</t>
        </is>
      </c>
      <c r="M13" s="133" t="inlineStr">
        <is>
          <t>Unknown</t>
        </is>
      </c>
      <c r="N13" s="133" t="inlineStr">
        <is>
          <t>Unknown</t>
        </is>
      </c>
      <c r="O13" s="133" t="inlineStr">
        <is>
          <t>Unknown</t>
        </is>
      </c>
      <c r="P13" s="133" t="inlineStr">
        <is>
          <t>Unknown</t>
        </is>
      </c>
      <c r="Q13" s="135" t="n">
        <v>9</v>
      </c>
      <c r="R13" s="133" t="inlineStr">
        <is>
          <t>Redcurrant; Elderflower; Lemon; Apricot</t>
        </is>
      </c>
      <c r="S13" s="133" t="inlineStr">
        <is>
          <t>Acidic and interesting; well balanced; high clarity.</t>
        </is>
      </c>
      <c r="T13" s="133" t="inlineStr">
        <is>
          <t>Ruiru 11 introduced structural body alongside classic SL28/SL34 brightness; further Kenyan terroir depth confirmed.</t>
        </is>
      </c>
      <c r="U13" s="133" t="inlineStr">
        <is>
          <t>Solo specialty calibration</t>
        </is>
      </c>
      <c r="V13" s="133" t="inlineStr">
        <is>
          <t>Merged (Gemini + ChatGPT)</t>
        </is>
      </c>
      <c r="W13" s="134">
        <f>IF(OR(ISNUMBER(SEARCH("gesha",G13)),ISNUMBER(SEARCH("geisha",G13))),"⭐ GESHA","")</f>
        <v/>
      </c>
      <c r="X13" s="133" t="inlineStr">
        <is>
          <t>121 Bukit Merah Lane 1, #01-06, Singapore 150121</t>
        </is>
      </c>
    </row>
    <row r="14" ht="20.25" customHeight="1" s="130">
      <c r="A14" s="132" t="n">
        <v>46106</v>
      </c>
      <c r="B14" s="133" t="inlineStr">
        <is>
          <t>Singapore</t>
        </is>
      </c>
      <c r="C14" s="133" t="inlineStr">
        <is>
          <t>Agora Coffee</t>
        </is>
      </c>
      <c r="D14" s="133" t="inlineStr">
        <is>
          <t>Nicaragua Matagalpa - Finca La Virgen</t>
        </is>
      </c>
      <c r="E14" s="133" t="inlineStr">
        <is>
          <t>Finca La Virgen</t>
        </is>
      </c>
      <c r="F14" s="133" t="inlineStr">
        <is>
          <t>Nicaragua</t>
        </is>
      </c>
      <c r="G14" s="133" t="inlineStr">
        <is>
          <t>Unknown</t>
        </is>
      </c>
      <c r="H14" s="133" t="inlineStr">
        <is>
          <t>Fully Washed</t>
        </is>
      </c>
      <c r="I14" s="133" t="inlineStr">
        <is>
          <t>Espresso Roast</t>
        </is>
      </c>
      <c r="J14" s="133" t="inlineStr">
        <is>
          <t>Flat White</t>
        </is>
      </c>
      <c r="K14" s="133" t="inlineStr">
        <is>
          <t>Unknown</t>
        </is>
      </c>
      <c r="L14" s="133" t="inlineStr">
        <is>
          <t>Unknown</t>
        </is>
      </c>
      <c r="M14" s="133" t="inlineStr">
        <is>
          <t>Unknown</t>
        </is>
      </c>
      <c r="N14" s="133" t="inlineStr">
        <is>
          <t>Unknown</t>
        </is>
      </c>
      <c r="O14" s="133" t="inlineStr">
        <is>
          <t>Unknown</t>
        </is>
      </c>
      <c r="P14" s="133" t="inlineStr">
        <is>
          <t>Unknown</t>
        </is>
      </c>
      <c r="Q14" s="133" t="inlineStr">
        <is>
          <t>Unknown</t>
        </is>
      </c>
      <c r="R14" s="133" t="inlineStr">
        <is>
          <t>Caramel; Chocolate; Red Apple</t>
        </is>
      </c>
      <c r="S14" s="133" t="inlineStr">
        <is>
          <t>Solid milk beverage; clean apple acidity preserved in milk integration.</t>
        </is>
      </c>
      <c r="T14" s="133" t="inlineStr">
        <is>
          <t>Fully washed Central American profile preserved clean malic acidity in milk; espresso roast development amplified caramel Maillard notes.</t>
        </is>
      </c>
      <c r="U14" s="133" t="inlineStr">
        <is>
          <t>Solo specialty calibration</t>
        </is>
      </c>
      <c r="V14" s="133" t="inlineStr">
        <is>
          <t>Merged (Gemini + ChatGPT)</t>
        </is>
      </c>
      <c r="W14" s="134">
        <f>IF(OR(ISNUMBER(SEARCH("gesha",G14)),ISNUMBER(SEARCH("geisha",G14))),"⭐ GESHA","")</f>
        <v/>
      </c>
      <c r="X14" s="133" t="inlineStr">
        <is>
          <t>31 Club St, #01-02, Singapore 069468</t>
        </is>
      </c>
    </row>
    <row r="15" ht="20.25" customHeight="1" s="130">
      <c r="A15" s="132" t="n">
        <v>46108</v>
      </c>
      <c r="B15" s="133" t="inlineStr">
        <is>
          <t>Singapore</t>
        </is>
      </c>
      <c r="C15" s="133" t="inlineStr">
        <is>
          <t>Agora Coffee</t>
        </is>
      </c>
      <c r="D15" s="133" t="inlineStr">
        <is>
          <t>Ethiopia Yirgacheffe Beloya</t>
        </is>
      </c>
      <c r="E15" s="133" t="inlineStr">
        <is>
          <t>Beloya</t>
        </is>
      </c>
      <c r="F15" s="133" t="inlineStr">
        <is>
          <t>Yirgacheffe, Ethiopia</t>
        </is>
      </c>
      <c r="G15" s="133" t="inlineStr">
        <is>
          <t>Heirloom</t>
        </is>
      </c>
      <c r="H15" s="133" t="inlineStr">
        <is>
          <t>Natural</t>
        </is>
      </c>
      <c r="I15" s="133" t="inlineStr">
        <is>
          <t>Filter Roast</t>
        </is>
      </c>
      <c r="J15" s="133" t="inlineStr">
        <is>
          <t>V60</t>
        </is>
      </c>
      <c r="K15" s="133" t="n">
        <v>15</v>
      </c>
      <c r="L15" s="133" t="n">
        <v>220</v>
      </c>
      <c r="M15" s="133" t="inlineStr">
        <is>
          <t>1:14.6</t>
        </is>
      </c>
      <c r="N15" s="133" t="inlineStr">
        <is>
          <t>Unknown</t>
        </is>
      </c>
      <c r="O15" s="133" t="inlineStr">
        <is>
          <t>Unknown</t>
        </is>
      </c>
      <c r="P15" s="133" t="inlineStr">
        <is>
          <t>Mahlkönig EK43</t>
        </is>
      </c>
      <c r="Q15" s="133" t="inlineStr">
        <is>
          <t>Unknown</t>
        </is>
      </c>
      <c r="R15" s="133" t="inlineStr">
        <is>
          <t>Blackcurrant; Strawberry; White Floral</t>
        </is>
      </c>
      <c r="S15" s="133" t="inlineStr">
        <is>
          <t>Bright, floral, and distinct strawberry; classic natural Ethiopian profile.</t>
        </is>
      </c>
      <c r="T15" s="133" t="inlineStr">
        <is>
          <t>EK43 98mm flat burrs reduced fines and preserved clarity despite natural processing; 1:14.6 ratio retained fruity body.</t>
        </is>
      </c>
      <c r="U15" s="133" t="inlineStr">
        <is>
          <t>Solo specialty calibration</t>
        </is>
      </c>
      <c r="V15" s="133" t="inlineStr">
        <is>
          <t>Merged (Gemini + ChatGPT)</t>
        </is>
      </c>
      <c r="W15" s="134">
        <f>IF(OR(ISNUMBER(SEARCH("gesha",G15)),ISNUMBER(SEARCH("geisha",G15))),"⭐ GESHA","")</f>
        <v/>
      </c>
      <c r="X15" s="133" t="inlineStr">
        <is>
          <t>31 Club St, #01-02, Singapore 069468</t>
        </is>
      </c>
    </row>
    <row r="16" ht="20.25" customHeight="1" s="130">
      <c r="A16" s="132" t="n">
        <v>46109</v>
      </c>
      <c r="B16" s="133" t="inlineStr">
        <is>
          <t>Singapore</t>
        </is>
      </c>
      <c r="C16" s="133" t="inlineStr">
        <is>
          <t>Tiong Hoe Specialty Coffee</t>
        </is>
      </c>
      <c r="D16" s="133" t="inlineStr">
        <is>
          <t>Brazil Mogiana</t>
        </is>
      </c>
      <c r="E16" s="133" t="inlineStr">
        <is>
          <t>Unknown</t>
        </is>
      </c>
      <c r="F16" s="133" t="inlineStr">
        <is>
          <t>Mogiana, Brazil</t>
        </is>
      </c>
      <c r="G16" s="133" t="inlineStr">
        <is>
          <t>Unknown</t>
        </is>
      </c>
      <c r="H16" s="133" t="inlineStr">
        <is>
          <t>Natural</t>
        </is>
      </c>
      <c r="I16" s="133" t="inlineStr">
        <is>
          <t>Medium</t>
        </is>
      </c>
      <c r="J16" s="133" t="inlineStr">
        <is>
          <t>Pour-over</t>
        </is>
      </c>
      <c r="K16" s="133" t="n">
        <v>15</v>
      </c>
      <c r="L16" s="133" t="n">
        <v>225</v>
      </c>
      <c r="M16" s="133" t="inlineStr">
        <is>
          <t>1:15</t>
        </is>
      </c>
      <c r="N16" s="133" t="inlineStr">
        <is>
          <t>Unknown</t>
        </is>
      </c>
      <c r="O16" s="133" t="inlineStr">
        <is>
          <t>Unknown</t>
        </is>
      </c>
      <c r="P16" s="133" t="inlineStr">
        <is>
          <t>Unknown</t>
        </is>
      </c>
      <c r="Q16" s="135" t="n">
        <v>8</v>
      </c>
      <c r="R16" s="133" t="inlineStr">
        <is>
          <t>Red Dates; Chocolates; Honey</t>
        </is>
      </c>
      <c r="S16" s="133" t="inlineStr">
        <is>
          <t>Chocolate-heavy and satisfying; classic dense Brazilian profile.</t>
        </is>
      </c>
      <c r="T16" s="133" t="inlineStr">
        <is>
          <t>Tighter 1:15 ratio increased body and amplified Maillard-derived caramel sweetness; medium roast caramelized sugars without losing origin character.</t>
        </is>
      </c>
      <c r="U16" s="133" t="inlineStr">
        <is>
          <t>Solo specialty calibration</t>
        </is>
      </c>
      <c r="V16" s="133" t="inlineStr">
        <is>
          <t>Merged (Gemini + ChatGPT)</t>
        </is>
      </c>
      <c r="W16" s="134">
        <f>IF(OR(ISNUMBER(SEARCH("gesha",G16)),ISNUMBER(SEARCH("geisha",G16))),"⭐ GESHA","")</f>
        <v/>
      </c>
      <c r="X16" s="133" t="inlineStr">
        <is>
          <t>1 Harbourfront Walk, VivoCity Fairprice Xtra, #B2-23, Singapore 098585</t>
        </is>
      </c>
    </row>
    <row r="17" ht="20.25" customHeight="1" s="130">
      <c r="A17" s="132" t="n">
        <v>46109</v>
      </c>
      <c r="B17" s="133" t="inlineStr">
        <is>
          <t>Singapore</t>
        </is>
      </c>
      <c r="C17" s="133" t="inlineStr">
        <is>
          <t>Tiong Hoe Specialty Coffee</t>
        </is>
      </c>
      <c r="D17" s="133" t="inlineStr">
        <is>
          <t>Smoky Quartz Blend</t>
        </is>
      </c>
      <c r="E17" s="133" t="inlineStr">
        <is>
          <t>Unknown</t>
        </is>
      </c>
      <c r="F17" s="133" t="inlineStr">
        <is>
          <t>Brazil + India</t>
        </is>
      </c>
      <c r="G17" s="133" t="inlineStr">
        <is>
          <t>Unknown</t>
        </is>
      </c>
      <c r="H17" s="133" t="inlineStr">
        <is>
          <t>Unknown</t>
        </is>
      </c>
      <c r="I17" s="133" t="inlineStr">
        <is>
          <t>Unknown</t>
        </is>
      </c>
      <c r="J17" s="133" t="inlineStr">
        <is>
          <t>Piccolo Latte</t>
        </is>
      </c>
      <c r="K17" s="133" t="inlineStr">
        <is>
          <t>Unknown</t>
        </is>
      </c>
      <c r="L17" s="133" t="inlineStr">
        <is>
          <t>Unknown</t>
        </is>
      </c>
      <c r="M17" s="133" t="inlineStr">
        <is>
          <t>Unknown</t>
        </is>
      </c>
      <c r="N17" s="133" t="inlineStr">
        <is>
          <t>Unknown</t>
        </is>
      </c>
      <c r="O17" s="133" t="inlineStr">
        <is>
          <t>Unknown</t>
        </is>
      </c>
      <c r="P17" s="133" t="inlineStr">
        <is>
          <t>Unknown</t>
        </is>
      </c>
      <c r="Q17" s="135" t="n">
        <v>5.1</v>
      </c>
      <c r="R17" s="133" t="inlineStr">
        <is>
          <t>Dark Chocolates; Hazelnut; Smoky</t>
        </is>
      </c>
      <c r="S17" s="133" t="inlineStr">
        <is>
          <t>Strong milk side calibration; excellent concentrated cocoa expression.</t>
        </is>
      </c>
      <c r="T17" s="133" t="inlineStr">
        <is>
          <t>Low milk volume in piccolo format concentrated cocoa and hazelnut compounds; cross-origin blend leveraged Indian robusta structural density.</t>
        </is>
      </c>
      <c r="U17" s="133" t="inlineStr">
        <is>
          <t>Solo specialty calibration</t>
        </is>
      </c>
      <c r="V17" s="133" t="inlineStr">
        <is>
          <t>ChatGPT only</t>
        </is>
      </c>
      <c r="W17" s="134">
        <f>IF(OR(ISNUMBER(SEARCH("gesha",G17)),ISNUMBER(SEARCH("geisha",G17))),"⭐ GESHA","")</f>
        <v/>
      </c>
      <c r="X17" s="133" t="inlineStr">
        <is>
          <t>1 Harbourfront Walk, VivoCity Fairprice Xtra, #B2-23, Singapore 098585</t>
        </is>
      </c>
    </row>
    <row r="18" ht="20.25" customHeight="1" s="130">
      <c r="A18" s="132" t="n">
        <v>46110</v>
      </c>
      <c r="B18" s="133" t="inlineStr">
        <is>
          <t>Singapore</t>
        </is>
      </c>
      <c r="C18" s="133" t="inlineStr">
        <is>
          <t>Asylum Coffeehouse</t>
        </is>
      </c>
      <c r="D18" s="133" t="inlineStr">
        <is>
          <t>Peru Cajamarca Gesha (Iced)</t>
        </is>
      </c>
      <c r="E18" s="133" t="inlineStr">
        <is>
          <t>Wilder Garcia</t>
        </is>
      </c>
      <c r="F18" s="133" t="inlineStr">
        <is>
          <t>Cajamarca, Peru</t>
        </is>
      </c>
      <c r="G18" s="133" t="inlineStr">
        <is>
          <t>Gesha</t>
        </is>
      </c>
      <c r="H18" s="133" t="inlineStr">
        <is>
          <t>Washed</t>
        </is>
      </c>
      <c r="I18" s="133" t="inlineStr">
        <is>
          <t>Medium</t>
        </is>
      </c>
      <c r="J18" s="133" t="inlineStr">
        <is>
          <t>Iced Pour-over</t>
        </is>
      </c>
      <c r="K18" s="133" t="n">
        <v>15</v>
      </c>
      <c r="L18" s="133" t="n">
        <v>240</v>
      </c>
      <c r="M18" s="133" t="inlineStr">
        <is>
          <t>1:16</t>
        </is>
      </c>
      <c r="N18" s="133" t="inlineStr">
        <is>
          <t>92.5</t>
        </is>
      </c>
      <c r="O18" s="133" t="inlineStr">
        <is>
          <t>Unknown</t>
        </is>
      </c>
      <c r="P18" s="133" t="inlineStr">
        <is>
          <t>Option-O Lagom P64</t>
        </is>
      </c>
      <c r="Q18" s="135" t="n">
        <v>11</v>
      </c>
      <c r="R18" s="133" t="inlineStr">
        <is>
          <t>Jasmine; Caramel; Lime; Cacao Nibs</t>
        </is>
      </c>
      <c r="S18" s="133" t="inlineStr">
        <is>
          <t>Super floral and elegant; flash-chilled expression of Gesha purity.</t>
        </is>
      </c>
      <c r="T18" s="133" t="inlineStr">
        <is>
          <t>Flash-chilled extraction via Option-O Lagom P64 preserved volatile floral monoterpenes (linalool); cold dilution stabilized aromatic compounds.</t>
        </is>
      </c>
      <c r="U18" s="133" t="inlineStr">
        <is>
          <t>Solo specialty calibration</t>
        </is>
      </c>
      <c r="V18" s="133" t="inlineStr">
        <is>
          <t>ChatGPT only</t>
        </is>
      </c>
      <c r="W18" s="134">
        <f>IF(OR(ISNUMBER(SEARCH("gesha",G18)),ISNUMBER(SEARCH("geisha",G18))),"⭐ GESHA","")</f>
        <v/>
      </c>
      <c r="X18" s="133" t="inlineStr">
        <is>
          <t>311 Jln Besar, Singapore 208970</t>
        </is>
      </c>
    </row>
    <row r="19" ht="30" customHeight="1" s="130">
      <c r="A19" s="132" t="n">
        <v>46113</v>
      </c>
      <c r="B19" s="133" t="inlineStr">
        <is>
          <t>Singapore</t>
        </is>
      </c>
      <c r="C19" s="133" t="inlineStr">
        <is>
          <t>Maxi Coffee Bar</t>
        </is>
      </c>
      <c r="D19" s="133" t="inlineStr">
        <is>
          <t>La Laja</t>
        </is>
      </c>
      <c r="E19" s="133" t="inlineStr">
        <is>
          <t>James Fernandez</t>
        </is>
      </c>
      <c r="F19" s="133" t="inlineStr">
        <is>
          <t>Cauca, Colombia</t>
        </is>
      </c>
      <c r="G19" s="133" t="inlineStr">
        <is>
          <t>Sudan Rume</t>
        </is>
      </c>
      <c r="H19" s="133" t="inlineStr">
        <is>
          <t>Washed</t>
        </is>
      </c>
      <c r="I19" s="133" t="inlineStr">
        <is>
          <t>Light</t>
        </is>
      </c>
      <c r="J19" s="133" t="inlineStr">
        <is>
          <t>Pour-over (Flat-Bottom)</t>
        </is>
      </c>
      <c r="K19" s="133" t="n">
        <v>15</v>
      </c>
      <c r="L19" s="133" t="n">
        <v>230</v>
      </c>
      <c r="M19" s="133" t="inlineStr">
        <is>
          <t>1:15.3</t>
        </is>
      </c>
      <c r="N19" s="133" t="inlineStr">
        <is>
          <t>90-92</t>
        </is>
      </c>
      <c r="O19" s="133" t="inlineStr">
        <is>
          <t>Unknown</t>
        </is>
      </c>
      <c r="P19" s="133" t="inlineStr">
        <is>
          <t>FM Grinder 120mm Flat Burr / Timemore Sculptor 078</t>
        </is>
      </c>
      <c r="Q19" s="135" t="n">
        <v>9</v>
      </c>
      <c r="R19" s="133" t="inlineStr">
        <is>
          <t>Raspberry; Nectarine; Floral</t>
        </is>
      </c>
      <c r="S19" s="133" t="inlineStr">
        <is>
          <t>Nectarine and raspberry extremely clear; barista sophistication superb; technical milestone.</t>
        </is>
      </c>
      <c r="T19" s="133" t="inlineStr">
        <is>
          <t>120mm flat burr geometry maximized uniform particle distribution; flat-bottom brewer enhanced sweetness while preserving Sudan Rume's rare genetic clarity.</t>
        </is>
      </c>
      <c r="U19" s="133" t="inlineStr">
        <is>
          <t>CBD lunch calibration</t>
        </is>
      </c>
      <c r="V19" s="133" t="inlineStr">
        <is>
          <t>Merged (Gemini + ChatGPT)</t>
        </is>
      </c>
      <c r="W19" s="134">
        <f>IF(OR(ISNUMBER(SEARCH("gesha",G19)),ISNUMBER(SEARCH("geisha",G19))),"⭐ GESHA","")</f>
        <v/>
      </c>
      <c r="X19" s="133" t="inlineStr">
        <is>
          <t>64 Club St, Back Entrance, Singapore 069438</t>
        </is>
      </c>
    </row>
    <row r="20" ht="20.25" customHeight="1" s="130">
      <c r="A20" s="132" t="n">
        <v>46113</v>
      </c>
      <c r="B20" s="133" t="inlineStr">
        <is>
          <t>Singapore</t>
        </is>
      </c>
      <c r="C20" s="133" t="inlineStr">
        <is>
          <t>Lume Café</t>
        </is>
      </c>
      <c r="D20" s="133" t="inlineStr">
        <is>
          <t>Corpachi Panama Geisha</t>
        </is>
      </c>
      <c r="E20" s="133" t="inlineStr">
        <is>
          <t>Corpachi</t>
        </is>
      </c>
      <c r="F20" s="133" t="inlineStr">
        <is>
          <t>Boquerón, Chiriquí, Panama</t>
        </is>
      </c>
      <c r="G20" s="133" t="inlineStr">
        <is>
          <t>Geisha</t>
        </is>
      </c>
      <c r="H20" s="133" t="inlineStr">
        <is>
          <t>Red Honey</t>
        </is>
      </c>
      <c r="I20" s="133" t="inlineStr">
        <is>
          <t>Filter Roast</t>
        </is>
      </c>
      <c r="J20" s="133" t="inlineStr">
        <is>
          <t>V60</t>
        </is>
      </c>
      <c r="K20" s="133" t="inlineStr">
        <is>
          <t>Unknown</t>
        </is>
      </c>
      <c r="L20" s="133" t="inlineStr">
        <is>
          <t>Unknown</t>
        </is>
      </c>
      <c r="M20" s="133" t="inlineStr">
        <is>
          <t>1:15</t>
        </is>
      </c>
      <c r="N20" s="133" t="inlineStr">
        <is>
          <t>90 + 70</t>
        </is>
      </c>
      <c r="O20" s="133" t="inlineStr">
        <is>
          <t>Unknown</t>
        </is>
      </c>
      <c r="P20" s="133" t="inlineStr">
        <is>
          <t>Mahlkönig EK43</t>
        </is>
      </c>
      <c r="Q20" s="135" t="n">
        <v>12</v>
      </c>
      <c r="R20" s="133" t="inlineStr">
        <is>
          <t>Mandarin Candy; Jasmine; Apricot</t>
        </is>
      </c>
      <c r="S20" s="133" t="inlineStr">
        <is>
          <t>Clearly perceived apricot and structured sweetness.</t>
        </is>
      </c>
      <c r="T20" s="133" t="inlineStr">
        <is>
          <t>Dual-temperature extraction balanced aromatics and body in honey-process Geisha; red honey partial mucilage retention amplified structured sweetness.</t>
        </is>
      </c>
      <c r="U20" s="133" t="inlineStr">
        <is>
          <t>Rainy CBD lunch calibration</t>
        </is>
      </c>
      <c r="V20" s="133" t="inlineStr">
        <is>
          <t>ChatGPT only</t>
        </is>
      </c>
      <c r="W20" s="134">
        <f>IF(OR(ISNUMBER(SEARCH("gesha",G20)),ISNUMBER(SEARCH("geisha",G20))),"⭐ GESHA","")</f>
        <v/>
      </c>
      <c r="X20" s="133" t="inlineStr">
        <is>
          <t>108 Robinson Rd, #01-01, Singapore 068900</t>
        </is>
      </c>
    </row>
    <row r="21" ht="20.25" customHeight="1" s="130">
      <c r="A21" s="132" t="n">
        <v>46117</v>
      </c>
      <c r="B21" s="133" t="inlineStr">
        <is>
          <t>Singapore</t>
        </is>
      </c>
      <c r="C21" s="133" t="inlineStr">
        <is>
          <t>Asylum Coffeehouse</t>
        </is>
      </c>
      <c r="D21" s="133" t="inlineStr">
        <is>
          <t>Castillo Watermelon (Jairo Arcila)</t>
        </is>
      </c>
      <c r="E21" s="133" t="inlineStr">
        <is>
          <t>Jairo Arcila</t>
        </is>
      </c>
      <c r="F21" s="133" t="inlineStr">
        <is>
          <t>Armenia, Quindío, Colombia</t>
        </is>
      </c>
      <c r="G21" s="133" t="inlineStr">
        <is>
          <t>Castillo</t>
        </is>
      </c>
      <c r="H21" s="133" t="inlineStr">
        <is>
          <t>Washed Co-Ferment (Watermelon Anaerobic)</t>
        </is>
      </c>
      <c r="I21" s="133" t="inlineStr">
        <is>
          <t>Unknown</t>
        </is>
      </c>
      <c r="J21" s="133" t="inlineStr">
        <is>
          <t>Pour-over (V60)</t>
        </is>
      </c>
      <c r="K21" s="133" t="n">
        <v>15</v>
      </c>
      <c r="L21" s="133" t="n">
        <v>225</v>
      </c>
      <c r="M21" s="133" t="inlineStr">
        <is>
          <t>1:15</t>
        </is>
      </c>
      <c r="N21" s="133" t="inlineStr">
        <is>
          <t>90 + 70</t>
        </is>
      </c>
      <c r="O21" s="133" t="inlineStr">
        <is>
          <t>Unknown</t>
        </is>
      </c>
      <c r="P21" s="133" t="inlineStr">
        <is>
          <t>Mahlkönig EK43</t>
        </is>
      </c>
      <c r="Q21" s="135" t="n">
        <v>12.5</v>
      </c>
      <c r="R21" s="133" t="inlineStr">
        <is>
          <t>Watermelon; Mint; Lime; Chocolate</t>
        </is>
      </c>
      <c r="S21" s="133" t="inlineStr">
        <is>
          <t>Distinct fruit-forward expression; sweetness layered rather than sharp; experimental but controlled.</t>
        </is>
      </c>
      <c r="T21" s="133" t="inlineStr">
        <is>
          <t>Watermelon co-fermentation enhanced volatile ester complexity; dual-temperature extraction preserved layered aromatic architecture.</t>
        </is>
      </c>
      <c r="U21" s="133" t="inlineStr">
        <is>
          <t>Father-daughter coffee session</t>
        </is>
      </c>
      <c r="V21" s="133" t="inlineStr">
        <is>
          <t>Merged (Gemini + ChatGPT)</t>
        </is>
      </c>
      <c r="W21" s="134">
        <f>IF(OR(ISNUMBER(SEARCH("gesha",G21)),ISNUMBER(SEARCH("geisha",G21))),"⭐ GESHA","")</f>
        <v/>
      </c>
      <c r="X21" s="133" t="inlineStr">
        <is>
          <t>311 Jln Besar, Singapore 208970</t>
        </is>
      </c>
    </row>
    <row r="22" ht="30" customHeight="1" s="130">
      <c r="A22" s="132" t="n">
        <v>46117</v>
      </c>
      <c r="B22" s="133" t="inlineStr">
        <is>
          <t>Singapore</t>
        </is>
      </c>
      <c r="C22" s="133" t="inlineStr">
        <is>
          <t>Asylum Coffeehouse</t>
        </is>
      </c>
      <c r="D22" s="133" t="inlineStr">
        <is>
          <t>Peru Gesha (Wilder Garcia)</t>
        </is>
      </c>
      <c r="E22" s="133" t="inlineStr">
        <is>
          <t>Wilder Garcia</t>
        </is>
      </c>
      <c r="F22" s="133" t="inlineStr">
        <is>
          <t>Jaén, Peru</t>
        </is>
      </c>
      <c r="G22" s="133" t="inlineStr">
        <is>
          <t>Gesha</t>
        </is>
      </c>
      <c r="H22" s="133" t="inlineStr">
        <is>
          <t>Washed</t>
        </is>
      </c>
      <c r="I22" s="133" t="inlineStr">
        <is>
          <t>Filter Roast</t>
        </is>
      </c>
      <c r="J22" s="133" t="inlineStr">
        <is>
          <t>Pour-over (V60)</t>
        </is>
      </c>
      <c r="K22" s="133" t="n">
        <v>15</v>
      </c>
      <c r="L22" s="133" t="n">
        <v>225</v>
      </c>
      <c r="M22" s="133" t="inlineStr">
        <is>
          <t>1:15</t>
        </is>
      </c>
      <c r="N22" s="133" t="inlineStr">
        <is>
          <t>90 + 70</t>
        </is>
      </c>
      <c r="O22" s="133" t="inlineStr">
        <is>
          <t>Unknown</t>
        </is>
      </c>
      <c r="P22" s="133" t="inlineStr">
        <is>
          <t>Mahlkönig EK43</t>
        </is>
      </c>
      <c r="Q22" s="135" t="n">
        <v>12.5</v>
      </c>
      <c r="R22" s="133" t="inlineStr">
        <is>
          <t>Jasmine; Caramel; Lime; Cacao Nibs</t>
        </is>
      </c>
      <c r="S22" s="133" t="inlineStr">
        <is>
          <t>Clean, structured, high-clarity cup; apricot-like sweetness and excellent structure.</t>
        </is>
      </c>
      <c r="T22" s="133" t="inlineStr">
        <is>
          <t>Dual-temperature extraction engineered aromatic separation and body control; Gesha genetics delivered intrinsic phenolic complexity with minimal processing interference.</t>
        </is>
      </c>
      <c r="U22" s="133" t="inlineStr">
        <is>
          <t>Father-daughter coffee session</t>
        </is>
      </c>
      <c r="V22" s="133" t="inlineStr">
        <is>
          <t>Merged (Gemini + ChatGPT)</t>
        </is>
      </c>
      <c r="W22" s="134">
        <f>IF(OR(ISNUMBER(SEARCH("gesha",G22)),ISNUMBER(SEARCH("geisha",G22))),"⭐ GESHA","")</f>
        <v/>
      </c>
      <c r="X22" s="133" t="inlineStr">
        <is>
          <t>311 Jln Besar, Singapore 208970</t>
        </is>
      </c>
    </row>
    <row r="23" ht="20.25" customHeight="1" s="130">
      <c r="A23" s="132" t="n">
        <v>46120</v>
      </c>
      <c r="B23" s="133" t="inlineStr">
        <is>
          <t>Singapore</t>
        </is>
      </c>
      <c r="C23" s="133" t="inlineStr">
        <is>
          <t>Maxi Coffee Bar</t>
        </is>
      </c>
      <c r="D23" s="133" t="inlineStr">
        <is>
          <t>La Villa #1</t>
        </is>
      </c>
      <c r="E23" s="133" t="inlineStr">
        <is>
          <t>Eduard Gaviria</t>
        </is>
      </c>
      <c r="F23" s="133" t="inlineStr">
        <is>
          <t>Huila, Colombia</t>
        </is>
      </c>
      <c r="G23" s="133" t="inlineStr">
        <is>
          <t>Papayo</t>
        </is>
      </c>
      <c r="H23" s="133" t="inlineStr">
        <is>
          <t>Natural</t>
        </is>
      </c>
      <c r="I23" s="133" t="inlineStr">
        <is>
          <t>Unknown</t>
        </is>
      </c>
      <c r="J23" s="133" t="inlineStr">
        <is>
          <t>Pour-over (Flat-Bottom)</t>
        </is>
      </c>
      <c r="K23" s="133" t="n">
        <v>15</v>
      </c>
      <c r="L23" s="133" t="n">
        <v>225</v>
      </c>
      <c r="M23" s="133" t="inlineStr">
        <is>
          <t>1:15</t>
        </is>
      </c>
      <c r="N23" s="133" t="inlineStr">
        <is>
          <t>Unknown</t>
        </is>
      </c>
      <c r="O23" s="133" t="inlineStr">
        <is>
          <t>Unknown</t>
        </is>
      </c>
      <c r="P23" s="133" t="inlineStr">
        <is>
          <t>Timemore Sculptor 078</t>
        </is>
      </c>
      <c r="Q23" s="135" t="n">
        <v>9</v>
      </c>
      <c r="R23" s="133" t="inlineStr">
        <is>
          <t>Stewed Forest Berries; Grape; Black Forest Cake</t>
        </is>
      </c>
      <c r="S23" s="133" t="inlineStr">
        <is>
          <t>Dense fruit profile with rounded sweetness.</t>
        </is>
      </c>
      <c r="T23" s="133" t="inlineStr">
        <is>
          <t>Flat-bottom geometry and tight 1:15 ratio emphasized body; Papayo varietal's high sugar content amplified by natural processing into rich fruit-cake profile.</t>
        </is>
      </c>
      <c r="U23" s="133" t="inlineStr">
        <is>
          <t>Lunch catch-up with Yichen</t>
        </is>
      </c>
      <c r="V23" s="133" t="inlineStr">
        <is>
          <t>ChatGPT only</t>
        </is>
      </c>
      <c r="W23" s="134">
        <f>IF(OR(ISNUMBER(SEARCH("gesha",G23)),ISNUMBER(SEARCH("geisha",G23))),"⭐ GESHA","")</f>
        <v/>
      </c>
      <c r="X23" s="133" t="inlineStr">
        <is>
          <t>64 Club St, Back Entrance, Singapore 069438</t>
        </is>
      </c>
    </row>
    <row r="24" ht="20.25" customHeight="1" s="130">
      <c r="A24" s="132" t="n">
        <v>46130</v>
      </c>
      <c r="B24" s="133" t="inlineStr">
        <is>
          <t>Johor Bahru</t>
        </is>
      </c>
      <c r="C24" s="133" t="inlineStr">
        <is>
          <t>Clod Coffee Bar &amp; Roasters</t>
        </is>
      </c>
      <c r="D24" s="133" t="inlineStr">
        <is>
          <t>Hacienda La Florida</t>
        </is>
      </c>
      <c r="E24" s="133" t="inlineStr">
        <is>
          <t>Unknown</t>
        </is>
      </c>
      <c r="F24" s="133" t="inlineStr">
        <is>
          <t>Unknown</t>
        </is>
      </c>
      <c r="G24" s="133" t="inlineStr">
        <is>
          <t>Typica Mejorado</t>
        </is>
      </c>
      <c r="H24" s="133" t="inlineStr">
        <is>
          <t>Anaerobic Washed</t>
        </is>
      </c>
      <c r="I24" s="133" t="inlineStr">
        <is>
          <t>Unknown</t>
        </is>
      </c>
      <c r="J24" s="133" t="inlineStr">
        <is>
          <t>Origami (Conical)</t>
        </is>
      </c>
      <c r="K24" s="133" t="n">
        <v>18</v>
      </c>
      <c r="L24" s="133" t="n">
        <v>277</v>
      </c>
      <c r="M24" s="133" t="inlineStr">
        <is>
          <t>1:15.4</t>
        </is>
      </c>
      <c r="N24" s="133" t="inlineStr">
        <is>
          <t>Unknown</t>
        </is>
      </c>
      <c r="O24" s="133" t="inlineStr">
        <is>
          <t>42g / 30s (1:2.3)</t>
        </is>
      </c>
      <c r="P24" s="133" t="inlineStr">
        <is>
          <t>Mahlkönig EK Omnia</t>
        </is>
      </c>
      <c r="Q24" s="135" t="n">
        <v>11.08</v>
      </c>
      <c r="R24" s="133" t="inlineStr">
        <is>
          <t>Lemon verbena; Red plum; Citronella; Hibiscus</t>
        </is>
      </c>
      <c r="S24" s="133" t="inlineStr">
        <is>
          <t>Excellent. Lime when hot, distinct plum as it cooled.</t>
        </is>
      </c>
      <c r="T24" s="133" t="inlineStr">
        <is>
          <t>EK Omnia precision grind and Origami conical drove extreme clarity; thermal phase shift perfectly isolated citric-to-malic acid transition (lime → plum).</t>
        </is>
      </c>
      <c r="U24" s="133" t="inlineStr">
        <is>
          <t>Unknown</t>
        </is>
      </c>
      <c r="V24" s="133" t="inlineStr">
        <is>
          <t>Gemini only</t>
        </is>
      </c>
      <c r="W24" s="134">
        <f>IF(OR(ISNUMBER(SEARCH("gesha",G24)),ISNUMBER(SEARCH("geisha",G24))),"⭐ GESHA","")</f>
        <v/>
      </c>
      <c r="X24" s="133" t="inlineStr">
        <is>
          <t>123 Jalan Beringin, Taman Melodies, 80250 Johor Bahru, Malaysia</t>
        </is>
      </c>
    </row>
    <row r="25" ht="20.25" customHeight="1" s="130">
      <c r="A25" s="132" t="n">
        <v>46136</v>
      </c>
      <c r="B25" s="133" t="inlineStr">
        <is>
          <t>Singapore</t>
        </is>
      </c>
      <c r="C25" s="133" t="inlineStr">
        <is>
          <t>Agora Coffee</t>
        </is>
      </c>
      <c r="D25" s="133" t="inlineStr">
        <is>
          <t>Brazil Santuário Sul</t>
        </is>
      </c>
      <c r="E25" s="133" t="inlineStr">
        <is>
          <t>Unknown</t>
        </is>
      </c>
      <c r="F25" s="133" t="inlineStr">
        <is>
          <t>Carmo de Minas, Brazil</t>
        </is>
      </c>
      <c r="G25" s="133" t="inlineStr">
        <is>
          <t>Unknown</t>
        </is>
      </c>
      <c r="H25" s="133" t="inlineStr">
        <is>
          <t>Natural Fermentation</t>
        </is>
      </c>
      <c r="I25" s="133" t="inlineStr">
        <is>
          <t>Light-Medium</t>
        </is>
      </c>
      <c r="J25" s="133" t="inlineStr">
        <is>
          <t>V60</t>
        </is>
      </c>
      <c r="K25" s="133" t="n">
        <v>16</v>
      </c>
      <c r="L25" s="133" t="n">
        <v>224</v>
      </c>
      <c r="M25" s="133" t="inlineStr">
        <is>
          <t>1:14</t>
        </is>
      </c>
      <c r="N25" s="133" t="inlineStr">
        <is>
          <t>95</t>
        </is>
      </c>
      <c r="O25" s="133" t="inlineStr">
        <is>
          <t>Unknown</t>
        </is>
      </c>
      <c r="P25" s="133" t="inlineStr">
        <is>
          <t>Mahlkönig EK43</t>
        </is>
      </c>
      <c r="Q25" s="133" t="inlineStr">
        <is>
          <t>Unknown</t>
        </is>
      </c>
      <c r="R25" s="133" t="inlineStr">
        <is>
          <t>Blackcurrant; Black Cherry; Dark Chocolate</t>
        </is>
      </c>
      <c r="S25" s="133" t="inlineStr">
        <is>
          <t>Full body; prominent blackcurrant; clear chocolaty finish.</t>
        </is>
      </c>
      <c r="T25" s="133" t="inlineStr">
        <is>
          <t>Tight 1:14 ratio engineered maximum body; EK43 98mm burrs maintained clarity to keep fermented natural fruit clean and non-bitter.</t>
        </is>
      </c>
      <c r="U25" s="133" t="inlineStr">
        <is>
          <t>Midday specialty calibration</t>
        </is>
      </c>
      <c r="V25" s="133" t="inlineStr">
        <is>
          <t>Merged (Gemini + ChatGPT)</t>
        </is>
      </c>
      <c r="W25" s="134">
        <f>IF(OR(ISNUMBER(SEARCH("gesha",G25)),ISNUMBER(SEARCH("geisha",G25))),"⭐ GESHA","")</f>
        <v/>
      </c>
      <c r="X25" s="133" t="inlineStr">
        <is>
          <t>31 Club St, #01-02, Singapore 069468</t>
        </is>
      </c>
    </row>
    <row r="26" ht="30" customHeight="1" s="130">
      <c r="A26" s="132" t="n">
        <v>46148</v>
      </c>
      <c r="B26" s="133" t="inlineStr">
        <is>
          <t>Singapore</t>
        </is>
      </c>
      <c r="C26" s="133" t="inlineStr">
        <is>
          <t>Nylon Coffee Roasters</t>
        </is>
      </c>
      <c r="D26" s="133" t="inlineStr">
        <is>
          <t>Brazil FAF Organic</t>
        </is>
      </c>
      <c r="E26" s="133" t="inlineStr">
        <is>
          <t>Unknown</t>
        </is>
      </c>
      <c r="F26" s="133" t="inlineStr">
        <is>
          <t>Brazil</t>
        </is>
      </c>
      <c r="G26" s="133" t="inlineStr">
        <is>
          <t>Arara</t>
        </is>
      </c>
      <c r="H26" s="133" t="inlineStr">
        <is>
          <t>Natural</t>
        </is>
      </c>
      <c r="I26" s="133" t="inlineStr">
        <is>
          <t>Filter Roast</t>
        </is>
      </c>
      <c r="J26" s="133" t="inlineStr">
        <is>
          <t>xBloom (Flat-Bottom)</t>
        </is>
      </c>
      <c r="K26" s="133" t="inlineStr">
        <is>
          <t>Unknown</t>
        </is>
      </c>
      <c r="L26" s="133" t="inlineStr">
        <is>
          <t>Unknown</t>
        </is>
      </c>
      <c r="M26" s="133" t="inlineStr">
        <is>
          <t>1:17</t>
        </is>
      </c>
      <c r="N26" s="133" t="inlineStr">
        <is>
          <t>Unknown</t>
        </is>
      </c>
      <c r="O26" s="133" t="inlineStr">
        <is>
          <t>Unknown</t>
        </is>
      </c>
      <c r="P26" s="133" t="inlineStr">
        <is>
          <t>Mahlkönig EK Omnia</t>
        </is>
      </c>
      <c r="Q26" s="135" t="n">
        <v>7.5</v>
      </c>
      <c r="R26" s="133" t="inlineStr">
        <is>
          <t>Red Apple; Cherry; Raisin; Milk Chocolate</t>
        </is>
      </c>
      <c r="S26" s="133" t="inlineStr">
        <is>
          <t>Solid body with crisp green apple (malic) front, resolving into smooth milk chocolate finish.</t>
        </is>
      </c>
      <c r="T26" s="133" t="inlineStr">
        <is>
          <t>High-quality Arara natural processing yielded excellent structural body while maintaining crisp malic acidity; xBloom flat-bottom avoided heavy fermentation mud.</t>
        </is>
      </c>
      <c r="U26" s="133" t="inlineStr">
        <is>
          <t>Unknown</t>
        </is>
      </c>
      <c r="V26" s="133" t="inlineStr">
        <is>
          <t>Gemini only</t>
        </is>
      </c>
      <c r="W26" s="134">
        <f>IF(OR(ISNUMBER(SEARCH("gesha",G26)),ISNUMBER(SEARCH("geisha",G26))),"⭐ GESHA","")</f>
        <v/>
      </c>
      <c r="X26" s="133" t="inlineStr">
        <is>
          <t>4 Everton Park, #01-40, Singapore 080004</t>
        </is>
      </c>
    </row>
    <row r="27" ht="20.25" customHeight="1" s="130">
      <c r="A27" s="132" t="n">
        <v>46148</v>
      </c>
      <c r="B27" s="133" t="inlineStr">
        <is>
          <t>Singapore</t>
        </is>
      </c>
      <c r="C27" s="133" t="inlineStr">
        <is>
          <t>Nylon Coffee Roasters</t>
        </is>
      </c>
      <c r="D27" s="133" t="inlineStr">
        <is>
          <t>Brazil Serra dos Ciganos</t>
        </is>
      </c>
      <c r="E27" s="133" t="inlineStr">
        <is>
          <t>Unknown</t>
        </is>
      </c>
      <c r="F27" s="133" t="inlineStr">
        <is>
          <t>Brazil</t>
        </is>
      </c>
      <c r="G27" s="133" t="inlineStr">
        <is>
          <t>Catucai 24/137</t>
        </is>
      </c>
      <c r="H27" s="133" t="inlineStr">
        <is>
          <t>Natural</t>
        </is>
      </c>
      <c r="I27" s="133" t="inlineStr">
        <is>
          <t>Espresso Roast</t>
        </is>
      </c>
      <c r="J27" s="133" t="inlineStr">
        <is>
          <t>Flat White</t>
        </is>
      </c>
      <c r="K27" s="133" t="inlineStr">
        <is>
          <t>Unknown</t>
        </is>
      </c>
      <c r="L27" s="133" t="inlineStr">
        <is>
          <t>Unknown</t>
        </is>
      </c>
      <c r="M27" s="133" t="inlineStr">
        <is>
          <t>Unknown</t>
        </is>
      </c>
      <c r="N27" s="133" t="inlineStr">
        <is>
          <t>Unknown</t>
        </is>
      </c>
      <c r="O27" s="133" t="inlineStr">
        <is>
          <t>Unknown</t>
        </is>
      </c>
      <c r="P27" s="133" t="inlineStr">
        <is>
          <t>Unknown</t>
        </is>
      </c>
      <c r="Q27" s="133" t="inlineStr">
        <is>
          <t>Unknown</t>
        </is>
      </c>
      <c r="R27" s="133" t="inlineStr">
        <is>
          <t>Sultana; Dried Apricot; Praline; Roasted Hazelnut</t>
        </is>
      </c>
      <c r="S27" s="133" t="inlineStr">
        <is>
          <t>Good cup with pleasant lingering sweet aftertaste.</t>
        </is>
      </c>
      <c r="T27" s="133" t="inlineStr">
        <is>
          <t>Milk fats bound perfectly with natural processed espresso; Catucai 24/137 high-density bean structure created long, comforting finish.</t>
        </is>
      </c>
      <c r="U27" s="133" t="inlineStr">
        <is>
          <t>Unknown</t>
        </is>
      </c>
      <c r="V27" s="133" t="inlineStr">
        <is>
          <t>Gemini only</t>
        </is>
      </c>
      <c r="W27" s="134">
        <f>IF(OR(ISNUMBER(SEARCH("gesha",G27)),ISNUMBER(SEARCH("geisha",G27))),"⭐ GESHA","")</f>
        <v/>
      </c>
      <c r="X27" s="133" t="inlineStr">
        <is>
          <t>4 Everton Park, #01-40, Singapore 080004</t>
        </is>
      </c>
    </row>
    <row r="28" ht="20.25" customHeight="1" s="130">
      <c r="A28" s="132" t="n">
        <v>46149</v>
      </c>
      <c r="B28" s="133" t="inlineStr">
        <is>
          <t>Singapore</t>
        </is>
      </c>
      <c r="C28" s="133" t="inlineStr">
        <is>
          <t>Nylon Coffee Roasters</t>
        </is>
      </c>
      <c r="D28" s="133" t="inlineStr">
        <is>
          <t>Ethiopia Banko Gotiti</t>
        </is>
      </c>
      <c r="E28" s="133" t="inlineStr">
        <is>
          <t>Unknown</t>
        </is>
      </c>
      <c r="F28" s="133" t="inlineStr">
        <is>
          <t>Ethiopia</t>
        </is>
      </c>
      <c r="G28" s="133" t="inlineStr">
        <is>
          <t>Heirloom</t>
        </is>
      </c>
      <c r="H28" s="133" t="inlineStr">
        <is>
          <t>Washed</t>
        </is>
      </c>
      <c r="I28" s="133" t="inlineStr">
        <is>
          <t>Filter Roast</t>
        </is>
      </c>
      <c r="J28" s="133" t="inlineStr">
        <is>
          <t>xBloom (Flat-Bottom)</t>
        </is>
      </c>
      <c r="K28" s="133" t="inlineStr">
        <is>
          <t>Unknown</t>
        </is>
      </c>
      <c r="L28" s="133" t="inlineStr">
        <is>
          <t>Unknown</t>
        </is>
      </c>
      <c r="M28" s="133" t="inlineStr">
        <is>
          <t>1:17</t>
        </is>
      </c>
      <c r="N28" s="133" t="inlineStr">
        <is>
          <t>Unknown</t>
        </is>
      </c>
      <c r="O28" s="133" t="inlineStr">
        <is>
          <t>Unknown</t>
        </is>
      </c>
      <c r="P28" s="133" t="inlineStr">
        <is>
          <t>Mahlkönig EK Omnia</t>
        </is>
      </c>
      <c r="Q28" s="135" t="n">
        <v>8.5</v>
      </c>
      <c r="R28" s="133" t="inlineStr">
        <is>
          <t>Lemonade; Raspberry; Peach; Bergamot</t>
        </is>
      </c>
      <c r="S28" s="133" t="inlineStr">
        <is>
          <t>Lemon front, heavy melon mid-cup, fading into clean white tea finish.</t>
        </is>
      </c>
      <c r="T28" s="133" t="inlineStr">
        <is>
          <t>1:17 lean ratio isolated volatile citric acids; xBloom flat-bottom geometry stabilized mid-cup sugars before clean tannin-forward white tea finish.</t>
        </is>
      </c>
      <c r="U28" s="133" t="inlineStr">
        <is>
          <t>Unknown</t>
        </is>
      </c>
      <c r="V28" s="133" t="inlineStr">
        <is>
          <t>Gemini only</t>
        </is>
      </c>
      <c r="W28" s="134">
        <f>IF(OR(ISNUMBER(SEARCH("gesha",G28)),ISNUMBER(SEARCH("geisha",G28))),"⭐ GESHA","")</f>
        <v/>
      </c>
      <c r="X28" s="133" t="inlineStr">
        <is>
          <t>4 Everton Park, #01-40, Singapore 080004</t>
        </is>
      </c>
    </row>
    <row r="29" ht="30" customHeight="1" s="130">
      <c r="A29" s="132" t="n">
        <v>46149</v>
      </c>
      <c r="B29" s="133" t="inlineStr">
        <is>
          <t>Singapore</t>
        </is>
      </c>
      <c r="C29" s="133" t="inlineStr">
        <is>
          <t>Nylon Coffee Roasters</t>
        </is>
      </c>
      <c r="D29" s="133" t="inlineStr">
        <is>
          <t>Nicaragua Buena Vista</t>
        </is>
      </c>
      <c r="E29" s="133" t="inlineStr">
        <is>
          <t>Unknown</t>
        </is>
      </c>
      <c r="F29" s="133" t="inlineStr">
        <is>
          <t>Nicaragua</t>
        </is>
      </c>
      <c r="G29" s="133" t="inlineStr">
        <is>
          <t>Parainema</t>
        </is>
      </c>
      <c r="H29" s="133" t="inlineStr">
        <is>
          <t>Natural Anaerobic</t>
        </is>
      </c>
      <c r="I29" s="133" t="inlineStr">
        <is>
          <t>Espresso Roast</t>
        </is>
      </c>
      <c r="J29" s="133" t="inlineStr">
        <is>
          <t>Single Espresso</t>
        </is>
      </c>
      <c r="K29" s="133" t="inlineStr">
        <is>
          <t>Unknown</t>
        </is>
      </c>
      <c r="L29" s="133" t="inlineStr">
        <is>
          <t>Unknown</t>
        </is>
      </c>
      <c r="M29" s="133" t="inlineStr">
        <is>
          <t>~1:2</t>
        </is>
      </c>
      <c r="N29" s="133" t="inlineStr">
        <is>
          <t>Unknown</t>
        </is>
      </c>
      <c r="O29" s="133" t="inlineStr">
        <is>
          <t>Unknown</t>
        </is>
      </c>
      <c r="P29" s="133" t="inlineStr">
        <is>
          <t>Unknown</t>
        </is>
      </c>
      <c r="Q29" s="133" t="inlineStr">
        <is>
          <t>Unknown</t>
        </is>
      </c>
      <c r="R29" s="133" t="inlineStr">
        <is>
          <t>Chiku; Stewed Cherry; Dried Apricot; Brazil Nut</t>
        </is>
      </c>
      <c r="S29" s="133" t="inlineStr">
        <is>
          <t>Thick, syrupy body. Highly fermented, savory/not sweet, very long lingering finish.</t>
        </is>
      </c>
      <c r="T29" s="133" t="inlineStr">
        <is>
          <t>Anaerobic fermentation metabolized sugars into complex savory esters; 9-bar pressure emulsification drove heavy oil-based viscosity and extended aftertaste.</t>
        </is>
      </c>
      <c r="U29" s="133" t="inlineStr">
        <is>
          <t>Unknown</t>
        </is>
      </c>
      <c r="V29" s="133" t="inlineStr">
        <is>
          <t>Gemini only</t>
        </is>
      </c>
      <c r="W29" s="134">
        <f>IF(OR(ISNUMBER(SEARCH("gesha",G29)),ISNUMBER(SEARCH("geisha",G29))),"⭐ GESHA","")</f>
        <v/>
      </c>
      <c r="X29" s="133" t="inlineStr">
        <is>
          <t>4 Everton Park, #01-40, Singapore 080004</t>
        </is>
      </c>
    </row>
    <row r="30" ht="49.5" customHeight="1" s="130">
      <c r="A30" s="132" t="n">
        <v>46150</v>
      </c>
      <c r="B30" s="133" t="inlineStr">
        <is>
          <t>Singapore</t>
        </is>
      </c>
      <c r="C30" s="133" t="inlineStr">
        <is>
          <t>Alchemist (Ocean Financial Centre)</t>
        </is>
      </c>
      <c r="D30" s="133" t="inlineStr">
        <is>
          <t>El Morito</t>
        </is>
      </c>
      <c r="E30" s="133" t="inlineStr">
        <is>
          <t>Unknown</t>
        </is>
      </c>
      <c r="F30" s="133" t="inlineStr">
        <is>
          <t>Colombia</t>
        </is>
      </c>
      <c r="G30" s="133" t="inlineStr">
        <is>
          <t>Marshell</t>
        </is>
      </c>
      <c r="H30" s="133" t="inlineStr">
        <is>
          <t>Washed</t>
        </is>
      </c>
      <c r="I30" s="133" t="inlineStr">
        <is>
          <t>Filter Roast</t>
        </is>
      </c>
      <c r="J30" s="133" t="inlineStr">
        <is>
          <t>V60 Pour-over (Conical)</t>
        </is>
      </c>
      <c r="K30" s="133" t="n">
        <v>15</v>
      </c>
      <c r="L30" s="133" t="n">
        <v>240</v>
      </c>
      <c r="M30" s="133" t="inlineStr">
        <is>
          <t>1:16</t>
        </is>
      </c>
      <c r="N30" s="133" t="inlineStr">
        <is>
          <t>Unknown</t>
        </is>
      </c>
      <c r="O30" s="133" t="inlineStr">
        <is>
          <t>Unknown</t>
        </is>
      </c>
      <c r="P30" s="133" t="inlineStr">
        <is>
          <t>Mahlkönig EK43S (98mm Flat Burr)</t>
        </is>
      </c>
      <c r="Q30" s="133" t="inlineStr">
        <is>
          <t>Unknown</t>
        </is>
      </c>
      <c r="R30" s="133" t="inlineStr">
        <is>
          <t>Yellow Plum; Orange; Cane Sugar</t>
        </is>
      </c>
      <c r="S30" s="133" t="inlineStr">
        <is>
          <t>Simultaneous citric-malic acid overlap with integrated cane sugar — smooth and refreshing with excellent mid-palate juiciness. Confirmed: I love this bean.</t>
        </is>
      </c>
      <c r="T30" s="133"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133" t="inlineStr">
        <is>
          <t>Solo visit — Alchemist Raffles Place</t>
        </is>
      </c>
      <c r="V30" s="133" t="inlineStr">
        <is>
          <t>Master CSV (hari_coffee_audit_master_2026)</t>
        </is>
      </c>
      <c r="W30" s="134">
        <f>IF(OR(ISNUMBER(SEARCH("gesha",G30)),ISNUMBER(SEARCH("geisha",G30))),"⭐ GESHA","")</f>
        <v/>
      </c>
      <c r="X30" s="133" t="inlineStr">
        <is>
          <t>10 Collyer Quay, #01-K1, Singapore 049315</t>
        </is>
      </c>
    </row>
    <row r="31" ht="59.25" customHeight="1" s="130">
      <c r="A31" s="132" t="n">
        <v>46154</v>
      </c>
      <c r="B31" s="133" t="inlineStr">
        <is>
          <t>Singapore</t>
        </is>
      </c>
      <c r="C31" s="133" t="inlineStr">
        <is>
          <t>Kurasu</t>
        </is>
      </c>
      <c r="D31" s="133" t="inlineStr">
        <is>
          <t>Indonesia Frinsa Estate</t>
        </is>
      </c>
      <c r="E31" s="133" t="inlineStr">
        <is>
          <t>Frinsa Estate</t>
        </is>
      </c>
      <c r="F31" s="133" t="inlineStr">
        <is>
          <t>West Java, Indonesia</t>
        </is>
      </c>
      <c r="G31" s="133" t="inlineStr">
        <is>
          <t>Local Varietals</t>
        </is>
      </c>
      <c r="H31" s="133" t="inlineStr">
        <is>
          <t>Extended Fermentation Honey</t>
        </is>
      </c>
      <c r="I31" s="133" t="inlineStr">
        <is>
          <t>Light</t>
        </is>
      </c>
      <c r="J31" s="133" t="inlineStr">
        <is>
          <t>Pour-over (Hario Alpha — Flat-Bottom)</t>
        </is>
      </c>
      <c r="K31" s="133" t="n">
        <v>15</v>
      </c>
      <c r="L31" s="133" t="n">
        <v>225</v>
      </c>
      <c r="M31" s="133" t="inlineStr">
        <is>
          <t>1:16</t>
        </is>
      </c>
      <c r="N31" s="133" t="inlineStr">
        <is>
          <t>80 → 95 → 80</t>
        </is>
      </c>
      <c r="O31" s="133" t="inlineStr">
        <is>
          <t>Unknown</t>
        </is>
      </c>
      <c r="P31" s="133" t="inlineStr">
        <is>
          <t>Mahlkönig EK43S (98mm Flat Burr)</t>
        </is>
      </c>
      <c r="Q31" s="135" t="n">
        <v>9.5</v>
      </c>
      <c r="R31" s="133" t="inlineStr">
        <is>
          <t>Floral aroma; Stewed Strawberries; Grapefruit; Brown Sugar; Black Tea</t>
        </is>
      </c>
      <c r="S31" s="133" t="inlineStr">
        <is>
          <t>Floral taste with a sweet coating on the tongue that gradually sticks and fades off cleanly — sugar and tea aftertaste. Well-executed Indonesian honey with unusual clarity for the origin.</t>
        </is>
      </c>
      <c r="T31" s="133"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133" t="inlineStr">
        <is>
          <t>Solo visit — Kurasu Singapore</t>
        </is>
      </c>
      <c r="V31" s="133" t="inlineStr">
        <is>
          <t>Master CSV (hari_coffee_audit_master_2026)</t>
        </is>
      </c>
      <c r="W31" s="134">
        <f>IF(OR(ISNUMBER(SEARCH("gesha",G31)),ISNUMBER(SEARCH("geisha",G31))),"⭐ GESHA","")</f>
        <v/>
      </c>
      <c r="X31" s="133" t="inlineStr">
        <is>
          <t>261 Waterloo St, #01-24, Singapore 180261</t>
        </is>
      </c>
    </row>
    <row r="32" ht="49.5" customHeight="1" s="130">
      <c r="A32" s="132" t="n">
        <v>46155</v>
      </c>
      <c r="B32" s="133" t="inlineStr">
        <is>
          <t>Singapore</t>
        </is>
      </c>
      <c r="C32" s="133" t="inlineStr">
        <is>
          <t>The Community Coffee (Hamilton)</t>
        </is>
      </c>
      <c r="D32" s="133" t="inlineStr">
        <is>
          <t>Jose Mancia Honduras</t>
        </is>
      </c>
      <c r="E32" s="133" t="inlineStr">
        <is>
          <t>Jose Mancia</t>
        </is>
      </c>
      <c r="F32" s="133" t="inlineStr">
        <is>
          <t>Honduras</t>
        </is>
      </c>
      <c r="G32" s="133" t="inlineStr">
        <is>
          <t>Typica</t>
        </is>
      </c>
      <c r="H32" s="133" t="inlineStr">
        <is>
          <t>Natural</t>
        </is>
      </c>
      <c r="I32" s="133" t="inlineStr">
        <is>
          <t>Filter Roast</t>
        </is>
      </c>
      <c r="J32" s="133" t="inlineStr">
        <is>
          <t>Pour-over (Hario Switch — Immersion/Percolation)</t>
        </is>
      </c>
      <c r="K32" s="133" t="n">
        <v>15</v>
      </c>
      <c r="L32" s="133" t="n">
        <v>255</v>
      </c>
      <c r="M32" s="133" t="inlineStr">
        <is>
          <t>1:17</t>
        </is>
      </c>
      <c r="N32" s="133" t="inlineStr">
        <is>
          <t>Unknown</t>
        </is>
      </c>
      <c r="O32" s="133" t="inlineStr">
        <is>
          <t>Unknown</t>
        </is>
      </c>
      <c r="P32" s="133" t="inlineStr">
        <is>
          <t>Mahlkönig EK43 (98mm Flat Burr)</t>
        </is>
      </c>
      <c r="Q32" s="135" t="n">
        <v>9</v>
      </c>
      <c r="R32" s="133" t="inlineStr">
        <is>
          <t>Kiwi; Oolong Tea; Chocolate Truffle</t>
        </is>
      </c>
      <c r="S32" s="133" t="inlineStr">
        <is>
          <t>Pretty good. Kiwi and oolong tea style — full bodied. Short finish with slight hints of chocolate. Clean and approachable natural without heavy fermentation noise.</t>
        </is>
      </c>
      <c r="T32" s="133"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133" t="inlineStr">
        <is>
          <t>Solo visit — The Community Coffee Hamilton</t>
        </is>
      </c>
      <c r="V32" s="133" t="inlineStr">
        <is>
          <t>Master CSV (hari_coffee_audit_master_2026)</t>
        </is>
      </c>
      <c r="W32" s="134">
        <f>IF(OR(ISNUMBER(SEARCH("gesha",G32)),ISNUMBER(SEARCH("geisha",G32))),"⭐ GESHA","")</f>
        <v/>
      </c>
      <c r="X32" s="133" t="inlineStr">
        <is>
          <t>38 Hamilton Rd, Singapore 209208</t>
        </is>
      </c>
    </row>
    <row r="33" ht="69" customHeight="1" s="130">
      <c r="A33" s="132" t="n">
        <v>46157</v>
      </c>
      <c r="B33" s="133" t="inlineStr">
        <is>
          <t>Singapore</t>
        </is>
      </c>
      <c r="C33" s="133" t="inlineStr">
        <is>
          <t>Alchemist (Ocean Financial Centre)</t>
        </is>
      </c>
      <c r="D33" s="133" t="inlineStr">
        <is>
          <t>Ijen Laurina</t>
        </is>
      </c>
      <c r="E33" s="133" t="inlineStr">
        <is>
          <t>Ijen Plateau</t>
        </is>
      </c>
      <c r="F33" s="133" t="inlineStr">
        <is>
          <t>East Java, Indonesia</t>
        </is>
      </c>
      <c r="G33" s="133" t="inlineStr">
        <is>
          <t>Hybrid Laurina</t>
        </is>
      </c>
      <c r="H33" s="133" t="inlineStr">
        <is>
          <t>Anaerobic Natural</t>
        </is>
      </c>
      <c r="I33" s="133" t="inlineStr">
        <is>
          <t>Light</t>
        </is>
      </c>
      <c r="J33" s="133" t="inlineStr">
        <is>
          <t>V60 Pour-over (Conical)</t>
        </is>
      </c>
      <c r="K33" s="133" t="n">
        <v>15</v>
      </c>
      <c r="L33" s="133" t="n">
        <v>240</v>
      </c>
      <c r="M33" s="133" t="inlineStr">
        <is>
          <t>1:16</t>
        </is>
      </c>
      <c r="N33" s="133" t="inlineStr">
        <is>
          <t>90</t>
        </is>
      </c>
      <c r="O33" s="133" t="inlineStr">
        <is>
          <t>Unknown</t>
        </is>
      </c>
      <c r="P33" s="133" t="inlineStr">
        <is>
          <t>Mahlkönig EK43S (98mm Flat Burr)</t>
        </is>
      </c>
      <c r="Q33" s="135" t="n">
        <v>8.5</v>
      </c>
      <c r="R33" s="133" t="inlineStr">
        <is>
          <t>Hibiscus; Red Apple; Hawthorn</t>
        </is>
      </c>
      <c r="S33" s="133" t="inlineStr">
        <is>
          <t>Felt hibiscus hot. Mid temp showed apple paste. Cooled to a honeyed character. Full bodied. Textbook style flavours — definitely a good one. Clean progressive thermal arc.</t>
        </is>
      </c>
      <c r="T33" s="133"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133" t="inlineStr">
        <is>
          <t>Solo visit — Alchemist Ocean Financial Centre</t>
        </is>
      </c>
      <c r="V33" s="133" t="inlineStr">
        <is>
          <t>Master CSV (hari_coffee_audit_master_2026)</t>
        </is>
      </c>
      <c r="W33" s="134">
        <f>IF(OR(ISNUMBER(SEARCH("gesha",G33)),ISNUMBER(SEARCH("geisha",G33))),"⭐ GESHA","")</f>
        <v/>
      </c>
      <c r="X33" s="133" t="inlineStr">
        <is>
          <t>10 Collyer Quay, #01-K1, Singapore 049315</t>
        </is>
      </c>
    </row>
    <row r="34" ht="78.75" customHeight="1" s="130">
      <c r="A34" s="132" t="n">
        <v>46158</v>
      </c>
      <c r="B34" s="133" t="inlineStr">
        <is>
          <t>Singapore</t>
        </is>
      </c>
      <c r="C34" s="133" t="inlineStr">
        <is>
          <t>Fluid Collective</t>
        </is>
      </c>
      <c r="D34" s="133" t="inlineStr">
        <is>
          <t>El Obraje</t>
        </is>
      </c>
      <c r="E34" s="133" t="inlineStr">
        <is>
          <t>El Obraje</t>
        </is>
      </c>
      <c r="F34" s="133" t="inlineStr">
        <is>
          <t>Huila, Colombia</t>
        </is>
      </c>
      <c r="G34" s="133" t="inlineStr">
        <is>
          <t>Gesha</t>
        </is>
      </c>
      <c r="H34" s="133" t="inlineStr">
        <is>
          <t>Washed</t>
        </is>
      </c>
      <c r="I34" s="133" t="inlineStr">
        <is>
          <t>Light</t>
        </is>
      </c>
      <c r="J34" s="133" t="inlineStr">
        <is>
          <t>Flatbed Dripper (Flat-Bottom)</t>
        </is>
      </c>
      <c r="K34" s="133" t="n">
        <v>15</v>
      </c>
      <c r="L34" s="133" t="n">
        <v>230</v>
      </c>
      <c r="M34" s="133" t="inlineStr">
        <is>
          <t>1:15.3</t>
        </is>
      </c>
      <c r="N34" s="133" t="inlineStr">
        <is>
          <t>92</t>
        </is>
      </c>
      <c r="O34" s="133" t="inlineStr">
        <is>
          <t>Unknown</t>
        </is>
      </c>
      <c r="P34" s="133" t="inlineStr">
        <is>
          <t>Option-O Lagom P64 (64mm Flat Burr)</t>
        </is>
      </c>
      <c r="Q34" s="135" t="n">
        <v>14</v>
      </c>
      <c r="R34" s="133" t="inlineStr">
        <is>
          <t>Mango; Orange Blossom; Nectarine; Honey</t>
        </is>
      </c>
      <c r="S34" s="133" t="inlineStr">
        <is>
          <t>Damn the taste so nice — the orange nectarine finishing with that honey is terrific. Love this one. So far my favourite. Honey sweetness lingers and taste changes as temperature cools. Best Gesha washed in archive at time of logging.</t>
        </is>
      </c>
      <c r="T34" s="133"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133" t="inlineStr">
        <is>
          <t>Solo visit — FLUID Singapore</t>
        </is>
      </c>
      <c r="V34" s="133" t="inlineStr">
        <is>
          <t>Master CSV (hari_coffee_audit_master_2026)</t>
        </is>
      </c>
      <c r="W34" s="134">
        <f>IF(OR(ISNUMBER(SEARCH("gesha",G34)),ISNUMBER(SEARCH("geisha",G34))),"⭐ GESHA","")</f>
        <v/>
      </c>
      <c r="X34" s="133" t="inlineStr">
        <is>
          <t>24 Opal Cres, Singapore 328418</t>
        </is>
      </c>
    </row>
    <row r="35" ht="69" customHeight="1" s="130">
      <c r="A35" s="132" t="n">
        <v>46161</v>
      </c>
      <c r="B35" s="133" t="inlineStr">
        <is>
          <t>Singapore</t>
        </is>
      </c>
      <c r="C35" s="133" t="inlineStr">
        <is>
          <t>Pocket by Flip (Flip Coffee Roasters)</t>
        </is>
      </c>
      <c r="D35" s="133" t="inlineStr">
        <is>
          <t>Ecuador La Papaya</t>
        </is>
      </c>
      <c r="E35" s="133" t="inlineStr">
        <is>
          <t>La Papaya Farm</t>
        </is>
      </c>
      <c r="F35" s="133" t="inlineStr">
        <is>
          <t>Loja, Ecuador</t>
        </is>
      </c>
      <c r="G35" s="133" t="inlineStr">
        <is>
          <t>Geisha</t>
        </is>
      </c>
      <c r="H35" s="133" t="inlineStr">
        <is>
          <t>Washed</t>
        </is>
      </c>
      <c r="I35" s="133" t="inlineStr">
        <is>
          <t>Light</t>
        </is>
      </c>
      <c r="J35" s="133" t="inlineStr">
        <is>
          <t>Filter Hot — Flat-Bottom (Hario Alpha)</t>
        </is>
      </c>
      <c r="K35" s="133" t="n">
        <v>15</v>
      </c>
      <c r="L35" s="133" t="n">
        <v>225</v>
      </c>
      <c r="M35" s="133" t="inlineStr">
        <is>
          <t>1:15</t>
        </is>
      </c>
      <c r="N35" s="133" t="inlineStr">
        <is>
          <t>92 → 75 → 92</t>
        </is>
      </c>
      <c r="O35" s="133" t="inlineStr">
        <is>
          <t>Unknown</t>
        </is>
      </c>
      <c r="P35" s="133" t="inlineStr">
        <is>
          <t>Mahlkönig CORE (54mm Flat Burr)</t>
        </is>
      </c>
      <c r="Q35" s="135" t="n">
        <v>18</v>
      </c>
      <c r="R35" s="133" t="inlineStr">
        <is>
          <t>Fresh Apricot; Rooibos; Lemon Thyme; Toffee Apple</t>
        </is>
      </c>
      <c r="S35" s="133"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133"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133" t="inlineStr">
        <is>
          <t>Solo visit — Pocket by Flip, 30 Stevens Road</t>
        </is>
      </c>
      <c r="V35" s="133" t="inlineStr">
        <is>
          <t>Master CSV (hari_coffee_audit_master_2026)</t>
        </is>
      </c>
      <c r="W35" s="134">
        <f>IF(OR(ISNUMBER(SEARCH("gesha",G35)),ISNUMBER(SEARCH("geisha",G35))),"⭐ GESHA","")</f>
        <v/>
      </c>
      <c r="X35" s="133" t="inlineStr">
        <is>
          <t>30 Stevens Rd, #01-08, Singapore 257840</t>
        </is>
      </c>
    </row>
    <row r="36" ht="98.25" customHeight="1" s="130">
      <c r="A36" s="132" t="n">
        <v>46167</v>
      </c>
      <c r="B36" s="133" t="inlineStr">
        <is>
          <t>Singapore</t>
        </is>
      </c>
      <c r="C36" s="133" t="inlineStr">
        <is>
          <t>20 Grams Coffee Roastery</t>
        </is>
      </c>
      <c r="D36" s="133" t="inlineStr">
        <is>
          <t>Rwanda Nyabihu — Red Bourbon</t>
        </is>
      </c>
      <c r="E36" s="133" t="inlineStr">
        <is>
          <t>Josue Dusengiyumva, Shyira Washing Station</t>
        </is>
      </c>
      <c r="F36" s="133" t="inlineStr">
        <is>
          <t>Nyabihu District, Rwanda</t>
        </is>
      </c>
      <c r="G36" s="133" t="inlineStr">
        <is>
          <t>Red Bourbon</t>
        </is>
      </c>
      <c r="H36" s="133" t="inlineStr">
        <is>
          <t>Washed</t>
        </is>
      </c>
      <c r="I36" s="133" t="inlineStr">
        <is>
          <t>Light (Nordic Roast)</t>
        </is>
      </c>
      <c r="J36" s="133" t="inlineStr">
        <is>
          <t>Pourover</t>
        </is>
      </c>
      <c r="K36" s="133" t="n">
        <v>17</v>
      </c>
      <c r="L36" s="133" t="n">
        <v>270</v>
      </c>
      <c r="M36" s="133" t="inlineStr">
        <is>
          <t>1:16</t>
        </is>
      </c>
      <c r="N36" s="133" t="inlineStr">
        <is>
          <t>Unknown</t>
        </is>
      </c>
      <c r="O36" s="133" t="inlineStr">
        <is>
          <t>Unknown</t>
        </is>
      </c>
      <c r="P36" s="133" t="inlineStr">
        <is>
          <t>Ditting 804 (Flat Burr)</t>
        </is>
      </c>
      <c r="Q36" s="133" t="n">
        <v>10</v>
      </c>
      <c r="R36" s="133" t="inlineStr">
        <is>
          <t>Hibiscus; Raspberry; Tropical Fruit</t>
        </is>
      </c>
      <c r="S36" s="133" t="inlineStr">
        <is>
          <t>Palate confirmed: peach, stone fruit, malic clarity. "Soft, peach-forward, malic clarity — light and approachable. First Rwanda origin entry. Terroir-pure expression of Nyabihu volcanic terroir." 4/5 stars.</t>
        </is>
      </c>
      <c r="T36" s="133" t="inlineStr">
        <is>
          <t>1:16 lean ratio (vs 1:15 standard) suppresses body/TDS to amplify volatile aromatics — deliberate strategy to showcase Rwandan terroir delicacy. Malic-acid-dominant, smooth rounded onset consistent with washed Red Bourbon genetics.</t>
        </is>
      </c>
      <c r="U36" s="133" t="inlineStr">
        <is>
          <t>Twenty Grams Roastery, MacPherson — first Rwanda origin entry</t>
        </is>
      </c>
      <c r="V36" s="133" t="inlineStr">
        <is>
          <t>Field entry (infographic-derived)</t>
        </is>
      </c>
      <c r="W36" s="134">
        <f>IF(OR(ISNUMBER(SEARCH("gesha",G36)),ISNUMBER(SEARCH("geisha",G36))),"⭐ GESHA","")</f>
        <v/>
      </c>
      <c r="X36" s="133" t="inlineStr">
        <is>
          <t>14 Arumugam Rd, #01-05 LTC Building C, Singapore 409959</t>
        </is>
      </c>
    </row>
    <row r="37" ht="59.25" customHeight="1" s="130">
      <c r="A37" s="132" t="n">
        <v>46167</v>
      </c>
      <c r="B37" s="133" t="inlineStr">
        <is>
          <t>Singapore</t>
        </is>
      </c>
      <c r="C37" s="133" t="inlineStr">
        <is>
          <t>20 Grams Coffee Roastery</t>
        </is>
      </c>
      <c r="D37" s="133" t="inlineStr">
        <is>
          <t>Kenya Nyeri Hill — SL28</t>
        </is>
      </c>
      <c r="E37" s="133" t="inlineStr">
        <is>
          <t>Nyeri Hill Factory</t>
        </is>
      </c>
      <c r="F37" s="133" t="inlineStr">
        <is>
          <t>Kiambu District, Kenya</t>
        </is>
      </c>
      <c r="G37" s="133" t="inlineStr">
        <is>
          <t>SL28</t>
        </is>
      </c>
      <c r="H37" s="133" t="inlineStr">
        <is>
          <t>Washed</t>
        </is>
      </c>
      <c r="I37" s="133" t="inlineStr">
        <is>
          <t>Unknown</t>
        </is>
      </c>
      <c r="J37" s="133" t="inlineStr">
        <is>
          <t>Cortado (Espresso-based)</t>
        </is>
      </c>
      <c r="K37" s="133" t="inlineStr">
        <is>
          <t>Unknown</t>
        </is>
      </c>
      <c r="L37" s="133" t="inlineStr">
        <is>
          <t>Unknown</t>
        </is>
      </c>
      <c r="M37" s="133" t="inlineStr">
        <is>
          <t>~1:1 (espresso/milk)</t>
        </is>
      </c>
      <c r="N37" s="133" t="inlineStr">
        <is>
          <t>Unknown</t>
        </is>
      </c>
      <c r="O37" s="133" t="inlineStr">
        <is>
          <t>N/A — espresso format</t>
        </is>
      </c>
      <c r="P37" s="133" t="inlineStr">
        <is>
          <t>Ditting Lab Sweet 403</t>
        </is>
      </c>
      <c r="Q37" s="133" t="n">
        <v>9</v>
      </c>
      <c r="R37" s="133" t="inlineStr">
        <is>
          <t>Apple; Grape; Blackcurrant</t>
        </is>
      </c>
      <c r="S37" s="133" t="inlineStr">
        <is>
          <t>Palate confirmed: clean, nice, excellent lingering finish. "Clean, structured, with an exceptional lingering phosphoric finish — textbook SL28 Kenyan expression perfectly delivered in cortado format." 4/5 stars.</t>
        </is>
      </c>
      <c r="T37" s="133" t="inlineStr">
        <is>
          <t>9-bar extraction emulsifies coffee lipids into the crema matrix; ~1:1 milk ratio softens entry while SL28's signature phosphoric acid structure dominates the finish — classic Kenyan cortado profile.</t>
        </is>
      </c>
      <c r="U37" s="133" t="inlineStr">
        <is>
          <t>Twenty Grams Roastery, MacPherson — same visit as Rwanda pourover</t>
        </is>
      </c>
      <c r="V37" s="133" t="inlineStr">
        <is>
          <t>Field entry (infographic-derived)</t>
        </is>
      </c>
      <c r="W37" s="134">
        <f>IF(OR(ISNUMBER(SEARCH("gesha",G37)),ISNUMBER(SEARCH("geisha",G37))),"⭐ GESHA","")</f>
        <v/>
      </c>
      <c r="X37" s="133" t="inlineStr">
        <is>
          <t>14 Arumugam Rd, #01-05 LTC Building C, Singapore 409959</t>
        </is>
      </c>
    </row>
    <row r="38" ht="78.75" customHeight="1" s="130">
      <c r="A38" s="132" t="n">
        <v>46168</v>
      </c>
      <c r="B38" s="133" t="inlineStr">
        <is>
          <t>Singapore</t>
        </is>
      </c>
      <c r="C38" s="133" t="inlineStr">
        <is>
          <t>Zerah Roasters</t>
        </is>
      </c>
      <c r="D38" s="133" t="inlineStr">
        <is>
          <t>El Diviso — Caturra Chiroso (Ester Bomb)</t>
        </is>
      </c>
      <c r="E38" s="133" t="inlineStr">
        <is>
          <t>El Diviso Farm</t>
        </is>
      </c>
      <c r="F38" s="133" t="inlineStr">
        <is>
          <t>Huila, Colombia</t>
        </is>
      </c>
      <c r="G38" s="133" t="inlineStr">
        <is>
          <t>Caturra Chiroso</t>
        </is>
      </c>
      <c r="H38" s="133" t="inlineStr">
        <is>
          <t>Yeast Anaerobic Natural</t>
        </is>
      </c>
      <c r="I38" s="133" t="inlineStr">
        <is>
          <t>Filter Roast</t>
        </is>
      </c>
      <c r="J38" s="133" t="inlineStr">
        <is>
          <t>Flat-Bottom Dripper</t>
        </is>
      </c>
      <c r="K38" s="133" t="n">
        <v>15</v>
      </c>
      <c r="L38" s="133" t="n">
        <v>240</v>
      </c>
      <c r="M38" s="133" t="inlineStr">
        <is>
          <t>1:16</t>
        </is>
      </c>
      <c r="N38" s="133" t="inlineStr">
        <is>
          <t>92</t>
        </is>
      </c>
      <c r="O38" s="133" t="inlineStr">
        <is>
          <t>38g / Unknown seconds</t>
        </is>
      </c>
      <c r="P38" s="133" t="inlineStr">
        <is>
          <t>DF64 Gen 2 (64mm Flat Burr — aftermarket upgrade)</t>
        </is>
      </c>
      <c r="Q38" s="135" t="n">
        <v>12</v>
      </c>
      <c r="R38" s="133" t="inlineStr">
        <is>
          <t>Passionfruit; Plum Wine; Mango</t>
        </is>
      </c>
      <c r="S38" s="133"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8" s="133"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8" s="133" t="inlineStr">
        <is>
          <t>Solo visit — Zerah Roasters, Singapore, 26 May 2026. Barista explained fermentation process, flat-bottom geometry rationale, 1:16 ratio decision in detail. Warm educational session on 2nd floor cosy space. Barista recommended Glyph Supply Co (Jurong).</t>
        </is>
      </c>
      <c r="V38" s="133" t="inlineStr">
        <is>
          <t>Infographic (Entry #025 Ester Bomb) + Google Maps review + Google review authored by Hari</t>
        </is>
      </c>
      <c r="W38" s="134">
        <f>IF(OR(ISNUMBER(SEARCH("gesha",G38)),ISNUMBER(SEARCH("geisha",G38))),"⭐ GESHA","")</f>
        <v/>
      </c>
      <c r="X38" s="133" t="inlineStr">
        <is>
          <t>465 North Bridge Rd, #02-5063, Singapore 188720</t>
        </is>
      </c>
    </row>
    <row r="39" ht="88.5" customHeight="1" s="130">
      <c r="A39" s="132" t="n">
        <v>46183</v>
      </c>
      <c r="B39" s="133" t="inlineStr">
        <is>
          <t>Singapore</t>
        </is>
      </c>
      <c r="C39" s="133" t="inlineStr">
        <is>
          <t>Nylon Coffee Roasters</t>
        </is>
      </c>
      <c r="D39" s="133" t="inlineStr">
        <is>
          <t>Colombia Juan Martin</t>
        </is>
      </c>
      <c r="E39" s="133" t="inlineStr">
        <is>
          <t>Banexport</t>
        </is>
      </c>
      <c r="F39" s="133" t="inlineStr">
        <is>
          <t>Colombia</t>
        </is>
      </c>
      <c r="G39" s="133" t="inlineStr">
        <is>
          <t>Red Striped Bourbon</t>
        </is>
      </c>
      <c r="H39" s="133" t="inlineStr">
        <is>
          <t>Washed</t>
        </is>
      </c>
      <c r="I39" s="133" t="inlineStr">
        <is>
          <t>Filter Roast</t>
        </is>
      </c>
      <c r="J39" s="133" t="inlineStr">
        <is>
          <t>xBloom (Flat-Bottom)</t>
        </is>
      </c>
      <c r="K39" s="133" t="inlineStr">
        <is>
          <t>Unknown</t>
        </is>
      </c>
      <c r="L39" s="133" t="inlineStr">
        <is>
          <t>Unknown</t>
        </is>
      </c>
      <c r="M39" s="133" t="inlineStr">
        <is>
          <t>1:17</t>
        </is>
      </c>
      <c r="N39" s="133" t="inlineStr">
        <is>
          <t>Unknown</t>
        </is>
      </c>
      <c r="O39" s="133" t="inlineStr">
        <is>
          <t>Unknown</t>
        </is>
      </c>
      <c r="P39" s="133" t="inlineStr">
        <is>
          <t>Mahlkönig EK Omnia (98mm Flat Burr)</t>
        </is>
      </c>
      <c r="Q39" s="135" t="n">
        <v>7.5</v>
      </c>
      <c r="R39" s="133" t="inlineStr">
        <is>
          <t>Berry, Red Plum, Nectarine, Orange Tea</t>
        </is>
      </c>
      <c r="S39" s="133" t="inlineStr">
        <is>
          <t>Orange-type aromatic afterfeel when hot — bright and encapsulating. Clearly fruity character throughout. Mellows cleanly as it cools; sugars emerge distinctly at mid-cool phase. Nice and light overall — 1:17 lean ratio working well on this varietal.</t>
        </is>
      </c>
      <c r="T39" s="133"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9" s="133" t="inlineStr">
        <is>
          <t>Solo visit — office lunch break, 13:15</t>
        </is>
      </c>
      <c r="V39" s="133" t="inlineStr">
        <is>
          <t>Direct observation + bag photo (retail stock)</t>
        </is>
      </c>
      <c r="W39" s="134">
        <f>IF(OR(ISNUMBER(SEARCH("gesha",G39)),ISNUMBER(SEARCH("geisha",G39))),"⭐ GESHA","")</f>
        <v/>
      </c>
      <c r="X39" s="133" t="inlineStr">
        <is>
          <t>4 Everton Park, #01-40, Singapore 080004</t>
        </is>
      </c>
    </row>
    <row r="40" ht="59.25" customHeight="1" s="130">
      <c r="A40" s="132" t="n">
        <v>46186</v>
      </c>
      <c r="B40" s="133" t="inlineStr">
        <is>
          <t>Singapore</t>
        </is>
      </c>
      <c r="C40" s="133" t="inlineStr">
        <is>
          <t>Kurasu</t>
        </is>
      </c>
      <c r="D40" s="133" t="inlineStr">
        <is>
          <t>Rwanda Nkara Soil Project Lot 1204</t>
        </is>
      </c>
      <c r="E40" s="133" t="inlineStr">
        <is>
          <t>Nkara Soil Project</t>
        </is>
      </c>
      <c r="F40" s="133" t="inlineStr">
        <is>
          <t>Rwanda</t>
        </is>
      </c>
      <c r="G40" s="133" t="inlineStr">
        <is>
          <t>Red Bourbon</t>
        </is>
      </c>
      <c r="H40" s="133" t="inlineStr">
        <is>
          <t>Fully Washed</t>
        </is>
      </c>
      <c r="I40" s="133" t="inlineStr">
        <is>
          <t>Filter Roast</t>
        </is>
      </c>
      <c r="J40" s="133" t="inlineStr">
        <is>
          <t>V60 Pour-over (Conical)</t>
        </is>
      </c>
      <c r="K40" s="133" t="inlineStr">
        <is>
          <t>Unknown</t>
        </is>
      </c>
      <c r="L40" s="133" t="inlineStr">
        <is>
          <t>Unknown</t>
        </is>
      </c>
      <c r="M40" s="133" t="inlineStr">
        <is>
          <t>Unknown</t>
        </is>
      </c>
      <c r="N40" s="133" t="inlineStr">
        <is>
          <t>Unknown</t>
        </is>
      </c>
      <c r="O40" s="133" t="inlineStr">
        <is>
          <t>Unknown</t>
        </is>
      </c>
      <c r="P40" s="133" t="inlineStr">
        <is>
          <t>Mahlkönig EK43 (98mm Flat Burr)</t>
        </is>
      </c>
      <c r="Q40" s="135" t="n">
        <v>9.27</v>
      </c>
      <c r="R40" s="133" t="inlineStr">
        <is>
          <t>Floral aroma, taste of mandarin orange, baked apple and grapefruit, brown sugar-like sweetness and accompanying aftertaste</t>
        </is>
      </c>
      <c r="S40" s="133"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40" s="133"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40" s="133" t="inlineStr">
        <is>
          <t>Solo visit — 13 Jun 2026</t>
        </is>
      </c>
      <c r="V40" s="133" t="inlineStr">
        <is>
          <t>Direct observation + bean card photo</t>
        </is>
      </c>
      <c r="W40" s="134">
        <f>IF(OR(ISNUMBER(SEARCH("gesha",G40)),ISNUMBER(SEARCH("geisha",G40))),"⭐ GESHA","")</f>
        <v/>
      </c>
      <c r="X40" s="133" t="inlineStr">
        <is>
          <t>261 Waterloo St, #01-24, Singapore 180261</t>
        </is>
      </c>
    </row>
    <row r="41" ht="49.5" customHeight="1" s="130">
      <c r="A41" s="132" t="n">
        <v>46187</v>
      </c>
      <c r="B41" s="133" t="inlineStr">
        <is>
          <t>Singapore</t>
        </is>
      </c>
      <c r="C41" s="133" t="inlineStr">
        <is>
          <t>KerYi Coffee</t>
        </is>
      </c>
      <c r="D41" s="133" t="inlineStr">
        <is>
          <t>Colombia Finca La Esmaralda</t>
        </is>
      </c>
      <c r="E41" s="133" t="inlineStr">
        <is>
          <t>Finca La Esmaralda</t>
        </is>
      </c>
      <c r="F41" s="133" t="inlineStr">
        <is>
          <t>Colombia</t>
        </is>
      </c>
      <c r="G41" s="133" t="inlineStr">
        <is>
          <t>Gesha</t>
        </is>
      </c>
      <c r="H41" s="133" t="inlineStr">
        <is>
          <t>Honey</t>
        </is>
      </c>
      <c r="I41" s="133" t="inlineStr">
        <is>
          <t>Light Roast</t>
        </is>
      </c>
      <c r="J41" s="133" t="inlineStr">
        <is>
          <t>Hario Switch (Immersion/Percolation Hybrid)</t>
        </is>
      </c>
      <c r="K41" s="133" t="n">
        <v>15</v>
      </c>
      <c r="L41" s="133" t="n">
        <v>210</v>
      </c>
      <c r="M41" s="133" t="inlineStr">
        <is>
          <t>1:14</t>
        </is>
      </c>
      <c r="N41" s="133" t="inlineStr">
        <is>
          <t>91 → 78</t>
        </is>
      </c>
      <c r="O41" s="133" t="inlineStr">
        <is>
          <t>60g (~4:1)</t>
        </is>
      </c>
      <c r="P41" s="133" t="inlineStr">
        <is>
          <t>Ditting 98mm flat burr</t>
        </is>
      </c>
      <c r="Q41" s="135" t="n">
        <v>15</v>
      </c>
      <c r="R41" s="133" t="inlineStr">
        <is>
          <t>Citrus, white florals, lychee, sugar-cane sweetness</t>
        </is>
      </c>
      <c r="S41" s="133"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41" s="133"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41" s="133" t="inlineStr">
        <is>
          <t>Solo relaxation visit — Sunday 14 Jun 2026, 11 AM; barista-led brew interview (grinder/ratio/temp confirmed)</t>
        </is>
      </c>
      <c r="V41" s="133" t="inlineStr">
        <is>
          <t>Direct observation + menu photo + barista interview</t>
        </is>
      </c>
      <c r="W41" s="134">
        <f>IF(OR(ISNUMBER(SEARCH("gesha",G41)),ISNUMBER(SEARCH("geisha",G41))),"⭐ GESHA","")</f>
        <v/>
      </c>
      <c r="X41" s="133" t="inlineStr">
        <is>
          <t>161 Lavender St, #01-08, Singapore 338750</t>
        </is>
      </c>
    </row>
    <row r="42" ht="39.75" customHeight="1" s="130">
      <c r="A42" s="132" t="n">
        <v>46192</v>
      </c>
      <c r="B42" s="133" t="inlineStr">
        <is>
          <t>Singapore</t>
        </is>
      </c>
      <c r="C42" s="133" t="inlineStr">
        <is>
          <t>Corner Corner</t>
        </is>
      </c>
      <c r="D42" s="133" t="inlineStr">
        <is>
          <t>Malaysia My Liberica</t>
        </is>
      </c>
      <c r="E42" s="133" t="inlineStr">
        <is>
          <t>My Liberica (Jason Liew), Kulai, Johor</t>
        </is>
      </c>
      <c r="F42" s="133" t="inlineStr">
        <is>
          <t>Malaysia, Kulai, Johor</t>
        </is>
      </c>
      <c r="G42" s="133" t="inlineStr">
        <is>
          <t>Liberica (Coffea liberica)</t>
        </is>
      </c>
      <c r="H42" s="133" t="inlineStr">
        <is>
          <t>JH Natural (Jekyll &amp; Hyde controlled fermentation - proprietary My Liberica process)</t>
        </is>
      </c>
      <c r="I42" s="133" t="inlineStr">
        <is>
          <t>Light</t>
        </is>
      </c>
      <c r="J42" s="133" t="inlineStr">
        <is>
          <t>Pour Over (filter)</t>
        </is>
      </c>
      <c r="K42" s="133" t="n">
        <v>13</v>
      </c>
      <c r="L42" s="133" t="n">
        <v>190</v>
      </c>
      <c r="M42" s="133" t="inlineStr">
        <is>
          <t>1:14.6</t>
        </is>
      </c>
      <c r="N42" s="133" t="inlineStr">
        <is>
          <t>90-92 (steady throughout)</t>
        </is>
      </c>
      <c r="O42" s="133" t="inlineStr">
        <is>
          <t>Unknown</t>
        </is>
      </c>
      <c r="P42" s="133" t="inlineStr">
        <is>
          <t>Timemore (conical Gold burr, coarse)</t>
        </is>
      </c>
      <c r="Q42" s="135" t="n">
        <v>13</v>
      </c>
      <c r="R42" s="133" t="inlineStr">
        <is>
          <t>Root beer / Tropical fruit punch / Raspberry candy / Rambutan / Longan / Sarsi (roaster: One Half)</t>
        </is>
      </c>
      <c r="S42" s="133" t="inlineStr">
        <is>
          <t>Interesting and approachable - 'not so funky but different for sure'; picked out longan-type fruit. First non-arabica capture in the archive; landed as a positive novelty rather than rejected.</t>
        </is>
      </c>
      <c r="T42" s="133"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2" s="133" t="inlineStr">
        <is>
          <t>Roaster: One Half (light-roast filter program). Corner Corner is a vinyl-record listening bar/cafe; walls of LPs, warm low lighting, Japanese-style carafe-and-cup serve. Friday 19 June 2026, ~15:15. Rated awesome by Hari.</t>
        </is>
      </c>
      <c r="V42" s="133" t="inlineStr">
        <is>
          <t>Field audit (Claude)</t>
        </is>
      </c>
      <c r="W42" s="134">
        <f>IF(OR(ISNUMBER(SEARCH("gesha",G42)),ISNUMBER(SEARCH("geisha",G42))),"⭐ GESHA","")</f>
        <v/>
      </c>
      <c r="X42" s="133" t="inlineStr">
        <is>
          <t>16 Duxton Rd, Singapore 089482</t>
        </is>
      </c>
    </row>
    <row r="43" ht="59.25" customHeight="1" s="130">
      <c r="A43" s="132" t="n">
        <v>46192</v>
      </c>
      <c r="B43" s="133" t="inlineStr">
        <is>
          <t>Singapore</t>
        </is>
      </c>
      <c r="C43" s="133" t="inlineStr">
        <is>
          <t>Equate Coffee</t>
        </is>
      </c>
      <c r="D43" s="133" t="inlineStr">
        <is>
          <t>Colombia Huila La Pradera</t>
        </is>
      </c>
      <c r="E43" s="133" t="inlineStr">
        <is>
          <t>La Pradera</t>
        </is>
      </c>
      <c r="F43" s="133" t="inlineStr">
        <is>
          <t>Colombia, Huila</t>
        </is>
      </c>
      <c r="G43" s="133" t="inlineStr">
        <is>
          <t>Gesha</t>
        </is>
      </c>
      <c r="H43" s="133" t="inlineStr">
        <is>
          <t>Washed</t>
        </is>
      </c>
      <c r="I43" s="133" t="inlineStr">
        <is>
          <t>Unknown</t>
        </is>
      </c>
      <c r="J43" s="133" t="inlineStr">
        <is>
          <t>Pour Over (Orea V4)</t>
        </is>
      </c>
      <c r="K43" s="133" t="n">
        <v>15</v>
      </c>
      <c r="L43" s="133" t="n">
        <v>210</v>
      </c>
      <c r="M43" s="133" t="inlineStr">
        <is>
          <t>1:14</t>
        </is>
      </c>
      <c r="N43" s="133" t="inlineStr">
        <is>
          <t>90-92 (pours 1-2), 68-70 (pours 3-4)</t>
        </is>
      </c>
      <c r="O43" s="133" t="inlineStr">
        <is>
          <t>Unknown</t>
        </is>
      </c>
      <c r="P43" s="133" t="inlineStr">
        <is>
          <t>EK43</t>
        </is>
      </c>
      <c r="Q43" s="135" t="n">
        <v>13</v>
      </c>
      <c r="R43" s="133" t="inlineStr">
        <is>
          <t>Peach Jam / Orange / Honey Sweetness</t>
        </is>
      </c>
      <c r="S43" s="133" t="inlineStr">
        <is>
          <t>Average - strong isolated peach note but jam/honey sweetness underdeveloped; suspects 1:15 ratio would have balanced acid/sweetness better</t>
        </is>
      </c>
      <c r="T43" s="133"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3" s="133" t="inlineStr">
        <is>
          <t>2nd-floor minimalist cafe; pastel interiors, spacious, dog-friendly; cakes-only food menu (banana cake); benchmark ambience per Hari.</t>
        </is>
      </c>
      <c r="V43" s="133" t="inlineStr">
        <is>
          <t>Field audit (Claude)</t>
        </is>
      </c>
      <c r="W43" s="134">
        <f>IF(OR(ISNUMBER(SEARCH("gesha",G43)),ISNUMBER(SEARCH("geisha",G43))),"⭐ GESHA","")</f>
        <v/>
      </c>
      <c r="X43" s="133" t="inlineStr">
        <is>
          <t>1 Tanjong Pagar Plaza, #02-25, Singapore 082001</t>
        </is>
      </c>
    </row>
    <row r="44" ht="49.5" customHeight="1" s="130">
      <c r="A44" s="132" t="n">
        <v>46194</v>
      </c>
      <c r="B44" s="133" t="inlineStr">
        <is>
          <t>Singapore</t>
        </is>
      </c>
      <c r="C44" s="133" t="inlineStr">
        <is>
          <t>Apartment Roastery</t>
        </is>
      </c>
      <c r="D44" s="133" t="inlineStr">
        <is>
          <t>Colombia Javier Quintero</t>
        </is>
      </c>
      <c r="E44" s="133" t="inlineStr">
        <is>
          <t>Javier Quintero, Buena Vista Farm</t>
        </is>
      </c>
      <c r="F44" s="133" t="inlineStr">
        <is>
          <t>Inza, Cauca, Colombia</t>
        </is>
      </c>
      <c r="G44" s="133" t="inlineStr">
        <is>
          <t>Bourbon Aruzi</t>
        </is>
      </c>
      <c r="H44" s="133" t="inlineStr">
        <is>
          <t>Washed</t>
        </is>
      </c>
      <c r="I44" s="133" t="inlineStr">
        <is>
          <t>Light (Filter Roast)</t>
        </is>
      </c>
      <c r="J44" s="133" t="inlineStr">
        <is>
          <t>Pour-over (Hand Brew)</t>
        </is>
      </c>
      <c r="K44" s="133" t="n">
        <v>13</v>
      </c>
      <c r="L44" s="133" t="n">
        <v>220</v>
      </c>
      <c r="M44" s="133" t="inlineStr">
        <is>
          <t>1:16.9</t>
        </is>
      </c>
      <c r="N44" s="133" t="inlineStr">
        <is>
          <t>95</t>
        </is>
      </c>
      <c r="O44" s="133" t="inlineStr">
        <is>
          <t>Unknown</t>
        </is>
      </c>
      <c r="P44" s="133" t="inlineStr">
        <is>
          <t>Mahlkönig EK43</t>
        </is>
      </c>
      <c r="Q44" s="135" t="n">
        <v>9.5</v>
      </c>
      <c r="R44" s="133" t="inlineStr">
        <is>
          <t>White peach; blackberry; jasmine</t>
        </is>
      </c>
      <c r="S44" s="133" t="inlineStr">
        <is>
          <t>White peach dominant, well-balanced; clean washed expression, very enjoyable</t>
        </is>
      </c>
      <c r="T44" s="133"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4" s="133" t="inlineStr">
        <is>
          <t>Sister branch of Apartment (Selegie Rd), located Jalan Riang, Serangoon Gardens. First visit to this branch.</t>
        </is>
      </c>
      <c r="V44" s="133" t="inlineStr">
        <is>
          <t>Field audit (Claude)</t>
        </is>
      </c>
      <c r="W44" s="134">
        <f>IF(OR(ISNUMBER(SEARCH("gesha",G44)),ISNUMBER(SEARCH("geisha",G44))),"⭐ GESHA","")</f>
        <v/>
      </c>
      <c r="X44" s="133" t="inlineStr">
        <is>
          <t>Jln Riang, #15-9, Singapore 358987</t>
        </is>
      </c>
    </row>
    <row r="45" ht="78.75" customHeight="1" s="130">
      <c r="A45" s="132" t="n">
        <v>46198</v>
      </c>
      <c r="B45" s="133" t="inlineStr">
        <is>
          <t>Singapore</t>
        </is>
      </c>
      <c r="C45" s="133" t="inlineStr">
        <is>
          <t>PPP Coffee (Funan)</t>
        </is>
      </c>
      <c r="D45" s="133" t="inlineStr">
        <is>
          <t>Ethiopia Suke Quto</t>
        </is>
      </c>
      <c r="E45" s="133" t="inlineStr">
        <is>
          <t>Suke Quto Farm (Tesfaye Bekele)</t>
        </is>
      </c>
      <c r="F45" s="133" t="inlineStr">
        <is>
          <t>Ethiopia</t>
        </is>
      </c>
      <c r="G45" s="133" t="inlineStr">
        <is>
          <t>Welicho &amp; Kurume (blend)</t>
        </is>
      </c>
      <c r="H45" s="133" t="inlineStr">
        <is>
          <t>Fully-Washed</t>
        </is>
      </c>
      <c r="I45" s="133" t="inlineStr">
        <is>
          <t>Light Filter Roast</t>
        </is>
      </c>
      <c r="J45" s="133" t="inlineStr">
        <is>
          <t>V60 Pour-over (Conical)</t>
        </is>
      </c>
      <c r="K45" s="133" t="n">
        <v>15</v>
      </c>
      <c r="L45" s="133" t="n">
        <v>225</v>
      </c>
      <c r="M45" s="133" t="inlineStr">
        <is>
          <t>1:15</t>
        </is>
      </c>
      <c r="N45" s="133" t="inlineStr">
        <is>
          <t>Unknown</t>
        </is>
      </c>
      <c r="O45" s="133" t="inlineStr">
        <is>
          <t>Unknown</t>
        </is>
      </c>
      <c r="P45" s="133" t="inlineStr">
        <is>
          <t>Mazzer MM (83mm Flat Burr)</t>
        </is>
      </c>
      <c r="Q45" s="135" t="n">
        <v>9</v>
      </c>
      <c r="R45" s="133" t="inlineStr">
        <is>
          <t>Nectarine, White Florals, Citrus</t>
        </is>
      </c>
      <c r="S45" s="133"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5" s="133"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5" s="133" t="inlineStr">
        <is>
          <t>Solo visit — 25 Jun 2026; Funan mall location; bean card photographed; no barista consultation</t>
        </is>
      </c>
      <c r="V45" s="133" t="inlineStr">
        <is>
          <t>Direct observation + bean card photo + menu photo</t>
        </is>
      </c>
      <c r="W45" s="134">
        <f>IF(OR(ISNUMBER(SEARCH("gesha",G45)),ISNUMBER(SEARCH("geisha",G45))),"⭐ GESHA","")</f>
        <v/>
      </c>
      <c r="X45" s="133" t="inlineStr">
        <is>
          <t>107 N Bridge Rd, #02-19, Singapore 179105</t>
        </is>
      </c>
    </row>
    <row r="46" ht="98.25" customHeight="1" s="130">
      <c r="A46" s="132" t="n">
        <v>46200</v>
      </c>
      <c r="B46" s="133" t="inlineStr">
        <is>
          <t>Singapore</t>
        </is>
      </c>
      <c r="C46" s="133" t="inlineStr">
        <is>
          <t>Apartment Roastery</t>
        </is>
      </c>
      <c r="D46" s="133" t="inlineStr">
        <is>
          <t>China Yunnan Meng Hai</t>
        </is>
      </c>
      <c r="E46" s="133" t="inlineStr">
        <is>
          <t>Blang and Dai Family Farms</t>
        </is>
      </c>
      <c r="F46" s="133" t="inlineStr">
        <is>
          <t>Menghai, Xishuangbanna, Yunnan, China</t>
        </is>
      </c>
      <c r="G46" s="133" t="inlineStr">
        <is>
          <t>Purple Leaf Caturra</t>
        </is>
      </c>
      <c r="H46" s="133" t="inlineStr">
        <is>
          <t>Double Washed</t>
        </is>
      </c>
      <c r="I46" s="133" t="inlineStr">
        <is>
          <t>Light (Filter Roast)</t>
        </is>
      </c>
      <c r="J46" s="133" t="inlineStr">
        <is>
          <t>Pour-over (Hand Brew)</t>
        </is>
      </c>
      <c r="K46" s="133" t="n">
        <v>13</v>
      </c>
      <c r="L46" s="133" t="n">
        <v>215</v>
      </c>
      <c r="M46" s="133" t="inlineStr">
        <is>
          <t>1:16.5</t>
        </is>
      </c>
      <c r="N46" s="133" t="inlineStr">
        <is>
          <t>95</t>
        </is>
      </c>
      <c r="O46" s="133" t="inlineStr">
        <is>
          <t>4-pour progressive ~30s intervals; Bloom 30g; to 120g (+90g); to 180g (+60g); to 215g (+35g). Descending pour volumes confirmed by barista.</t>
        </is>
      </c>
      <c r="P46" s="133" t="inlineStr">
        <is>
          <t>Mahlkönig EK43</t>
        </is>
      </c>
      <c r="Q46" s="135" t="n">
        <v>9.5</v>
      </c>
      <c r="R46" s="133" t="inlineStr">
        <is>
          <t>Dried tangerine peel; red apple; pandan (origin card) / Dried orange peel; red apple; pandan (menu — discrepancy flagged)</t>
        </is>
      </c>
      <c r="S46" s="133" t="inlineStr">
        <is>
          <t>Bright vibrant opening (hot); crisp malic clarity; mellowed gracefully at cool with no dominant note; pandan as background aromatic binder; well-balanced; no bitterness; genuinely pleasant surprise for non-core-palate origin</t>
        </is>
      </c>
      <c r="T46" s="133"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6" s="133" t="inlineStr">
        <is>
          <t>Second visit to Apartment (Jalan Riang); Saturday 27 Jun 2026, 10:45am. Menu note: dried orange peel (menu) vs dried tangerine peel (origin card) — origin card used as authoritative. First Chinese-origin entry in archive (entry #36).</t>
        </is>
      </c>
      <c r="V46" s="133" t="inlineStr">
        <is>
          <t>Field audit (Claude)</t>
        </is>
      </c>
      <c r="W46" s="134">
        <f>IF(OR(ISNUMBER(SEARCH("gesha",G46)),ISNUMBER(SEARCH("geisha",G46))),"⭐ GESHA","")</f>
        <v/>
      </c>
      <c r="X46" s="133" t="inlineStr">
        <is>
          <t>Jln Riang, #15-9, Singapore 358987</t>
        </is>
      </c>
    </row>
    <row r="47" ht="108" customHeight="1" s="130">
      <c r="A47" s="132" t="n">
        <v>46201</v>
      </c>
      <c r="B47" s="133" t="inlineStr">
        <is>
          <t>Singapore</t>
        </is>
      </c>
      <c r="C47" s="133" t="inlineStr">
        <is>
          <t>KerYi Coffee</t>
        </is>
      </c>
      <c r="D47" s="133" t="inlineStr">
        <is>
          <t>Ethiopia Urabeast G1</t>
        </is>
      </c>
      <c r="E47" s="133" t="inlineStr">
        <is>
          <t>Unknown</t>
        </is>
      </c>
      <c r="F47" s="133" t="inlineStr">
        <is>
          <t>Uraga, Guji, Ethiopia</t>
        </is>
      </c>
      <c r="G47" s="133" t="inlineStr">
        <is>
          <t>74110 / 74112</t>
        </is>
      </c>
      <c r="H47" s="133" t="inlineStr">
        <is>
          <t>Mosto Fermentation</t>
        </is>
      </c>
      <c r="I47" s="133" t="inlineStr">
        <is>
          <t>Filter Roast</t>
        </is>
      </c>
      <c r="J47" s="133" t="inlineStr">
        <is>
          <t>Hario Switch (Immersion/Percolation Hybrid)</t>
        </is>
      </c>
      <c r="K47" s="133" t="n">
        <v>15</v>
      </c>
      <c r="L47" s="133" t="n">
        <v>210</v>
      </c>
      <c r="M47" s="133" t="inlineStr">
        <is>
          <t>1:14</t>
        </is>
      </c>
      <c r="N47" s="133" t="inlineStr">
        <is>
          <t>88 → 70</t>
        </is>
      </c>
      <c r="O47" s="133" t="inlineStr">
        <is>
          <t>Unknown</t>
        </is>
      </c>
      <c r="P47" s="133" t="inlineStr">
        <is>
          <t>Ditting 98mm flat burr</t>
        </is>
      </c>
      <c r="Q47" s="135" t="n">
        <v>13</v>
      </c>
      <c r="R47" s="133" t="inlineStr">
        <is>
          <t>Winey; Raspberry; Purple grapes</t>
        </is>
      </c>
      <c r="S47" s="133"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7" s="133"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7" s="133" t="inlineStr">
        <is>
          <t>Solo visit — 28 Jun 2026, 10:30AM. Keryi return visit (Entry #31 ref: Colombia Finca La Esmaralda). First mosto fermentation process in archive.</t>
        </is>
      </c>
      <c r="V47" s="133" t="inlineStr">
        <is>
          <t>Field audit (Claude) — direct barista confirmation</t>
        </is>
      </c>
      <c r="W47" s="134">
        <f>IF(OR(ISNUMBER(SEARCH("gesha",G47)),ISNUMBER(SEARCH("geisha",G47))),"⭐ GESHA","")</f>
        <v/>
      </c>
      <c r="X47" s="133" t="inlineStr">
        <is>
          <t>161 Lavender St, #01-08, Singapore 338750</t>
        </is>
      </c>
    </row>
    <row r="48" ht="78.75" customHeight="1" s="130">
      <c r="A48" s="132" t="n">
        <v>46201</v>
      </c>
      <c r="B48" s="133" t="inlineStr">
        <is>
          <t>Singapore</t>
        </is>
      </c>
      <c r="C48" s="133" t="inlineStr">
        <is>
          <t>Asylum Coffeehouse</t>
        </is>
      </c>
      <c r="D48" s="133" t="inlineStr">
        <is>
          <t>Yellow Sudan Rume</t>
        </is>
      </c>
      <c r="E48" s="133" t="inlineStr">
        <is>
          <t>Felipe Arcila - Jardines Del Eden</t>
        </is>
      </c>
      <c r="F48" s="133" t="inlineStr">
        <is>
          <t>Pijiao, Quindío, Colombia</t>
        </is>
      </c>
      <c r="G48" s="133" t="inlineStr">
        <is>
          <t>Sudan Rume (Yellow)</t>
        </is>
      </c>
      <c r="H48" s="133" t="inlineStr">
        <is>
          <t>Extended Fermentation Natural (EF2)</t>
        </is>
      </c>
      <c r="I48" s="133" t="inlineStr">
        <is>
          <t>Filter Roast</t>
        </is>
      </c>
      <c r="J48" s="133" t="inlineStr">
        <is>
          <t>April Brewer (Flat-Bottom)</t>
        </is>
      </c>
      <c r="K48" s="133" t="n">
        <v>15</v>
      </c>
      <c r="L48" s="133" t="n">
        <v>240</v>
      </c>
      <c r="M48" s="133" t="inlineStr">
        <is>
          <t>1:16</t>
        </is>
      </c>
      <c r="N48" s="133" t="inlineStr">
        <is>
          <t>90</t>
        </is>
      </c>
      <c r="O48" s="133" t="inlineStr">
        <is>
          <t>110g (first pour) → 240g (second pour)</t>
        </is>
      </c>
      <c r="P48" s="133" t="inlineStr">
        <is>
          <t>Option-O Lagom P64</t>
        </is>
      </c>
      <c r="Q48" s="135" t="n">
        <v>14</v>
      </c>
      <c r="R48" s="133" t="inlineStr">
        <is>
          <t>Lemongrass, Vanilla, Red Fruits, Brown Sugar</t>
        </is>
      </c>
      <c r="S48" s="133"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8" s="133"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8" s="133" t="inlineStr">
        <is>
          <t>Solo visit — 28 Jun 2026, 11:06AM. Second stop of dual-session day (Entry #37 Keryi Coffee mosto fermentation same morning). Receipt SGD 14.00 confirmed.</t>
        </is>
      </c>
      <c r="V48" s="133" t="inlineStr">
        <is>
          <t>Field audit (Claude) — bean card + receipt + hardware photos</t>
        </is>
      </c>
      <c r="W48" s="134">
        <f>IF(OR(ISNUMBER(SEARCH("gesha",G48)),ISNUMBER(SEARCH("geisha",G48))),"⭐ GESHA","")</f>
        <v/>
      </c>
      <c r="X48" s="133" t="inlineStr">
        <is>
          <t>311 Jln Besar, Singapore 208970</t>
        </is>
      </c>
    </row>
    <row r="49" ht="165.75" customHeight="1" s="130">
      <c r="A49" s="132" t="n">
        <v>46203</v>
      </c>
      <c r="B49" s="133" t="inlineStr">
        <is>
          <t>Singapore</t>
        </is>
      </c>
      <c r="C49" s="133" t="inlineStr">
        <is>
          <t>2050 Coffee</t>
        </is>
      </c>
      <c r="D49" s="133" t="inlineStr">
        <is>
          <t>Myanmar Arakan Mountain</t>
        </is>
      </c>
      <c r="E49" s="133" t="inlineStr">
        <is>
          <t>Asho Chin Coffee Association</t>
        </is>
      </c>
      <c r="F49" s="133" t="inlineStr">
        <is>
          <t>Magway, Myanmar</t>
        </is>
      </c>
      <c r="G49" s="133" t="inlineStr">
        <is>
          <t>Catimor</t>
        </is>
      </c>
      <c r="H49" s="133" t="inlineStr">
        <is>
          <t>Fully Washed &amp; Honey</t>
        </is>
      </c>
      <c r="I49" s="133" t="inlineStr">
        <is>
          <t>Light Roast</t>
        </is>
      </c>
      <c r="J49" s="133" t="inlineStr">
        <is>
          <t>Automated Tap Dispenser (Filter)</t>
        </is>
      </c>
      <c r="K49" s="133" t="inlineStr">
        <is>
          <t>N/A — batch-dispensed, no per-cup brew event</t>
        </is>
      </c>
      <c r="L49" s="133" t="inlineStr">
        <is>
          <t>N/A — batch-dispensed, no per-cup brew event</t>
        </is>
      </c>
      <c r="M49" s="133" t="inlineStr">
        <is>
          <t>N/A — batch-dispensed, no per-cup brew event</t>
        </is>
      </c>
      <c r="N49" s="133" t="inlineStr">
        <is>
          <t>N/A — batch-dispensed, no per-cup brew event</t>
        </is>
      </c>
      <c r="O49" s="133" t="inlineStr">
        <is>
          <t>Unknown</t>
        </is>
      </c>
      <c r="P49" s="133" t="inlineStr">
        <is>
          <t>N/A — batch-dispensed, no per-cup brew event</t>
        </is>
      </c>
      <c r="Q49" s="135" t="n">
        <v>6</v>
      </c>
      <c r="R49" s="133" t="inlineStr">
        <is>
          <t>Yellow Pear, Dried Fruits, Brown Sugar, Almond</t>
        </is>
      </c>
      <c r="S49" s="133"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9" s="133"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9" s="133"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9" s="133" t="inlineStr">
        <is>
          <t>Direct observation + bean card photo</t>
        </is>
      </c>
      <c r="W49" s="134">
        <f>IF(OR(ISNUMBER(SEARCH("gesha",G49)),ISNUMBER(SEARCH("geisha",G49))),"⭐ GESHA","")</f>
        <v/>
      </c>
      <c r="X49" s="133" t="inlineStr">
        <is>
          <t>267 Beach Rd, #01-01, Singapore 199545</t>
        </is>
      </c>
    </row>
    <row r="50" ht="49.5" customHeight="1" s="130">
      <c r="A50" s="132" t="n">
        <v>46204</v>
      </c>
      <c r="B50" s="133" t="inlineStr">
        <is>
          <t>Singapore</t>
        </is>
      </c>
      <c r="C50" s="133" t="inlineStr">
        <is>
          <t>Kyuukei Coffee</t>
        </is>
      </c>
      <c r="D50" s="133" t="inlineStr">
        <is>
          <t>Ethiopia Worka Chelchele</t>
        </is>
      </c>
      <c r="E50" s="133" t="inlineStr">
        <is>
          <t>Kyūkei Coffee (In-house roast) — confirmed via Instagram DM</t>
        </is>
      </c>
      <c r="F50" s="133" t="inlineStr">
        <is>
          <t>Gedeb, Gedeo Zone, Ethiopia</t>
        </is>
      </c>
      <c r="G50" s="133" t="inlineStr">
        <is>
          <t>Dega, Wolisho, Kurume (Landrace Triad)</t>
        </is>
      </c>
      <c r="H50" s="133" t="inlineStr">
        <is>
          <t>Washed</t>
        </is>
      </c>
      <c r="I50" s="133" t="inlineStr">
        <is>
          <t>Light</t>
        </is>
      </c>
      <c r="J50" s="133" t="inlineStr">
        <is>
          <t>Pour-over (Deep27, Flat-Bottom, Immersion-Assist) — confirmed by Kyūkei Coffee via Instagram DM</t>
        </is>
      </c>
      <c r="K50" s="133" t="n">
        <v>16</v>
      </c>
      <c r="L50" s="133" t="n">
        <v>240</v>
      </c>
      <c r="M50" s="133" t="inlineStr">
        <is>
          <t>1:15</t>
        </is>
      </c>
      <c r="N50" s="133" t="inlineStr">
        <is>
          <t>85 → 95 (ramped)</t>
        </is>
      </c>
      <c r="O50" s="133" t="inlineStr">
        <is>
          <t>30 seconds</t>
        </is>
      </c>
      <c r="P50" s="133" t="inlineStr">
        <is>
          <t>Unknown — Kyūkei DM did not address grinder; tall cylindrical flat-burr unit visible in bar photo, model unconfirmed</t>
        </is>
      </c>
      <c r="Q50" s="135" t="n">
        <v>9</v>
      </c>
      <c r="R50" s="133" t="inlineStr">
        <is>
          <t>Lemon, Peach, Bergamot, Apricot</t>
        </is>
      </c>
      <c r="S50" s="133"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50" s="133"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50" s="133" t="inlineStr">
        <is>
          <t>Solo visit — Kyūkei Coffee Maxwell lunch audit, 01 Jul 2026, 13:04</t>
        </is>
      </c>
      <c r="V50" s="133" t="inlineStr">
        <is>
          <t>Direct observation + receipt + barista confirmation</t>
        </is>
      </c>
      <c r="W50" s="134">
        <f>IF(OR(ISNUMBER(SEARCH("gesha",G50)),ISNUMBER(SEARCH("geisha",G50))),"⭐ GESHA","")</f>
        <v/>
      </c>
      <c r="X50" s="133" t="inlineStr">
        <is>
          <t>121 Bukit Merah Lane 1, #01-06, Singapore 150121</t>
        </is>
      </c>
    </row>
    <row r="51" ht="117.75" customHeight="1" s="130">
      <c r="A51" s="132" t="n">
        <v>46206</v>
      </c>
      <c r="B51" s="133" t="inlineStr">
        <is>
          <t>Singapore</t>
        </is>
      </c>
      <c r="C51" s="133" t="inlineStr">
        <is>
          <t>Zerah Roasters</t>
        </is>
      </c>
      <c r="D51" s="133" t="inlineStr">
        <is>
          <t>Finca Villarazo — Pink Bourbon</t>
        </is>
      </c>
      <c r="E51" s="133" t="inlineStr">
        <is>
          <t>Finca Villarazo</t>
        </is>
      </c>
      <c r="F51" s="133" t="inlineStr">
        <is>
          <t>Colombia</t>
        </is>
      </c>
      <c r="G51" s="133" t="inlineStr">
        <is>
          <t>Pink Bourbon</t>
        </is>
      </c>
      <c r="H51" s="133" t="inlineStr">
        <is>
          <t>Washed</t>
        </is>
      </c>
      <c r="I51" s="133" t="inlineStr">
        <is>
          <t>Filter Roast</t>
        </is>
      </c>
      <c r="J51" s="133" t="inlineStr">
        <is>
          <t>Pour-over (Orea V4 — Flat-Bottom)</t>
        </is>
      </c>
      <c r="K51" s="133" t="n">
        <v>15</v>
      </c>
      <c r="L51" s="133" t="n">
        <v>240</v>
      </c>
      <c r="M51" s="133" t="inlineStr">
        <is>
          <t>1:16</t>
        </is>
      </c>
      <c r="N51" s="133" t="inlineStr">
        <is>
          <t>92 (constant)</t>
        </is>
      </c>
      <c r="O51" s="133" t="inlineStr">
        <is>
          <t>50g / 40s (1:3.3 bloom ratio)</t>
        </is>
      </c>
      <c r="P51" s="133" t="inlineStr">
        <is>
          <t>DF83V (83mm Flat Burr)</t>
        </is>
      </c>
      <c r="Q51" s="135" t="n">
        <v>9</v>
      </c>
      <c r="R51" s="133" t="inlineStr">
        <is>
          <t>Lively and juicy; Pomegranate; Mandarin; Lingering Florals</t>
        </is>
      </c>
      <c r="S51" s="133"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51" s="133"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51" s="133"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51" s="133" t="inlineStr">
        <is>
          <t>Field audit (Claude) — bean card + barista confirmation</t>
        </is>
      </c>
      <c r="W51" s="134">
        <f>IF(OR(ISNUMBER(SEARCH("gesha",G51)),ISNUMBER(SEARCH("geisha",G51))),"⭐ GESHA","")</f>
        <v/>
      </c>
      <c r="X51" s="133" t="inlineStr">
        <is>
          <t>465 North Bridge Rd, #02-5063, Singapore 188720</t>
        </is>
      </c>
    </row>
    <row r="52" ht="88.5" customHeight="1" s="130">
      <c r="A52" s="132" t="n">
        <v>46207</v>
      </c>
      <c r="B52" s="133" t="inlineStr">
        <is>
          <t>Singapore</t>
        </is>
      </c>
      <c r="C52" s="133" t="inlineStr">
        <is>
          <t>Oaks Coffee Co.</t>
        </is>
      </c>
      <c r="D52" s="133" t="inlineStr">
        <is>
          <t>Floripondio 90 Hours</t>
        </is>
      </c>
      <c r="E52" s="133" t="inlineStr">
        <is>
          <t>Los Rodriguez</t>
        </is>
      </c>
      <c r="F52" s="133" t="inlineStr">
        <is>
          <t>Bolivia</t>
        </is>
      </c>
      <c r="G52" s="133" t="inlineStr">
        <is>
          <t>Pacamara</t>
        </is>
      </c>
      <c r="H52" s="133" t="inlineStr">
        <is>
          <t>Lactic Honey</t>
        </is>
      </c>
      <c r="I52" s="133" t="inlineStr">
        <is>
          <t>Filter Roast</t>
        </is>
      </c>
      <c r="J52" s="133" t="inlineStr">
        <is>
          <t>Origami Dripper (Flat-Bottom)</t>
        </is>
      </c>
      <c r="K52" s="133" t="n">
        <v>15</v>
      </c>
      <c r="L52" s="133" t="n">
        <v>240</v>
      </c>
      <c r="M52" s="133" t="inlineStr">
        <is>
          <t>1:16</t>
        </is>
      </c>
      <c r="N52" s="133" t="inlineStr">
        <is>
          <t>88 (constant)</t>
        </is>
      </c>
      <c r="O52" s="133" t="inlineStr">
        <is>
          <t>80-90g first pour (3-pour protocol)</t>
        </is>
      </c>
      <c r="P52" s="133" t="inlineStr">
        <is>
          <t>Option-O Lagom P80 (80mm Flat Burr)</t>
        </is>
      </c>
      <c r="Q52" s="135" t="n">
        <v>9</v>
      </c>
      <c r="R52" s="133" t="inlineStr">
        <is>
          <t>Mango; Passionfruit</t>
        </is>
      </c>
      <c r="S52" s="133" t="inlineStr">
        <is>
          <t>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is>
      </c>
      <c r="T52" s="133" t="inlineStr">
        <is>
          <t>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is>
      </c>
      <c r="U52" s="133" t="inlineStr">
        <is>
          <t>Solo visit — Oaks Coffee Co., Bukit Timah Road, 4 Jul 2026, 16:00. Café Day 4 of operations. Milestones: First Bolivia, First Pacamara, First Lactic Honey, First P80 platform. Barista warm and knowledgeable.</t>
        </is>
      </c>
      <c r="V52" s="133" t="inlineStr">
        <is>
          <t>Direct observation + bean card photo + barista confirmation</t>
        </is>
      </c>
      <c r="W52" s="134">
        <f>IF(OR(ISNUMBER(SEARCH("gesha",G52)),ISNUMBER(SEARCH("geisha",G52))),"⭐ GESHA","")</f>
        <v/>
      </c>
      <c r="X52" s="133" t="inlineStr">
        <is>
          <t>223 Upper Thomson Rd, Singapore 574355</t>
        </is>
      </c>
    </row>
    <row r="53" ht="117.75" customHeight="1" s="130">
      <c r="A53" s="132" t="n">
        <v>46208</v>
      </c>
      <c r="B53" s="133" t="inlineStr">
        <is>
          <t>Singapore</t>
        </is>
      </c>
      <c r="C53" s="133" t="inlineStr">
        <is>
          <t>Homeground Coffee Roasters</t>
        </is>
      </c>
      <c r="D53" s="133" t="inlineStr">
        <is>
          <t>Colombia Inmaculada Gesha Natural</t>
        </is>
      </c>
      <c r="E53" s="133" t="inlineStr">
        <is>
          <t>Inmaculada Estate</t>
        </is>
      </c>
      <c r="F53" s="133" t="inlineStr">
        <is>
          <t>Valle del Cauca, Colombia</t>
        </is>
      </c>
      <c r="G53" s="133" t="inlineStr">
        <is>
          <t>Gesha</t>
        </is>
      </c>
      <c r="H53" s="133" t="inlineStr">
        <is>
          <t>Natural</t>
        </is>
      </c>
      <c r="I53" s="133" t="inlineStr">
        <is>
          <t>Light</t>
        </is>
      </c>
      <c r="J53" s="133" t="inlineStr">
        <is>
          <t>Origami Dripper (Ceramic — Flat-Bottom Stand)</t>
        </is>
      </c>
      <c r="K53" s="133" t="n">
        <v>15</v>
      </c>
      <c r="L53" s="133" t="n">
        <v>247</v>
      </c>
      <c r="M53" s="133" t="inlineStr">
        <is>
          <t>1:16.5</t>
        </is>
      </c>
      <c r="N53" s="133" t="inlineStr">
        <is>
          <t>86-90</t>
        </is>
      </c>
      <c r="O53" s="133" t="inlineStr">
        <is>
          <t>Unknown</t>
        </is>
      </c>
      <c r="P53" s="133" t="inlineStr">
        <is>
          <t>Mahlkönig EK43 (98mm Flat Burr)</t>
        </is>
      </c>
      <c r="Q53" s="135" t="n">
        <v>19</v>
      </c>
      <c r="R53" s="133" t="inlineStr">
        <is>
          <t>Hibiscus, Pomegranate, Stewed Peach, Darjeeling Tea</t>
        </is>
      </c>
      <c r="S53" s="133"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3" s="133"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3" s="133" t="inlineStr">
        <is>
          <t>Father-daughter visit — Homeground Coffee Roasters Bukit Timah Experience Room; 5 Jul 2026 10:30 AM</t>
        </is>
      </c>
      <c r="V53" s="133" t="inlineStr">
        <is>
          <t>Field audit (Claude) — bean card + barista confirmed + direct observation</t>
        </is>
      </c>
      <c r="W53" s="134">
        <f>IF(OR(ISNUMBER(SEARCH("gesha",G53)),ISNUMBER(SEARCH("geisha",G53))),"⭐ GESHA","")</f>
        <v/>
      </c>
      <c r="X53" s="133" t="inlineStr">
        <is>
          <t>911 Bukit Timah Rd, Singapore 589622</t>
        </is>
      </c>
    </row>
    <row r="54" ht="88.5" customHeight="1" s="130">
      <c r="A54" s="132" t="n">
        <v>46208</v>
      </c>
      <c r="B54" s="133" t="inlineStr">
        <is>
          <t>Singapore</t>
        </is>
      </c>
      <c r="C54" s="133" t="inlineStr">
        <is>
          <t>Homeground Coffee Roasters</t>
        </is>
      </c>
      <c r="D54" s="133" t="inlineStr">
        <is>
          <t>Bolivia Los Rodriguez Caturra Washed</t>
        </is>
      </c>
      <c r="E54" s="133" t="inlineStr">
        <is>
          <t>Los Rodriguez</t>
        </is>
      </c>
      <c r="F54" s="133" t="inlineStr">
        <is>
          <t>Samaipata, Bolivia</t>
        </is>
      </c>
      <c r="G54" s="133" t="inlineStr">
        <is>
          <t>Caturra</t>
        </is>
      </c>
      <c r="H54" s="133" t="inlineStr">
        <is>
          <t>Washed</t>
        </is>
      </c>
      <c r="I54" s="133" t="inlineStr">
        <is>
          <t>Light</t>
        </is>
      </c>
      <c r="J54" s="133" t="inlineStr">
        <is>
          <t>Origami Dripper (Ceramic — Flat-Bottom Stand)</t>
        </is>
      </c>
      <c r="K54" s="133" t="n">
        <v>15</v>
      </c>
      <c r="L54" s="133" t="n">
        <v>244</v>
      </c>
      <c r="M54" s="133" t="inlineStr">
        <is>
          <t>1:16.2</t>
        </is>
      </c>
      <c r="N54" s="133" t="inlineStr">
        <is>
          <t>90-93</t>
        </is>
      </c>
      <c r="O54" s="133" t="inlineStr">
        <is>
          <t>Unknown</t>
        </is>
      </c>
      <c r="P54" s="133" t="inlineStr">
        <is>
          <t>Mahlkönig EK43 (98mm Flat Burr)</t>
        </is>
      </c>
      <c r="Q54" s="135" t="n">
        <v>10</v>
      </c>
      <c r="R54" s="133" t="inlineStr">
        <is>
          <t>Apricot, Apple, Honey</t>
        </is>
      </c>
      <c r="S54" s="133"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4" s="133"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4" s="133" t="inlineStr">
        <is>
          <t>Father-daughter visit — Homeground Coffee Roasters Bukit Timah Experience Room; 5 Jul 2026 10:30 AM; Aanya's cup</t>
        </is>
      </c>
      <c r="V54" s="133" t="inlineStr">
        <is>
          <t>Field audit (Claude) — bean card confirmed + direct observation</t>
        </is>
      </c>
      <c r="W54" s="134">
        <f>IF(OR(ISNUMBER(SEARCH("gesha",G54)),ISNUMBER(SEARCH("geisha",G54))),"⭐ GESHA","")</f>
        <v/>
      </c>
      <c r="X54" s="133" t="inlineStr">
        <is>
          <t>911 Bukit Timah Rd, Singapore 589622</t>
        </is>
      </c>
    </row>
    <row r="55" ht="88.5" customHeight="1" s="130">
      <c r="A55" s="132" t="n">
        <v>46208</v>
      </c>
      <c r="B55" s="133" t="inlineStr">
        <is>
          <t>Singapore</t>
        </is>
      </c>
      <c r="C55" s="133" t="inlineStr">
        <is>
          <t>Cowpresso Coffee Roasters</t>
        </is>
      </c>
      <c r="D55" s="133" t="inlineStr">
        <is>
          <t>Geisha Colombia Las Nubes</t>
        </is>
      </c>
      <c r="E55" s="133" t="inlineStr">
        <is>
          <t>Unknown</t>
        </is>
      </c>
      <c r="F55" s="133" t="inlineStr">
        <is>
          <t>Valle de Cauca, Colombia</t>
        </is>
      </c>
      <c r="G55" s="133" t="inlineStr">
        <is>
          <t>Geisha</t>
        </is>
      </c>
      <c r="H55" s="133" t="inlineStr">
        <is>
          <t>Natural</t>
        </is>
      </c>
      <c r="I55" s="133" t="inlineStr">
        <is>
          <t>Medium</t>
        </is>
      </c>
      <c r="J55" s="133" t="inlineStr">
        <is>
          <t>Pour-over (Cowpresso Custom 3-Hole Ceramic Dripper — Conical)</t>
        </is>
      </c>
      <c r="K55" s="133" t="n">
        <v>15</v>
      </c>
      <c r="L55" s="133" t="n">
        <v>225</v>
      </c>
      <c r="M55" s="133" t="inlineStr">
        <is>
          <t>1:15</t>
        </is>
      </c>
      <c r="N55" s="133" t="inlineStr">
        <is>
          <t>92</t>
        </is>
      </c>
      <c r="O55" s="133" t="inlineStr">
        <is>
          <t>Unknown</t>
        </is>
      </c>
      <c r="P55" s="133" t="inlineStr">
        <is>
          <t>DF83 (83mm Flat Burr) — barista confirmed</t>
        </is>
      </c>
      <c r="Q55" s="135" t="n">
        <v>9.9</v>
      </c>
      <c r="R55" s="133" t="inlineStr">
        <is>
          <t>Lychee, Strawberry, Blueberry, Floral, Lemons</t>
        </is>
      </c>
      <c r="S55" s="133"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5" s="133"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5" s="133"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5" s="133" t="inlineStr">
        <is>
          <t>Direct observation + bean bag photo + receipt + barista confirmation (Aung)</t>
        </is>
      </c>
      <c r="W55" s="134">
        <f>IF(OR(ISNUMBER(SEARCH("gesha",G55)),ISNUMBER(SEARCH("geisha",G55))),"⭐ GESHA","")</f>
        <v/>
      </c>
      <c r="X55" s="133" t="inlineStr">
        <is>
          <t>21 Lor Kilat, #01-07, Singapore 598123</t>
        </is>
      </c>
    </row>
    <row r="56" ht="108" customHeight="1" s="130">
      <c r="A56" s="132" t="n">
        <v>46209</v>
      </c>
      <c r="B56" s="133" t="inlineStr">
        <is>
          <t>Singapore</t>
        </is>
      </c>
      <c r="C56" s="133" t="inlineStr">
        <is>
          <t>Fluid Collective</t>
        </is>
      </c>
      <c r="D56" s="133" t="inlineStr">
        <is>
          <t>Alo Coffee — Natural Anaerobic Ethiopia 74158</t>
        </is>
      </c>
      <c r="E56" s="133" t="inlineStr">
        <is>
          <t>Tamiru Tadesse</t>
        </is>
      </c>
      <c r="F56" s="133" t="inlineStr">
        <is>
          <t>Ethiopia</t>
        </is>
      </c>
      <c r="G56" s="133" t="inlineStr">
        <is>
          <t>74158</t>
        </is>
      </c>
      <c r="H56" s="133" t="inlineStr">
        <is>
          <t>Natural Anaerobic</t>
        </is>
      </c>
      <c r="I56" s="133" t="inlineStr">
        <is>
          <t>Light</t>
        </is>
      </c>
      <c r="J56" s="133" t="inlineStr">
        <is>
          <t>Hario Switch (Flat-Bottom Immersion Hybrid)</t>
        </is>
      </c>
      <c r="K56" s="133" t="n">
        <v>15</v>
      </c>
      <c r="L56" s="133" t="n">
        <v>225</v>
      </c>
      <c r="M56" s="133" t="inlineStr">
        <is>
          <t>1:15</t>
        </is>
      </c>
      <c r="N56" s="133" t="inlineStr">
        <is>
          <t>70 → 90 → 70°C (Thermal Oscillation Protocol)</t>
        </is>
      </c>
      <c r="O56" s="133" t="inlineStr">
        <is>
          <t>Unknown</t>
        </is>
      </c>
      <c r="P56" s="133" t="inlineStr">
        <is>
          <t>Lagom P64</t>
        </is>
      </c>
      <c r="Q56" s="135" t="n">
        <v>11</v>
      </c>
      <c r="R56" s="133" t="inlineStr">
        <is>
          <t>Lychee | Purple Grape | White Peach</t>
        </is>
      </c>
      <c r="S56" s="133" t="inlineStr">
        <is>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is>
      </c>
      <c r="T56" s="133" t="inlineStr">
        <is>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is>
      </c>
      <c r="U56" s="133" t="inlineStr">
        <is>
          <t>Third visit to Fluid Collective, 6 July 2026, 13:10, lunch. Menu fully rotated — all three filter offerings new. First cup of two ordered today. Experimental mood — chose anaerobic. Barista confirmed: ratio 1:15, temp 70→90→70°C, standard Fluid protocol.</t>
        </is>
      </c>
      <c r="V56" s="133" t="inlineStr">
        <is>
          <t>Live Field Audit — Third Visit</t>
        </is>
      </c>
      <c r="W56" s="134">
        <f>IF(OR(ISNUMBER(SEARCH("gesha",G56)),ISNUMBER(SEARCH("geisha",G56))),"⭐ GESHA","")</f>
        <v/>
      </c>
      <c r="X56" s="133" t="inlineStr">
        <is>
          <t>24 Opal Cres, Singapore 328418</t>
        </is>
      </c>
    </row>
    <row r="57" ht="108" customHeight="1" s="130">
      <c r="A57" s="132" t="n">
        <v>46209</v>
      </c>
      <c r="B57" s="133" t="inlineStr">
        <is>
          <t>Singapore</t>
        </is>
      </c>
      <c r="C57" s="133" t="inlineStr">
        <is>
          <t>Fluid Collective</t>
        </is>
      </c>
      <c r="D57" s="133" t="inlineStr">
        <is>
          <t>Gara Agena</t>
        </is>
      </c>
      <c r="E57" s="133" t="inlineStr">
        <is>
          <t>Gara Agena Washing Station</t>
        </is>
      </c>
      <c r="F57" s="133" t="inlineStr">
        <is>
          <t>Ethiopia</t>
        </is>
      </c>
      <c r="G57" s="133" t="inlineStr">
        <is>
          <t>Heirloom Ethiopian Varieties</t>
        </is>
      </c>
      <c r="H57" s="133" t="inlineStr">
        <is>
          <t>Washed Special Prep</t>
        </is>
      </c>
      <c r="I57" s="133" t="inlineStr">
        <is>
          <t>Light</t>
        </is>
      </c>
      <c r="J57" s="133" t="inlineStr">
        <is>
          <t>Hario Switch (Flat-Bottom Immersion Hybrid)</t>
        </is>
      </c>
      <c r="K57" s="133" t="n">
        <v>15</v>
      </c>
      <c r="L57" s="133" t="n">
        <v>225</v>
      </c>
      <c r="M57" s="133" t="inlineStr">
        <is>
          <t>1:15</t>
        </is>
      </c>
      <c r="N57" s="133" t="inlineStr">
        <is>
          <t>70 → 90 → 70°C (Thermal Oscillation Protocol)</t>
        </is>
      </c>
      <c r="O57" s="133" t="inlineStr">
        <is>
          <t>Unknown</t>
        </is>
      </c>
      <c r="P57" s="133" t="inlineStr">
        <is>
          <t>Lagom P64</t>
        </is>
      </c>
      <c r="Q57" s="135" t="n">
        <v>9</v>
      </c>
      <c r="R57" s="133" t="inlineStr">
        <is>
          <t>Nectarine | Mandarin Orange | Floral Honey</t>
        </is>
      </c>
      <c r="S57" s="133" t="inlineStr">
        <is>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is>
      </c>
      <c r="T57" s="133" t="inlineStr">
        <is>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is>
      </c>
      <c r="U57" s="133" t="inlineStr">
        <is>
          <t>Second cup of two at Fluid Collective third visit, 6 July 2026. Followed Alo Coffee Natural Anaerobic — deliberate contrast pairing. Gara Agena placed top of personal preference list by Hari. SGD 9 — outstanding value for Special Prep Ethiopian heirloom.</t>
        </is>
      </c>
      <c r="V57" s="133" t="inlineStr">
        <is>
          <t>Live Field Audit — Third Visit</t>
        </is>
      </c>
      <c r="W57" s="134">
        <f>IF(OR(ISNUMBER(SEARCH("gesha",G57)),ISNUMBER(SEARCH("geisha",G57))),"⭐ GESHA","")</f>
        <v/>
      </c>
      <c r="X57" s="133" t="inlineStr">
        <is>
          <t>24 Opal Cres, Singapore 328418</t>
        </is>
      </c>
    </row>
    <row r="58" ht="78.75" customHeight="1" s="130">
      <c r="A58" s="132" t="n">
        <v>46210</v>
      </c>
      <c r="B58" s="133" t="inlineStr">
        <is>
          <t>Singapore</t>
        </is>
      </c>
      <c r="C58" s="133" t="inlineStr">
        <is>
          <t>Pinhole Coffee Bar</t>
        </is>
      </c>
      <c r="D58" s="133" t="inlineStr">
        <is>
          <t>Santa Barbara #1 — Gesha Honey Colombia</t>
        </is>
      </c>
      <c r="E58" s="133" t="inlineStr">
        <is>
          <t>Jhon Samboni — Santa Barbara #1</t>
        </is>
      </c>
      <c r="F58" s="133" t="inlineStr">
        <is>
          <t>Colombia — Huila</t>
        </is>
      </c>
      <c r="G58" s="133" t="inlineStr">
        <is>
          <t>Gesha</t>
        </is>
      </c>
      <c r="H58" s="133" t="inlineStr">
        <is>
          <t>Honey</t>
        </is>
      </c>
      <c r="I58" s="133" t="inlineStr">
        <is>
          <t>Light</t>
        </is>
      </c>
      <c r="J58" s="133" t="inlineStr">
        <is>
          <t>Hario V60 Ceramic (Conical — Single Aperture)</t>
        </is>
      </c>
      <c r="K58" s="133" t="n">
        <v>13.5</v>
      </c>
      <c r="L58" s="133" t="n">
        <v>200</v>
      </c>
      <c r="M58" s="133" t="inlineStr">
        <is>
          <t>1:14.8</t>
        </is>
      </c>
      <c r="N58" s="133" t="inlineStr">
        <is>
          <t>92°C (Constant)</t>
        </is>
      </c>
      <c r="O58" s="133" t="inlineStr">
        <is>
          <t>52g (3.85× dose)</t>
        </is>
      </c>
      <c r="P58" s="133" t="inlineStr">
        <is>
          <t>Mahlkönig EK43 Mini (64mm Flat Burr)</t>
        </is>
      </c>
      <c r="Q58" s="135" t="n">
        <v>15</v>
      </c>
      <c r="R58" s="133" t="inlineStr">
        <is>
          <t>White Florals, Berry Candy, Tangerines</t>
        </is>
      </c>
      <c r="S58" s="133" t="inlineStr">
        <is>
          <t>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is>
      </c>
      <c r="T58" s="133" t="inlineStr">
        <is>
          <t>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is>
      </c>
      <c r="U58" s="133" t="inlineStr">
        <is>
          <t>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is>
      </c>
      <c r="V58" s="133" t="inlineStr">
        <is>
          <t>Live Field Audit — Café Debut + Bean Card (Slurp Coffee Project) + Barista Confirmation (dose/temp/pour protocol)</t>
        </is>
      </c>
      <c r="W58" s="134">
        <f>IF(OR(ISNUMBER(SEARCH("gesha",G58)),ISNUMBER(SEARCH("geisha",G58))),"⭐ GESHA","")</f>
        <v/>
      </c>
      <c r="X58" s="133" t="inlineStr">
        <is>
          <t>27 Purvis St, #01-02, Singapore 188604</t>
        </is>
      </c>
    </row>
    <row r="59" ht="127.5" customHeight="1" s="130">
      <c r="A59" s="132" t="n">
        <v>46211</v>
      </c>
      <c r="B59" s="133" t="inlineStr">
        <is>
          <t>Singapore</t>
        </is>
      </c>
      <c r="C59" s="133" t="inlineStr">
        <is>
          <t>Double Shot Coffee</t>
        </is>
      </c>
      <c r="D59" s="133" t="inlineStr">
        <is>
          <t>Kotowa Carolina Gesha</t>
        </is>
      </c>
      <c r="E59" s="133" t="inlineStr">
        <is>
          <t>Kotowa Estate — Carolina Lot</t>
        </is>
      </c>
      <c r="F59" s="133" t="inlineStr">
        <is>
          <t>Boquete, Chiriquí, Panama</t>
        </is>
      </c>
      <c r="G59" s="133" t="inlineStr">
        <is>
          <t>Gesha</t>
        </is>
      </c>
      <c r="H59" s="133" t="inlineStr">
        <is>
          <t>Natural</t>
        </is>
      </c>
      <c r="I59" s="133" t="inlineStr">
        <is>
          <t>Unknown</t>
        </is>
      </c>
      <c r="J59" s="133" t="inlineStr">
        <is>
          <t>OREA V4 (Flat-Bottom)</t>
        </is>
      </c>
      <c r="K59" s="133" t="n">
        <v>13.5</v>
      </c>
      <c r="L59" s="133" t="n">
        <v>180</v>
      </c>
      <c r="M59" s="133" t="inlineStr">
        <is>
          <t>1:13.3</t>
        </is>
      </c>
      <c r="N59" s="133" t="inlineStr">
        <is>
          <t>92°C</t>
        </is>
      </c>
      <c r="O59" s="133" t="inlineStr">
        <is>
          <t>50g bloom (4-pour: 50/50/50/30g)</t>
        </is>
      </c>
      <c r="P59" s="133" t="inlineStr">
        <is>
          <t>Ditting 63.5mm Flat Burr</t>
        </is>
      </c>
      <c r="Q59" s="135" t="n">
        <v>16</v>
      </c>
      <c r="R59" s="133" t="inlineStr">
        <is>
          <t>White Floral · Peach · White Grape</t>
        </is>
      </c>
      <c r="S59" s="133" t="inlineStr">
        <is>
          <t>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is>
      </c>
      <c r="T59" s="133" t="inlineStr">
        <is>
          <t>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is>
      </c>
      <c r="U59" s="133" t="inlineStr">
        <is>
          <t>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is>
      </c>
      <c r="V59" s="133" t="inlineStr">
        <is>
          <t>Live Field Audit — Menu photo + barista interview + direct observation (Ditting grinder confirmed, OREA V4 confirmed)</t>
        </is>
      </c>
      <c r="W59" s="134">
        <f>IF(OR(ISNUMBER(SEARCH("gesha",G59)),ISNUMBER(SEARCH("geisha",G59))),"⭐ GESHA","")</f>
        <v/>
      </c>
      <c r="X59" s="133" t="inlineStr">
        <is>
          <t>19 Kampong Bahru Rd, L1, Singapore 169348</t>
        </is>
      </c>
    </row>
    <row r="60" ht="59.25" customHeight="1" s="130">
      <c r="A60" s="132" t="n">
        <v>46211</v>
      </c>
      <c r="B60" s="133" t="inlineStr">
        <is>
          <t>Singapore</t>
        </is>
      </c>
      <c r="C60" s="133" t="inlineStr">
        <is>
          <t>Nylon Coffee Roasters</t>
        </is>
      </c>
      <c r="D60" s="133" t="inlineStr">
        <is>
          <t>La Flor de la Palma</t>
        </is>
      </c>
      <c r="E60" s="133" t="inlineStr">
        <is>
          <t>William Manchay Espinoza</t>
        </is>
      </c>
      <c r="F60" s="133" t="inlineStr">
        <is>
          <t>Peru</t>
        </is>
      </c>
      <c r="G60" s="133" t="inlineStr">
        <is>
          <t>Bourbon</t>
        </is>
      </c>
      <c r="H60" s="133" t="inlineStr">
        <is>
          <t>Natural</t>
        </is>
      </c>
      <c r="I60" s="133" t="inlineStr">
        <is>
          <t>Filter Roast</t>
        </is>
      </c>
      <c r="J60" s="133" t="inlineStr">
        <is>
          <t>xBloom (Flat-Bottom)</t>
        </is>
      </c>
      <c r="K60" s="133" t="inlineStr">
        <is>
          <t>Unknown</t>
        </is>
      </c>
      <c r="L60" s="133" t="inlineStr">
        <is>
          <t>Unknown</t>
        </is>
      </c>
      <c r="M60" s="133" t="inlineStr">
        <is>
          <t>1:17</t>
        </is>
      </c>
      <c r="N60" s="133" t="inlineStr">
        <is>
          <t>93</t>
        </is>
      </c>
      <c r="O60" s="133" t="inlineStr">
        <is>
          <t>Unknown</t>
        </is>
      </c>
      <c r="P60" s="133" t="inlineStr">
        <is>
          <t>Mahlkönig EK Omnia (98mm Flat Burr)</t>
        </is>
      </c>
      <c r="Q60" s="135" t="n">
        <v>8.5</v>
      </c>
      <c r="R60" s="133" t="inlineStr">
        <is>
          <t>Dried Berry; Cherry; Rum &amp; Raisin; Rose</t>
        </is>
      </c>
      <c r="S60" s="133" t="inlineStr">
        <is>
          <t>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is>
      </c>
      <c r="T60" s="133" t="inlineStr">
        <is>
          <t>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is>
      </c>
      <c r="U60" s="133" t="inlineStr">
        <is>
          <t>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is>
      </c>
      <c r="V60" s="133" t="inlineStr">
        <is>
          <t>Direct observation + bag photo (name/notes reference only) + barista confirmation (roast date 26 Jun 2026)</t>
        </is>
      </c>
      <c r="W60" s="134">
        <f>IF(OR(ISNUMBER(SEARCH("gesha",G60)),ISNUMBER(SEARCH("geisha",G60))),"⭐ GESHA","")</f>
        <v/>
      </c>
      <c r="X60" s="133" t="inlineStr">
        <is>
          <t>4 Everton Park, #01-40, Singapore 080004</t>
        </is>
      </c>
    </row>
    <row r="61" ht="175.5" customHeight="1" s="130">
      <c r="A61" s="132" t="n">
        <v>46212</v>
      </c>
      <c r="B61" s="133" t="inlineStr">
        <is>
          <t>Singapore</t>
        </is>
      </c>
      <c r="C61" s="133" t="inlineStr">
        <is>
          <t>Abseil</t>
        </is>
      </c>
      <c r="D61" s="133" t="inlineStr">
        <is>
          <t>El Sauce Gesha</t>
        </is>
      </c>
      <c r="E61" s="133" t="inlineStr">
        <is>
          <t>El Sauce Farm</t>
        </is>
      </c>
      <c r="F61" s="133" t="inlineStr">
        <is>
          <t>Colombia</t>
        </is>
      </c>
      <c r="G61" s="133" t="inlineStr">
        <is>
          <t>Gesha</t>
        </is>
      </c>
      <c r="H61" s="133" t="inlineStr">
        <is>
          <t>Washed</t>
        </is>
      </c>
      <c r="I61" s="133" t="inlineStr">
        <is>
          <t>Light</t>
        </is>
      </c>
      <c r="J61" s="133" t="inlineStr">
        <is>
          <t>CT62 Coffee Dripper (Taster's Coffee / DragonFly Design, Taiwan — Engineered Conical, 62° Cone, 24-Groove Active Flow Compensation)</t>
        </is>
      </c>
      <c r="K61" s="133" t="n">
        <v>15</v>
      </c>
      <c r="L61" s="133" t="n">
        <v>232</v>
      </c>
      <c r="M61" s="133" t="inlineStr">
        <is>
          <t>1:15.5</t>
        </is>
      </c>
      <c r="N61" s="133" t="inlineStr">
        <is>
          <t>91°C (Constant throughout)</t>
        </is>
      </c>
      <c r="O61" s="133" t="inlineStr">
        <is>
          <t>80g (~5.3× dose) — Aggressive CO₂ purge bloom</t>
        </is>
      </c>
      <c r="P61" s="133" t="inlineStr">
        <is>
          <t>Option-O Lagom P64 (64mm Flat Burr)</t>
        </is>
      </c>
      <c r="Q61" s="135" t="n">
        <v>21</v>
      </c>
      <c r="R61" s="133" t="inlineStr">
        <is>
          <t>Gardenia · Mandarin · Dried Apricot · Green Tea · Honeysuckle</t>
        </is>
      </c>
      <c r="S61" s="133" t="inlineStr">
        <is>
          <t>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is>
      </c>
      <c r="T61" s="133" t="inlineStr">
        <is>
          <t>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is>
      </c>
      <c r="U61" s="133" t="inlineStr">
        <is>
          <t>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is>
      </c>
      <c r="V61" s="133" t="inlineStr">
        <is>
          <t>Live Field Audit — menu photo + equipment photos + barista confirmation (Glenda) + CT62 product research (tasterscoffee.com)</t>
        </is>
      </c>
      <c r="W61" s="134">
        <f>IF(OR(ISNUMBER(SEARCH("gesha",G61)),ISNUMBER(SEARCH("geisha",G61))),"⭐ GESHA","")</f>
        <v/>
      </c>
      <c r="X61" s="133" t="inlineStr">
        <is>
          <t>70 Shenton Way, #01-14 Eon Shenton, Singapore 079118</t>
        </is>
      </c>
    </row>
    <row r="62" ht="59.25" customHeight="1" s="130">
      <c r="A62" s="132" t="n">
        <v>46213</v>
      </c>
      <c r="B62" s="133" t="inlineStr">
        <is>
          <t>Singapore</t>
        </is>
      </c>
      <c r="C62" s="133" t="inlineStr">
        <is>
          <t>Oaks Coffee Co.</t>
        </is>
      </c>
      <c r="D62" s="133" t="inlineStr">
        <is>
          <t>Finca El Diviso</t>
        </is>
      </c>
      <c r="E62" s="133" t="inlineStr">
        <is>
          <t>Nestor Lasso</t>
        </is>
      </c>
      <c r="F62" s="133" t="inlineStr">
        <is>
          <t>Colombia</t>
        </is>
      </c>
      <c r="G62" s="133" t="inlineStr">
        <is>
          <t>Aji Bourbon</t>
        </is>
      </c>
      <c r="H62" s="133" t="inlineStr">
        <is>
          <t>Thermal Shock Anaerobic Natural</t>
        </is>
      </c>
      <c r="I62" s="133" t="inlineStr">
        <is>
          <t>Filter Roast</t>
        </is>
      </c>
      <c r="J62" s="133" t="inlineStr">
        <is>
          <t>Origami Dripper (Flat-Bottom)</t>
        </is>
      </c>
      <c r="K62" s="133" t="inlineStr">
        <is>
          <t>Unknown</t>
        </is>
      </c>
      <c r="L62" s="133" t="inlineStr">
        <is>
          <t>Unknown</t>
        </is>
      </c>
      <c r="M62" s="133" t="inlineStr">
        <is>
          <t>Unknown</t>
        </is>
      </c>
      <c r="N62" s="133" t="inlineStr">
        <is>
          <t>Unknown</t>
        </is>
      </c>
      <c r="O62" s="133" t="inlineStr">
        <is>
          <t>Unknown</t>
        </is>
      </c>
      <c r="P62" s="133" t="inlineStr">
        <is>
          <t>Option-O Lagom P80 (80mm Flat Burr — assumed)</t>
        </is>
      </c>
      <c r="Q62" s="135" t="n">
        <v>9</v>
      </c>
      <c r="R62" s="133" t="inlineStr">
        <is>
          <t>Lychee; Blueberry Jam; Cranberry</t>
        </is>
      </c>
      <c r="S62" s="133" t="inlineStr">
        <is>
          <t>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is>
      </c>
      <c r="T62" s="133" t="inlineStr">
        <is>
          <t>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is>
      </c>
      <c r="U62" s="133" t="inlineStr">
        <is>
          <t>With friend Alex — Oaks Coffee Co., Bukit Timah Road, 10 Jul 2026, 16:30, before Homeground mock-judge session. Second Oaks visit. Milestones: First Thermal Shock Anaerobic Natural, First Aji Bourbon, First Finca El Diviso (Nestor Lasso).</t>
        </is>
      </c>
      <c r="V62" s="133" t="inlineStr">
        <is>
          <t>Direct observation + bean card photo</t>
        </is>
      </c>
      <c r="W62" s="134">
        <f>IF(OR(ISNUMBER(SEARCH("gesha",G62)),ISNUMBER(SEARCH("geisha",G62))),"⭐ GESHA","")</f>
        <v/>
      </c>
      <c r="X62" s="133" t="inlineStr">
        <is>
          <t>223 Upper Thomson Rd, Singapore 574355</t>
        </is>
      </c>
    </row>
    <row r="63" ht="175.5" customHeight="1" s="130">
      <c r="A63" s="136" t="n">
        <v>46214</v>
      </c>
      <c r="B63" s="137" t="inlineStr">
        <is>
          <t>Singapore</t>
        </is>
      </c>
      <c r="C63" s="137" t="inlineStr">
        <is>
          <t>Pour.traits Roasters</t>
        </is>
      </c>
      <c r="D63" s="137" t="inlineStr">
        <is>
          <t>Thailand Sirinya Geisha Amarone</t>
        </is>
      </c>
      <c r="E63" s="137" t="inlineStr">
        <is>
          <t>Sirinya Farm</t>
        </is>
      </c>
      <c r="F63" s="137" t="inlineStr">
        <is>
          <t>Chiang Rai, Thailand</t>
        </is>
      </c>
      <c r="G63" s="137" t="inlineStr">
        <is>
          <t>Geisha</t>
        </is>
      </c>
      <c r="H63" s="137" t="inlineStr">
        <is>
          <t>Anaerobic Natural</t>
        </is>
      </c>
      <c r="I63" s="137" t="inlineStr">
        <is>
          <t>Filter Roast</t>
        </is>
      </c>
      <c r="J63" s="137" t="inlineStr">
        <is>
          <t>Solo Dripper by Mazelab (Flat-Bottom, 40° angle, Wave 155 filter)</t>
        </is>
      </c>
      <c r="K63" s="137" t="n">
        <v>15</v>
      </c>
      <c r="L63" s="137" t="n">
        <v>225</v>
      </c>
      <c r="M63" s="137" t="inlineStr">
        <is>
          <t>1:15</t>
        </is>
      </c>
      <c r="N63" s="137" t="inlineStr">
        <is>
          <t>92→75→92→75°C (alternating 4-pour)</t>
        </is>
      </c>
      <c r="O63" s="137" t="inlineStr">
        <is>
          <t>Unknown</t>
        </is>
      </c>
      <c r="P63" s="137" t="inlineStr">
        <is>
          <t>Mahlkönig EK43S (98mm Flat Burr)</t>
        </is>
      </c>
      <c r="Q63" s="137" t="n">
        <v>10</v>
      </c>
      <c r="R63" s="137" t="inlineStr">
        <is>
          <t>Rose, Plum, Mandarin Orange, Honey</t>
        </is>
      </c>
      <c r="S63" s="137" t="inlineStr">
        <is>
          <t>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is>
      </c>
      <c r="T63" s="137" t="inlineStr">
        <is>
          <t>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is>
      </c>
      <c r="U63" s="137" t="inlineStr">
        <is>
          <t>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is>
      </c>
      <c r="V63" s="137" t="inlineStr">
        <is>
          <t>Live Field Audit — menu photos + bean card photo (Nippy Coffee Roaster bag) + barista confirmation (Elaine) + hardware observation</t>
        </is>
      </c>
      <c r="W63" s="138">
        <f>IF(OR(ISNUMBER(SEARCH("gesha",G63)),ISNUMBER(SEARCH("geisha",G63))),"⭐ GESHA","")</f>
        <v/>
      </c>
      <c r="X63" s="137" t="inlineStr">
        <is>
          <t>2 Havelock Rd, #01-14, Singapore 059763</t>
        </is>
      </c>
    </row>
    <row r="64" ht="129.75" customHeight="1" s="130">
      <c r="A64" s="139" t="n">
        <v>46215</v>
      </c>
      <c r="B64" s="140" t="inlineStr">
        <is>
          <t>Singapore</t>
        </is>
      </c>
      <c r="C64" s="140" t="inlineStr">
        <is>
          <t>Fluid Collective</t>
        </is>
      </c>
      <c r="D64" s="140" t="inlineStr">
        <is>
          <t>Alo Peaberry — Washed Ethiopia</t>
        </is>
      </c>
      <c r="E64" s="140" t="inlineStr">
        <is>
          <t>Tamiru Tadesse</t>
        </is>
      </c>
      <c r="F64" s="140" t="inlineStr">
        <is>
          <t>Ethiopia</t>
        </is>
      </c>
      <c r="G64" s="140" t="inlineStr">
        <is>
          <t>74158 (Peaberry)</t>
        </is>
      </c>
      <c r="H64" s="140" t="inlineStr">
        <is>
          <t>Washed</t>
        </is>
      </c>
      <c r="I64" s="140" t="inlineStr">
        <is>
          <t>Filter Roast</t>
        </is>
      </c>
      <c r="J64" s="140" t="inlineStr">
        <is>
          <t>Hario Switch (Flat-Bottom Immersion Hybrid)</t>
        </is>
      </c>
      <c r="K64" s="140" t="inlineStr">
        <is>
          <t>15</t>
        </is>
      </c>
      <c r="L64" s="140" t="inlineStr">
        <is>
          <t>225</t>
        </is>
      </c>
      <c r="M64" s="140" t="inlineStr">
        <is>
          <t>1:15</t>
        </is>
      </c>
      <c r="N64" s="140" t="inlineStr">
        <is>
          <t>70 → 90 → 70°C (Thermal Oscillation Protocol — Fluid Standard)</t>
        </is>
      </c>
      <c r="O64" s="140" t="inlineStr">
        <is>
          <t>Unknown</t>
        </is>
      </c>
      <c r="P64" s="140" t="inlineStr">
        <is>
          <t>Option-O Lagom P64 (64mm Flat Steel Burrs)</t>
        </is>
      </c>
      <c r="Q64" s="140" t="inlineStr">
        <is>
          <t>10</t>
        </is>
      </c>
      <c r="R64" s="140" t="inlineStr">
        <is>
          <t>Bergamot | Honeysuckle | Mandarin Orange | White Peach</t>
        </is>
      </c>
      <c r="S64" s="140" t="inlineStr">
        <is>
          <t>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is>
      </c>
      <c r="T64" s="140" t="inlineStr">
        <is>
          <t>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is>
      </c>
      <c r="U64" s="140" t="inlineStr">
        <is>
          <t>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is>
      </c>
      <c r="V64" s="140" t="inlineStr">
        <is>
          <t>Live Field Audit — Fourth Visit | Bean card + menu photo</t>
        </is>
      </c>
      <c r="W64" s="140">
        <f>IF(OR(ISNUMBER(SEARCH("gesha",G64)),ISNUMBER(SEARCH("geisha",G64))),"⭐ GESHA","")</f>
        <v/>
      </c>
      <c r="X64" s="140" t="inlineStr">
        <is>
          <t>24 Opal Cres, Singapore 328418</t>
        </is>
      </c>
    </row>
    <row r="65" ht="185.25" customHeight="1" s="130">
      <c r="A65" s="141" t="n">
        <v>46217</v>
      </c>
      <c r="B65" s="142" t="inlineStr">
        <is>
          <t>Singapore</t>
        </is>
      </c>
      <c r="C65" s="142" t="inlineStr">
        <is>
          <t>Pour.traits Roasters</t>
        </is>
      </c>
      <c r="D65" s="142" t="inlineStr">
        <is>
          <t>Finca Sophia Torcaza Grand Reserve Washed Geisha</t>
        </is>
      </c>
      <c r="E65" s="142" t="inlineStr">
        <is>
          <t>Finca Sophia, Torcaza</t>
        </is>
      </c>
      <c r="F65" s="142" t="inlineStr">
        <is>
          <t>Panama</t>
        </is>
      </c>
      <c r="G65" s="142" t="inlineStr">
        <is>
          <t>Geisha</t>
        </is>
      </c>
      <c r="H65" s="142" t="inlineStr">
        <is>
          <t>Washed</t>
        </is>
      </c>
      <c r="I65" s="142" t="inlineStr">
        <is>
          <t>Filter Roast</t>
        </is>
      </c>
      <c r="J65" s="142" t="inlineStr">
        <is>
          <t>Hario x Tri-Up FLOW Dripper by Erik Liao (Flat-Bottom, Ceramic, Taiwan)</t>
        </is>
      </c>
      <c r="K65" s="142" t="n">
        <v>12.5</v>
      </c>
      <c r="L65" s="142" t="n">
        <v>190</v>
      </c>
      <c r="M65" s="142" t="inlineStr">
        <is>
          <t>1:15.2</t>
        </is>
      </c>
      <c r="N65" s="142" t="inlineStr">
        <is>
          <t>91→91→82°C (3-pour descending — WBRC competition protocol)</t>
        </is>
      </c>
      <c r="O65" s="142" t="inlineStr">
        <is>
          <t>Unknown</t>
        </is>
      </c>
      <c r="P65" s="142" t="inlineStr">
        <is>
          <t>Mahlkönig EK43 (98mm Flat Burr)</t>
        </is>
      </c>
      <c r="Q65" s="142" t="n">
        <v>60</v>
      </c>
      <c r="R65" s="142" t="inlineStr">
        <is>
          <t>Lemon Honey, Bergamot, Orange</t>
        </is>
      </c>
      <c r="S65" s="142" t="inlineStr">
        <is>
          <t>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is>
      </c>
      <c r="T65" s="142" t="inlineStr">
        <is>
          <t>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is>
      </c>
      <c r="U65" s="142" t="inlineStr">
        <is>
          <t>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is>
      </c>
      <c r="V65" s="142" t="inlineStr">
        <is>
          <t>Live Field Audit — competition menu photo + direct competitor confirmation (Inthat Ueasakaree / TaoTao) + WBRC Brussels 2026 official graphic confirmation</t>
        </is>
      </c>
      <c r="W65" s="142">
        <f>IF(OR(ISNUMBER(SEARCH("gesha",G65)),ISNUMBER(SEARCH("geisha",G65))),"⭐ GESHA","")</f>
        <v/>
      </c>
      <c r="X65" s="142" t="inlineStr">
        <is>
          <t>2 Havelock Rd, #01-14, Singapore 059763</t>
        </is>
      </c>
    </row>
    <row r="66" ht="137.25" customHeight="1" s="130">
      <c r="A66" s="141" t="n">
        <v>46218</v>
      </c>
      <c r="B66" s="142" t="inlineStr">
        <is>
          <t>Singapore</t>
        </is>
      </c>
      <c r="C66" s="142" t="inlineStr">
        <is>
          <t>Equate Coffee</t>
        </is>
      </c>
      <c r="D66" s="142" t="inlineStr">
        <is>
          <t>Peru Cajamarca Lorenzo Arbildo — Washed Gesha</t>
        </is>
      </c>
      <c r="E66" s="142" t="inlineStr">
        <is>
          <t>Lorenzo Arbildo</t>
        </is>
      </c>
      <c r="F66" s="142" t="inlineStr">
        <is>
          <t>Cajamarca, Peru</t>
        </is>
      </c>
      <c r="G66" s="142" t="inlineStr">
        <is>
          <t>Gesha</t>
        </is>
      </c>
      <c r="H66" s="142" t="inlineStr">
        <is>
          <t>Washed</t>
        </is>
      </c>
      <c r="I66" s="142" t="inlineStr">
        <is>
          <t>Filter Roast</t>
        </is>
      </c>
      <c r="J66" s="142" t="inlineStr">
        <is>
          <t>OREA V4 — OPEN Bottom (Flat-Bottom)</t>
        </is>
      </c>
      <c r="K66" s="142" t="n">
        <v>15</v>
      </c>
      <c r="L66" s="142" t="n">
        <v>210</v>
      </c>
      <c r="M66" s="142" t="inlineStr">
        <is>
          <t>1:14</t>
        </is>
      </c>
      <c r="N66" s="142" t="inlineStr">
        <is>
          <t>92°C → 65°C (descending — pours 1–3 at 92°C, pour 4 at 65°C)</t>
        </is>
      </c>
      <c r="O66" s="142" t="inlineStr">
        <is>
          <t>60g bloom (4-pour: 60g / 120g / 170g / 210g — 0:30 / 0:55 / 1:20 / 2:00)</t>
        </is>
      </c>
      <c r="P66" s="142" t="inlineStr">
        <is>
          <t>Mahlkönig EK43 (98mm Flat Burr)</t>
        </is>
      </c>
      <c r="Q66" s="142" t="n">
        <v>12</v>
      </c>
      <c r="R66" s="142" t="inlineStr">
        <is>
          <t>Raspberry; Peach; Floral</t>
        </is>
      </c>
      <c r="S66" s="142" t="inlineStr">
        <is>
          <t>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is>
      </c>
      <c r="T66" s="142" t="inlineStr">
        <is>
          <t>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is>
      </c>
      <c r="U66" s="142" t="inlineStr">
        <is>
          <t>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is>
      </c>
      <c r="V66" s="142" t="inlineStr">
        <is>
          <t>Live Field Audit — barista recipe card photo (authoritative) + bean card photo + direct barista confirmation</t>
        </is>
      </c>
      <c r="W66" s="142">
        <f>IF(OR(ISNUMBER(SEARCH("gesha",G66)),ISNUMBER(SEARCH("geisha",G66))),"⭐ GESHA","")</f>
        <v/>
      </c>
      <c r="X66" s="142" t="inlineStr">
        <is>
          <t>1 Tanjong Pagar Plaza, #02-25, Singapore 082001</t>
        </is>
      </c>
    </row>
    <row r="67" ht="88.5" customHeight="1" s="130">
      <c r="A67" s="141" t="n">
        <v>46219</v>
      </c>
      <c r="B67" s="142" t="inlineStr">
        <is>
          <t>Singapore</t>
        </is>
      </c>
      <c r="C67" s="142" t="inlineStr">
        <is>
          <t>Mame (SIGEP Asia booth)</t>
        </is>
      </c>
      <c r="D67" s="142" t="inlineStr">
        <is>
          <t>Bambito Estate</t>
        </is>
      </c>
      <c r="E67" s="142" t="inlineStr">
        <is>
          <t>Bambito Estate — Priscilla Amar Sitton</t>
        </is>
      </c>
      <c r="F67" s="142" t="inlineStr">
        <is>
          <t>Panama (1660–1800 m.a.s.l., per bean card)</t>
        </is>
      </c>
      <c r="G67" s="142" t="inlineStr">
        <is>
          <t>Geisha</t>
        </is>
      </c>
      <c r="H67" s="142" t="inlineStr">
        <is>
          <t>Washed</t>
        </is>
      </c>
      <c r="I67" s="142" t="inlineStr">
        <is>
          <t>Unknown</t>
        </is>
      </c>
      <c r="J67" s="142" t="inlineStr">
        <is>
          <t>Pour-over — 2 pours only (7g microdose festival format; brewer not stated → Unknown)</t>
        </is>
      </c>
      <c r="K67" s="142" t="n">
        <v>7</v>
      </c>
      <c r="L67" s="142" t="n">
        <v>105</v>
      </c>
      <c r="M67" s="142" t="inlineStr">
        <is>
          <t>1:15</t>
        </is>
      </c>
      <c r="N67" s="142" t="inlineStr">
        <is>
          <t>93°C (barista-confirmed)</t>
        </is>
      </c>
      <c r="O67" s="142" t="inlineStr">
        <is>
          <t>Unknown</t>
        </is>
      </c>
      <c r="P67" s="142" t="inlineStr">
        <is>
          <t>Timemore (model unstated — official SIGEP Asia / SNCC 2026 event grinder)</t>
        </is>
      </c>
      <c r="Q67" s="142" t="n">
        <v>16</v>
      </c>
      <c r="R67" s="142" t="inlineStr">
        <is>
          <t>Jasmine · Orange Blossom · Yellow Peach</t>
        </is>
      </c>
      <c r="S67" s="142" t="inlineStr">
        <is>
          <t>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is>
      </c>
      <c r="T67" s="142" t="inlineStr">
        <is>
          <t>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is>
      </c>
      <c r="U67" s="142" t="inlineStr">
        <is>
          <t>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is>
      </c>
      <c r="V67" s="142" t="inlineStr">
        <is>
          <t>Live Field Audit — Mame menu board photo + bean card photo (authoritative: Geisha spelling, Panama 1660–1800 masl, Washed) + barista-confirmed parameters (7g/105g, 1:15, 93°C, 2 pours, Timemore) + price corrected by Harry (¥1,990 / S$16 per cup; S$25 = 20g beans)</t>
        </is>
      </c>
      <c r="W67" s="142">
        <f>IF(OR(ISNUMBER(SEARCH("gesha",G67)),ISNUMBER(SEARCH("geisha",G67))),"⭐ GESHA","")</f>
        <v/>
      </c>
      <c r="X67" s="142" t="inlineStr">
        <is>
          <t>Sands Expo &amp; Convention Centre, 10 Bayfront Ave, Singapore 018956 (SIGEP Asia 2026, Roaster Village)</t>
        </is>
      </c>
    </row>
    <row r="68" ht="108" customHeight="1" s="130">
      <c r="A68" s="141" t="n">
        <v>46224</v>
      </c>
      <c r="B68" s="142" t="inlineStr">
        <is>
          <t>Singapore</t>
        </is>
      </c>
      <c r="C68" s="142" t="inlineStr">
        <is>
          <t>Pour.traits Roasters</t>
        </is>
      </c>
      <c r="D68" s="142" t="inlineStr">
        <is>
          <t>Toki</t>
        </is>
      </c>
      <c r="E68" s="142" t="inlineStr">
        <is>
          <t>Unknown</t>
        </is>
      </c>
      <c r="F68" s="142" t="inlineStr">
        <is>
          <t>Galyani Vadhana, Chiang Mai, Thailand · 1500 masl</t>
        </is>
      </c>
      <c r="G68" s="142" t="inlineStr">
        <is>
          <t>Mixed Local</t>
        </is>
      </c>
      <c r="H68" s="142" t="inlineStr">
        <is>
          <t>Natural</t>
        </is>
      </c>
      <c r="I68" s="142" t="inlineStr">
        <is>
          <t>Filter Roast</t>
        </is>
      </c>
      <c r="J68" s="142" t="inlineStr">
        <is>
          <t>Solo Dripper by Mazelab (Flat-Bottom, 40° angle, Wave 155 filter) — consistent with 11 Jul visit house setup, not barista-reconfirmed this visit</t>
        </is>
      </c>
      <c r="K68" s="142" t="inlineStr">
        <is>
          <t>Unknown</t>
        </is>
      </c>
      <c r="L68" s="142" t="inlineStr">
        <is>
          <t>Unknown</t>
        </is>
      </c>
      <c r="M68" s="142" t="inlineStr">
        <is>
          <t>~1:15 (taste-inferred by Harry, not barista-confirmed)</t>
        </is>
      </c>
      <c r="N68" s="142" t="inlineStr">
        <is>
          <t>Unknown</t>
        </is>
      </c>
      <c r="O68" s="142" t="inlineStr">
        <is>
          <t>Unknown</t>
        </is>
      </c>
      <c r="P68" s="142" t="inlineStr">
        <is>
          <t>Mahlkönig EK43S (98mm Flat Burr) — consistent with 11 Jul visit house setup, not barista-reconfirmed this visit</t>
        </is>
      </c>
      <c r="Q68" s="142" t="n">
        <v>10</v>
      </c>
      <c r="R68" s="142" t="inlineStr">
        <is>
          <t>Pear, Apple, Orange</t>
        </is>
      </c>
      <c r="S68" s="142" t="inlineStr">
        <is>
          <t>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is>
      </c>
      <c r="T68" s="142" t="inlineStr">
        <is>
          <t>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is>
      </c>
      <c r="U68" s="142" t="inlineStr">
        <is>
          <t>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is>
      </c>
      <c r="V68" s="142" t="inlineStr">
        <is>
          <t>Live Field Audit — bean card photo (Toki roaster bag) + Harry's sensory notes; brew hardware carried forward from prior visit as reasonable but unconfirmed assumption</t>
        </is>
      </c>
      <c r="W68" s="142">
        <f>IF(OR(ISNUMBER(SEARCH("gesha",G68)),ISNUMBER(SEARCH("geisha",G68))),"⭐ GESHA","")</f>
        <v/>
      </c>
      <c r="X68" s="142" t="inlineStr">
        <is>
          <t>2 Havelock Rd, #01-14, Singapore 059763</t>
        </is>
      </c>
    </row>
    <row r="69" ht="184.5" customHeight="1" s="130">
      <c r="A69" s="141" t="n">
        <v>46227</v>
      </c>
      <c r="B69" s="142" t="inlineStr">
        <is>
          <t>Singapore</t>
        </is>
      </c>
      <c r="C69" s="142" t="inlineStr">
        <is>
          <t>Alchemist (Khong Guan Building)</t>
        </is>
      </c>
      <c r="D69" s="142" t="inlineStr">
        <is>
          <t>El Frutal</t>
        </is>
      </c>
      <c r="E69" s="142" t="inlineStr">
        <is>
          <t>Efraín Castillo</t>
        </is>
      </c>
      <c r="F69" s="142" t="inlineStr">
        <is>
          <t>Huehuetenango, Guatemala</t>
        </is>
      </c>
      <c r="G69" s="142" t="inlineStr">
        <is>
          <t>Castillo</t>
        </is>
      </c>
      <c r="H69" s="142" t="inlineStr">
        <is>
          <t>Washed</t>
        </is>
      </c>
      <c r="I69" s="142" t="inlineStr">
        <is>
          <t>Filter</t>
        </is>
      </c>
      <c r="J69" s="142" t="inlineStr">
        <is>
          <t>V60 Pour-over (Ceramic Conical)</t>
        </is>
      </c>
      <c r="K69" s="142" t="n">
        <v>15</v>
      </c>
      <c r="L69" s="142" t="n">
        <v>225</v>
      </c>
      <c r="M69" s="142" t="inlineStr">
        <is>
          <t>1:15</t>
        </is>
      </c>
      <c r="N69" s="142" t="n">
        <v>90</v>
      </c>
      <c r="O69" s="142" t="inlineStr">
        <is>
          <t>Unknown</t>
        </is>
      </c>
      <c r="P69" s="142" t="inlineStr">
        <is>
          <t>Mahlkönig EK43S (98mm Flat Burr)</t>
        </is>
      </c>
      <c r="Q69" s="142" t="n">
        <v>8.5</v>
      </c>
      <c r="R69" s="142" t="inlineStr">
        <is>
          <t>Orange, Apple, Milk Chocolate</t>
        </is>
      </c>
      <c r="S69" s="142" t="inlineStr">
        <is>
          <t>HOT: bright, acidic apple hit. MID: mild sourness reading as ripe orange, not a flaw. COOL: mellows to a chocolate-adjacent note, distinct from apple/orange. Sequential note release matched official notes across all three thermal phases — good cup, clean process expression.</t>
        </is>
      </c>
      <c r="T69" s="142" t="inlineStr">
        <is>
          <t>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is>
      </c>
      <c r="U69" s="142" t="inlineStr">
        <is>
          <t>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is>
      </c>
      <c r="V69" s="142" t="inlineStr">
        <is>
          <t>Live Field Audit — barista confirmation + menu screenshot + direct observation; Varietal/Producer/Roast confirmed via alchemist.global/products/el-frutal</t>
        </is>
      </c>
      <c r="W69" s="142">
        <f>IF(OR(ISNUMBER(SEARCH("gesha",G69)),ISNUMBER(SEARCH("geisha",G69))),"⭐ GESHA","")</f>
        <v/>
      </c>
      <c r="X69" s="142" t="inlineStr">
        <is>
          <t>2 MacTaggart Rd, #01-01 Khong Guan Building, Singapore 368078</t>
        </is>
      </c>
    </row>
    <row r="70" ht="184.5" customHeight="1" s="130">
      <c r="A70" s="141" t="n">
        <v>46227</v>
      </c>
      <c r="B70" s="142" t="inlineStr">
        <is>
          <t>Singapore</t>
        </is>
      </c>
      <c r="C70" s="142" t="inlineStr">
        <is>
          <t>Prodigal Roasters</t>
        </is>
      </c>
      <c r="D70" s="142" t="inlineStr">
        <is>
          <t>Rea</t>
        </is>
      </c>
      <c r="E70" s="142" t="inlineStr">
        <is>
          <t>Finca Los Santos</t>
        </is>
      </c>
      <c r="F70" s="142" t="inlineStr">
        <is>
          <t>Peru</t>
        </is>
      </c>
      <c r="G70" s="142" t="inlineStr">
        <is>
          <t>Geisha</t>
        </is>
      </c>
      <c r="H70" s="142" t="inlineStr">
        <is>
          <t>Natural</t>
        </is>
      </c>
      <c r="I70" s="142" t="inlineStr">
        <is>
          <t>Light</t>
        </is>
      </c>
      <c r="J70" s="142" t="inlineStr">
        <is>
          <t>Origami V60 (Ribbed, Conical)</t>
        </is>
      </c>
      <c r="K70" s="142" t="n">
        <v>16</v>
      </c>
      <c r="L70" s="142" t="n">
        <v>272</v>
      </c>
      <c r="M70" s="142" t="inlineStr">
        <is>
          <t>1:17</t>
        </is>
      </c>
      <c r="N70" s="142" t="n">
        <v>93</v>
      </c>
      <c r="O70" s="142" t="inlineStr">
        <is>
          <t>40g / 45 sec (4-pour, center-pour technique)</t>
        </is>
      </c>
      <c r="P70" s="142" t="inlineStr">
        <is>
          <t>Mahlkönig EK43 (98mm Flat Burr)</t>
        </is>
      </c>
      <c r="Q70" s="142" t="n">
        <v>12</v>
      </c>
      <c r="R70" s="142" t="inlineStr">
        <is>
          <t>Grape jello, orange marmalade, jasmine florals</t>
        </is>
      </c>
      <c r="S70" s="142" t="inlineStr">
        <is>
          <t>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is>
      </c>
      <c r="T70" s="142" t="inlineStr">
        <is>
          <t>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is>
      </c>
      <c r="U70" s="142" t="inlineStr">
        <is>
          <t>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is>
      </c>
      <c r="V70" s="142" t="inlineStr">
        <is>
          <t>Live Field Audit — barista-confirmed brew parameters (Jason) + direct observation</t>
        </is>
      </c>
      <c r="W70" s="142">
        <f>IF(OR(ISNUMBER(SEARCH("gesha",G70)),ISNUMBER(SEARCH("geisha",G70))),"⭐ GESHA","")</f>
        <v/>
      </c>
      <c r="X70" s="142" t="inlineStr">
        <is>
          <t>1 MacTaggart Rd, #02-02, Singapore 368089</t>
        </is>
      </c>
    </row>
    <row r="71" ht="184.5" customHeight="1" s="130">
      <c r="A71" s="141" t="n">
        <v>46228</v>
      </c>
      <c r="B71" s="142" t="inlineStr">
        <is>
          <t>Singapore</t>
        </is>
      </c>
      <c r="C71" s="142" t="inlineStr">
        <is>
          <t>Alchemist (Khong Guan Building)</t>
        </is>
      </c>
      <c r="D71" s="142" t="inlineStr">
        <is>
          <t>La Betania</t>
        </is>
      </c>
      <c r="E71" s="142" t="inlineStr">
        <is>
          <t>Unknown</t>
        </is>
      </c>
      <c r="F71" s="142" t="inlineStr">
        <is>
          <t>Tolima, Colombia</t>
        </is>
      </c>
      <c r="G71" s="142" t="inlineStr">
        <is>
          <t>Unknown</t>
        </is>
      </c>
      <c r="H71" s="142" t="inlineStr">
        <is>
          <t>Washed</t>
        </is>
      </c>
      <c r="I71" s="142" t="inlineStr">
        <is>
          <t>Filter</t>
        </is>
      </c>
      <c r="J71" s="142" t="inlineStr">
        <is>
          <t>V60 Pour-over (Ceramic Conical)</t>
        </is>
      </c>
      <c r="K71" s="142" t="n">
        <v>15</v>
      </c>
      <c r="L71" s="142" t="n">
        <v>242</v>
      </c>
      <c r="M71" s="142" t="inlineStr">
        <is>
          <t>1:16.1</t>
        </is>
      </c>
      <c r="N71" s="142" t="n">
        <v>90</v>
      </c>
      <c r="O71" s="142" t="inlineStr">
        <is>
          <t>46g bloom, circular pour to 180-186g, straight center final pour to 242g</t>
        </is>
      </c>
      <c r="P71" s="142" t="inlineStr">
        <is>
          <t>Mahlkönig EK43S (98mm Flat Burr)</t>
        </is>
      </c>
      <c r="Q71" s="142" t="n">
        <v>10.5</v>
      </c>
      <c r="R71" s="142" t="inlineStr">
        <is>
          <t>Red Apple, Nectarine, Toffee</t>
        </is>
      </c>
      <c r="S71" s="142" t="inlineStr">
        <is>
          <t>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is>
      </c>
      <c r="T71" s="142" t="inlineStr">
        <is>
          <t>1:16.1 ratio via EK43S 98mm flat burr + ceramic V60 conical, 90°C. Straight center final pour (vs. circular) reduced late-stage turbulence/fines migration, likely driving the atypical cool-phase clarity increase. New Tolima Colombia sub-region for archive; first La Betania entry.</t>
        </is>
      </c>
      <c r="U71" s="142" t="inlineStr">
        <is>
          <t>Second visit to Alchemist (Khong Guan Building) within 24 hours, Saturday 25 Jul 2026, 11:30 AM weekend visit. Same grinder/brewer setup as prior-day visit, barista-confirmed.</t>
        </is>
      </c>
      <c r="V71" s="142" t="inlineStr">
        <is>
          <t>Live Field Audit — direct observation, barista-confirmed brew parameters</t>
        </is>
      </c>
      <c r="W71" s="142">
        <f>IF(OR(ISNUMBER(SEARCH("gesha",G71)),ISNUMBER(SEARCH("geisha",G71))),"⭐ GESHA","")</f>
        <v/>
      </c>
      <c r="X71" s="142" t="inlineStr">
        <is>
          <t>2 MacTaggart Rd, #01-01 Khong Guan Building, Singapore 368078</t>
        </is>
      </c>
    </row>
    <row r="72" ht="78.75" customHeight="1" s="130">
      <c r="A72" s="141" t="n">
        <v>46231</v>
      </c>
      <c r="B72" s="142" t="inlineStr">
        <is>
          <t>Singapore</t>
        </is>
      </c>
      <c r="C72" s="142" t="inlineStr">
        <is>
          <t>Apartment (Selegie Rd)</t>
        </is>
      </c>
      <c r="D72" s="142" t="inlineStr">
        <is>
          <t>Peru Wilder Garcia</t>
        </is>
      </c>
      <c r="E72" s="142" t="inlineStr">
        <is>
          <t>Wilder Garcia</t>
        </is>
      </c>
      <c r="F72" s="142" t="inlineStr">
        <is>
          <t>Jaén, Cajamarca, Peru</t>
        </is>
      </c>
      <c r="G72" s="142" t="inlineStr">
        <is>
          <t>Gesha</t>
        </is>
      </c>
      <c r="H72" s="142" t="inlineStr">
        <is>
          <t>Washed</t>
        </is>
      </c>
      <c r="I72" s="142" t="inlineStr">
        <is>
          <t>Light (Filter Roast)</t>
        </is>
      </c>
      <c r="J72" s="142" t="inlineStr">
        <is>
          <t>V60 Hand Brew (Conical)</t>
        </is>
      </c>
      <c r="K72" s="142" t="inlineStr">
        <is>
          <t>Unknown</t>
        </is>
      </c>
      <c r="L72" s="142" t="inlineStr">
        <is>
          <t>Unknown</t>
        </is>
      </c>
      <c r="M72" s="142" t="inlineStr">
        <is>
          <t>Unknown</t>
        </is>
      </c>
      <c r="N72" s="142" t="inlineStr">
        <is>
          <t>Unknown</t>
        </is>
      </c>
      <c r="O72" s="142" t="inlineStr">
        <is>
          <t>Unknown</t>
        </is>
      </c>
      <c r="P72" s="142" t="inlineStr">
        <is>
          <t>Option-O Lagom P64 (64mm Flat Burr)</t>
        </is>
      </c>
      <c r="Q72" s="142" t="n">
        <v>9.5</v>
      </c>
      <c r="R72" s="142" t="inlineStr">
        <is>
          <t>Nectarine; White Grape; Honeysuckle</t>
        </is>
      </c>
      <c r="S72" s="142" t="inlineStr">
        <is>
          <t>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is>
      </c>
      <c r="T72" s="142" t="inlineStr">
        <is>
          <t>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is>
      </c>
      <c r="U72" s="142" t="inlineStr">
        <is>
          <t>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is>
      </c>
      <c r="V72" s="142" t="inlineStr">
        <is>
          <t>Live Field Audit — bean card photo (Origin: Jaén, Cajamarca; Variety: Gesha; Altitude: 1750–1950 masl; Processing: Washed; Harvest: 2025) + barista grinder confirmation (Lagom P64) + direct sensory observation</t>
        </is>
      </c>
      <c r="W72" s="142">
        <f>IF(OR(ISNUMBER(SEARCH("gesha",G72)),ISNUMBER(SEARCH("geisha",G72))),"⭐ GESHA","")</f>
        <v/>
      </c>
      <c r="X72" s="142" t="inlineStr">
        <is>
          <t>139 Selegie Rd, #01-01, Singapore 188309</t>
        </is>
      </c>
    </row>
    <row r="73" ht="98.25" customHeight="1" s="130">
      <c r="A73" s="141" t="n">
        <v>46231</v>
      </c>
      <c r="B73" s="142" t="inlineStr">
        <is>
          <t>Singapore</t>
        </is>
      </c>
      <c r="C73" s="142" t="inlineStr">
        <is>
          <t>Apartment (Selegie Rd)</t>
        </is>
      </c>
      <c r="D73" s="142" t="inlineStr">
        <is>
          <t>Kenya Maganjo</t>
        </is>
      </c>
      <c r="E73" s="142" t="inlineStr">
        <is>
          <t>Rumukia FCS (Cooperative)</t>
        </is>
      </c>
      <c r="F73" s="142" t="inlineStr">
        <is>
          <t>Nyeri, Kenya</t>
        </is>
      </c>
      <c r="G73" s="142" t="inlineStr">
        <is>
          <t>SL28 / SL34 / Ruiru 11</t>
        </is>
      </c>
      <c r="H73" s="142" t="inlineStr">
        <is>
          <t>Washed</t>
        </is>
      </c>
      <c r="I73" s="142" t="inlineStr">
        <is>
          <t>Light (Filter Roast)</t>
        </is>
      </c>
      <c r="J73" s="142" t="inlineStr">
        <is>
          <t>V60 Hand Brew (Conical)</t>
        </is>
      </c>
      <c r="K73" s="142" t="n">
        <v>13</v>
      </c>
      <c r="L73" s="142" t="n">
        <v>215</v>
      </c>
      <c r="M73" s="142" t="inlineStr">
        <is>
          <t>1:16.5</t>
        </is>
      </c>
      <c r="N73" s="142" t="inlineStr">
        <is>
          <t>Unknown</t>
        </is>
      </c>
      <c r="O73" s="142" t="inlineStr">
        <is>
          <t>Unknown</t>
        </is>
      </c>
      <c r="P73" s="142" t="inlineStr">
        <is>
          <t>Option-O Lagom P64 (64mm Flat Burr)</t>
        </is>
      </c>
      <c r="Q73" s="142" t="n">
        <v>9</v>
      </c>
      <c r="R73" s="142" t="inlineStr">
        <is>
          <t>Redcurrant; Pomegranate; Rosehip</t>
        </is>
      </c>
      <c r="S73" s="142" t="inlineStr">
        <is>
          <t>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is>
      </c>
      <c r="T73" s="142" t="inlineStr">
        <is>
          <t>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is>
      </c>
      <c r="U73" s="142" t="inlineStr">
        <is>
          <t>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is>
      </c>
      <c r="V73" s="142" t="inlineStr">
        <is>
          <t>Live Field Audit — bean card photo (Origin: Nyeri, Kenya; Cooperative: Rumukia FCS; Variety: SL28/SL34/Ruiru 11; Altitude: 1550–2300 masl; Processing: Washed; Harvest: 2026) + barista-confirmed dose/yield 13g/215g + direct sensory observation</t>
        </is>
      </c>
      <c r="W73" s="142">
        <f>IF(OR(ISNUMBER(SEARCH("gesha",G73)),ISNUMBER(SEARCH("geisha",G73))),"⭐ GESHA","")</f>
        <v/>
      </c>
      <c r="X73" s="142" t="inlineStr">
        <is>
          <t>139 Selegie Rd, #01-01, Singapore 188309</t>
        </is>
      </c>
    </row>
    <row r="74" ht="189.75" customHeight="1" s="130">
      <c r="A74" s="141" t="n">
        <v>46232</v>
      </c>
      <c r="B74" s="142" t="inlineStr">
        <is>
          <t>Singapore</t>
        </is>
      </c>
      <c r="C74" s="142" t="inlineStr">
        <is>
          <t>Alchemist (Funan)</t>
        </is>
      </c>
      <c r="D74" s="142" t="inlineStr">
        <is>
          <t>The Journey — Las Margaritas Geisha</t>
        </is>
      </c>
      <c r="E74" s="142" t="inlineStr">
        <is>
          <t>Las Margaritas</t>
        </is>
      </c>
      <c r="F74" s="142" t="inlineStr">
        <is>
          <t>Valle del Cauca, Colombia</t>
        </is>
      </c>
      <c r="G74" s="142" t="inlineStr">
        <is>
          <t>Geisha</t>
        </is>
      </c>
      <c r="H74" s="142" t="inlineStr">
        <is>
          <t>Honey</t>
        </is>
      </c>
      <c r="I74" s="142" t="inlineStr">
        <is>
          <t>Unknown</t>
        </is>
      </c>
      <c r="J74" s="142" t="inlineStr">
        <is>
          <t>V60 Pour-over (Stainless Steel, Conical)</t>
        </is>
      </c>
      <c r="K74" s="142" t="n">
        <v>15</v>
      </c>
      <c r="L74" s="142" t="n">
        <v>225</v>
      </c>
      <c r="M74" s="142" t="inlineStr">
        <is>
          <t>1:15</t>
        </is>
      </c>
      <c r="N74" s="142" t="n">
        <v>85</v>
      </c>
      <c r="O74" s="142" t="inlineStr">
        <is>
          <t>50g bloom, 3-pour structure (bloom + 2), pour timings not recalled — barista-confirmed volumes; observed final pour ran to 252g against the 225g target</t>
        </is>
      </c>
      <c r="P74" s="142" t="inlineStr">
        <is>
          <t>Mahlkönig EK43S (98mm Flat Burr)</t>
        </is>
      </c>
      <c r="Q74" s="142" t="n">
        <v>10.5</v>
      </c>
      <c r="R74" s="142" t="inlineStr">
        <is>
          <t>Hibiscus, Strawberry, Manuka</t>
        </is>
      </c>
      <c r="S74" s="142" t="inlineStr">
        <is>
          <t>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is>
      </c>
      <c r="T74" s="142" t="inlineStr">
        <is>
          <t>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is>
      </c>
      <c r="U74" s="142" t="inlineStr">
        <is>
          <t>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is>
      </c>
      <c r="V74" s="142" t="inlineStr">
        <is>
          <t>Live Field Audit — barista-confirmed brew parameters + menu screen photo + brewer material confirmed via direct photo</t>
        </is>
      </c>
      <c r="W74" s="142">
        <f>IF(OR(ISNUMBER(SEARCH("gesha",G74)),ISNUMBER(SEARCH("geisha",G74))),"⭐ GESHA","")</f>
        <v/>
      </c>
      <c r="X74" s="142" t="inlineStr">
        <is>
          <t>107 N Bridge Rd, #01-01, Singapore 179105</t>
        </is>
      </c>
    </row>
    <row r="75" ht="189.75" customHeight="1" s="130">
      <c r="A75" s="141" t="n">
        <v>46234</v>
      </c>
      <c r="B75" s="142" t="inlineStr">
        <is>
          <t>Singapore</t>
        </is>
      </c>
      <c r="C75" s="142" t="inlineStr">
        <is>
          <t>Lume Café</t>
        </is>
      </c>
      <c r="D75" s="142" t="inlineStr">
        <is>
          <t>El Origen</t>
        </is>
      </c>
      <c r="E75" s="142" t="inlineStr">
        <is>
          <t>Unknown</t>
        </is>
      </c>
      <c r="F75" s="142" t="inlineStr">
        <is>
          <t>Quindío, Colombia</t>
        </is>
      </c>
      <c r="G75" s="142" t="inlineStr">
        <is>
          <t>Pink Bourbon</t>
        </is>
      </c>
      <c r="H75" s="142" t="inlineStr">
        <is>
          <t>Washed</t>
        </is>
      </c>
      <c r="I75" s="142" t="inlineStr">
        <is>
          <t>Filter Roast</t>
        </is>
      </c>
      <c r="J75" s="142" t="inlineStr">
        <is>
          <t>V60 Pour-over (Conical)</t>
        </is>
      </c>
      <c r="K75" s="142" t="n">
        <v>15</v>
      </c>
      <c r="L75" s="142" t="n">
        <v>225</v>
      </c>
      <c r="M75" s="142" t="inlineStr">
        <is>
          <t>1:15</t>
        </is>
      </c>
      <c r="N75" s="142" t="inlineStr">
        <is>
          <t>92 (flat, all pours)</t>
        </is>
      </c>
      <c r="O75" s="142" t="inlineStr">
        <is>
          <t>Unknown</t>
        </is>
      </c>
      <c r="P75" s="142" t="inlineStr">
        <is>
          <t>Mahlkönig EK43</t>
        </is>
      </c>
      <c r="Q75" s="142" t="n">
        <v>10</v>
      </c>
      <c r="R75" s="142" t="inlineStr">
        <is>
          <t>Yellow Floral; Tangerines; Plum</t>
        </is>
      </c>
      <c r="S75" s="142" t="inlineStr">
        <is>
          <t>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is>
      </c>
      <c r="T75" s="142" t="inlineStr">
        <is>
          <t>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is>
      </c>
      <c r="U75" s="142" t="inlineStr">
        <is>
          <t>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is>
      </c>
      <c r="V75" s="142" t="inlineStr">
        <is>
          <t>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is>
      </c>
      <c r="W75" s="142">
        <f>IF(OR(ISNUMBER(SEARCH("gesha",G75)),ISNUMBER(SEARCH("geisha",G75))),"⭐ GESHA","")</f>
        <v/>
      </c>
      <c r="X75" s="142" t="inlineStr">
        <is>
          <t>108 Robinson Rd, #01-01, Singapore 068900</t>
        </is>
      </c>
    </row>
    <row r="76" ht="139.5" customHeight="1" s="130">
      <c r="A76" s="141" t="n">
        <v>46235</v>
      </c>
      <c r="B76" s="142" t="inlineStr">
        <is>
          <t>Singapore</t>
        </is>
      </c>
      <c r="C76" s="142" t="inlineStr">
        <is>
          <t>Fluid Collective</t>
        </is>
      </c>
      <c r="D76" s="142" t="inlineStr">
        <is>
          <t>Finca Sophia — Natural Panama Geisha</t>
        </is>
      </c>
      <c r="E76" s="142" t="inlineStr">
        <is>
          <t>Willem Boot, Kelly Hartmann &amp; David Pohl</t>
        </is>
      </c>
      <c r="F76" s="142" t="inlineStr">
        <is>
          <t>Panama</t>
        </is>
      </c>
      <c r="G76" s="142" t="inlineStr">
        <is>
          <t>Geisha</t>
        </is>
      </c>
      <c r="H76" s="142" t="inlineStr">
        <is>
          <t>Natural</t>
        </is>
      </c>
      <c r="I76" s="142" t="inlineStr">
        <is>
          <t>Filter Roast</t>
        </is>
      </c>
      <c r="J76" s="142" t="inlineStr">
        <is>
          <t>Hario Switch (Flat-Bottom Immersion Hybrid)</t>
        </is>
      </c>
      <c r="K76" s="142" t="inlineStr">
        <is>
          <t>15</t>
        </is>
      </c>
      <c r="L76" s="142" t="inlineStr">
        <is>
          <t>155 (beverage; 210g water)</t>
        </is>
      </c>
      <c r="M76" s="142" t="inlineStr">
        <is>
          <t>1:14 (water) → 155g beverage</t>
        </is>
      </c>
      <c r="N76" s="142" t="inlineStr">
        <is>
          <t>93°C first 2 pours → 65°C last 2 pours (Split-Temp, barista-confirmed)</t>
        </is>
      </c>
      <c r="O76" s="142" t="inlineStr">
        <is>
          <t>Unknown</t>
        </is>
      </c>
      <c r="P76" s="142" t="inlineStr">
        <is>
          <t>Option-O Lagom P64 (64mm Flat Steel Burrs)</t>
        </is>
      </c>
      <c r="Q76" s="142" t="n">
        <v>32</v>
      </c>
      <c r="R76" s="142" t="inlineStr">
        <is>
          <t>Honeysuckle | Clementine | Nectarine | Apple Candy</t>
        </is>
      </c>
      <c r="S76" s="142" t="inlineStr">
        <is>
          <t>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is>
      </c>
      <c r="T76" s="142" t="inlineStr">
        <is>
          <t>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is>
      </c>
      <c r="U76" s="142" t="inlineStr">
        <is>
          <t>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is>
      </c>
      <c r="V76" s="142" t="inlineStr">
        <is>
          <t>Live Field Audit — Fifth Visit | Bean card + menu + payment receipt</t>
        </is>
      </c>
      <c r="W76" s="142">
        <f>IF(OR(ISNUMBER(SEARCH("gesha",G76)),ISNUMBER(SEARCH("geisha",G76))),"⭐ GESHA","")</f>
        <v/>
      </c>
      <c r="X76" s="142" t="inlineStr">
        <is>
          <t>24 Opal Cres, Singapore 328418</t>
        </is>
      </c>
    </row>
    <row r="77" ht="189.75" customHeight="1" s="130">
      <c r="A77" s="141" t="n">
        <v>46239</v>
      </c>
      <c r="B77" s="142" t="inlineStr">
        <is>
          <t>Singapore</t>
        </is>
      </c>
      <c r="C77" s="142" t="inlineStr">
        <is>
          <t>Nylon Coffee Roasters</t>
        </is>
      </c>
      <c r="D77" s="142" t="inlineStr">
        <is>
          <t>El Romerillo</t>
        </is>
      </c>
      <c r="E77" s="142" t="inlineStr">
        <is>
          <t>Luis Abarca</t>
        </is>
      </c>
      <c r="F77" s="142" t="inlineStr">
        <is>
          <t>Peru</t>
        </is>
      </c>
      <c r="G77" s="142" t="inlineStr">
        <is>
          <t>Caturra</t>
        </is>
      </c>
      <c r="H77" s="142" t="inlineStr">
        <is>
          <t>Washed</t>
        </is>
      </c>
      <c r="I77" s="142" t="inlineStr">
        <is>
          <t>Filter Roast</t>
        </is>
      </c>
      <c r="J77" s="142" t="inlineStr">
        <is>
          <t>OREA (Flat-Bottom)</t>
        </is>
      </c>
      <c r="K77" s="142" t="inlineStr">
        <is>
          <t>Unknown</t>
        </is>
      </c>
      <c r="L77" s="142" t="inlineStr">
        <is>
          <t>Unknown</t>
        </is>
      </c>
      <c r="M77" s="142" t="inlineStr">
        <is>
          <t>1:17</t>
        </is>
      </c>
      <c r="N77" s="142" t="inlineStr">
        <is>
          <t>93°C (Constant — barista-confirmed house standard)</t>
        </is>
      </c>
      <c r="O77" s="142" t="inlineStr">
        <is>
          <t>Unknown</t>
        </is>
      </c>
      <c r="P77" s="142" t="inlineStr">
        <is>
          <t>Mahlkönig EK Omnia (98mm Flat Burr)</t>
        </is>
      </c>
      <c r="Q77" s="142" t="n">
        <v>7.5</v>
      </c>
      <c r="R77" s="142" t="inlineStr">
        <is>
          <t>Blood Orange | Red Plum | Currant | Pomegranate</t>
        </is>
      </c>
      <c r="S77" s="142" t="inlineStr">
        <is>
          <t>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is>
      </c>
      <c r="T77" s="142" t="inlineStr">
        <is>
          <t>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is>
      </c>
      <c r="U77" s="142" t="inlineStr">
        <is>
          <t>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is>
      </c>
      <c r="V77" s="142" t="inlineStr">
        <is>
          <t>Live Field Audit — Sixth Visit | Barista confirmation (ratio 1:17, temp 93°C, OREA dripper) + Hari direct visual verification of brewer + retail bag photo (name and tasting notes only; roast date excluded per instruction) + menu board photo</t>
        </is>
      </c>
      <c r="W77" s="142">
        <f>IF(OR(ISNUMBER(SEARCH("gesha",G77)),ISNUMBER(SEARCH("geisha",G77))),"⭐ GESHA","")</f>
        <v/>
      </c>
      <c r="X77" s="142" t="inlineStr">
        <is>
          <t>4 Everton Park, #01-40, Singapore 080004</t>
        </is>
      </c>
    </row>
    <row r="78" ht="189.75" customHeight="1" s="130">
      <c r="A78" s="141" t="n">
        <v>46240</v>
      </c>
      <c r="B78" s="142" t="inlineStr">
        <is>
          <t>Singapore</t>
        </is>
      </c>
      <c r="C78" s="142" t="inlineStr">
        <is>
          <t>Double Shot Coffee (Shenton Way)</t>
        </is>
      </c>
      <c r="D78" s="142" t="inlineStr">
        <is>
          <t>Ruli</t>
        </is>
      </c>
      <c r="E78" s="142" t="inlineStr">
        <is>
          <t>Unknown</t>
        </is>
      </c>
      <c r="F78" s="142" t="inlineStr">
        <is>
          <t>Rwanda — Ruli</t>
        </is>
      </c>
      <c r="G78" s="142" t="inlineStr">
        <is>
          <t>Unknown</t>
        </is>
      </c>
      <c r="H78" s="142" t="inlineStr">
        <is>
          <t>Washed</t>
        </is>
      </c>
      <c r="I78" s="142" t="inlineStr">
        <is>
          <t>Unknown</t>
        </is>
      </c>
      <c r="J78" s="142" t="inlineStr">
        <is>
          <t>OREA (Flat-Bottom, Plastic)</t>
        </is>
      </c>
      <c r="K78" s="142" t="n">
        <v>13</v>
      </c>
      <c r="L78" s="142" t="n">
        <v>180</v>
      </c>
      <c r="M78" s="142" t="inlineStr">
        <is>
          <t>1:13.8</t>
        </is>
      </c>
      <c r="N78" s="142" t="inlineStr">
        <is>
          <t>92°C (Constant — barista-confirmed 90–92°C band, logged at upper end)</t>
        </is>
      </c>
      <c r="O78" s="142" t="inlineStr">
        <is>
          <t>Unknown</t>
        </is>
      </c>
      <c r="P78" s="142" t="inlineStr">
        <is>
          <t>Mahlkönig EK43 S (98mm Flat Burr)</t>
        </is>
      </c>
      <c r="Q78" s="142" t="n">
        <v>8</v>
      </c>
      <c r="R78" s="142" t="inlineStr">
        <is>
          <t>Cranberry | Stewed Apple | Caramel</t>
        </is>
      </c>
      <c r="S78" s="142" t="inlineStr">
        <is>
          <t>HOT: Cranberry immediate and unmistakable — bright, acidic, clean entry. Red fruit reads as genuine cranberry rather than generic berry, which is unusual and immediately noticeable. Washed clarity fully present from the first sip, no muddiness. MID: Brightness holds. Cranberry does not fade or hand over to a different note the way most fruit-forward washed coffees do at mid-temperature — the signal simply persists. COOL: Cranberry still present and still clear. Full three-phase thermal consistency. OVERALL: Surprised by the level of berry expression and by how stable it was hot through cold. Damn clear cup. Not bad at all — honest, direct, clean, and at S$8 a strong value proposition. Bright and acidic throughout, which suits the Palate DNA well.</t>
        </is>
      </c>
      <c r="T78" s="142" t="inlineStr">
        <is>
          <t>Mahlkönig EK43 S (barista-confirmed) carries the same 98 mm flat cast-steel burr set as the full-size EK43 in a compact body — the largest burr diameter logged in the archive alongside the EK Omnia. A 98 mm burr presents roughly 2.3× the cutting surface area of a 64 mm burr, producing a narrow particle size distribution with very low fines yield; fines are the primary driver of micro-channelling and selective over-extraction of bitter chlorogenic acid lactones, so their suppression here is what preserved the cranberry signal as a clean single line rather than a muddied red-fruit blur. OREA flat-bottom (plastic body, barista-confirmed) contributes wide unrestricted drainage and even bed saturation across a shallow uniform bed. On the ratio: 1:13.8 sits well below the 1:15–1:17 Palate DNA band and is a concentrated format, yet the cup carried no bitter tail. The reason is process chemistry — Washed processing strips the cherry skin entirely before drying, so there is minimal procyanidin and tannin load available to enter solution. A concentrated ratio therefore amplifies malic and citric acid density (perceived as cranberry brightness) without an accompanying polyphenol penalty. The thermal stability across all three phases points to high organic acid concentration from slow high-altitude maturation in Rwanda's volcanic highlands, where cool nights extend the cherry ripening cycle and drive acid accumulation.</t>
        </is>
      </c>
      <c r="U78" s="142" t="inlineStr">
        <is>
          <t>Solo visit — 06 Aug 2026, 13:30 SGT, Thursday lunchtime. Double Shot Coffee Shenton Way branch — a separate venue from the Kampong Bahru outlet already in the archive; same chain, different location, logged as a distinct café per archive branch convention. Filter menu offered three pour overs: Rwanda Ruli Washed S$8 (ordered), Colombia La Quebraditas D.A. Washed S$14, and Ethiopia Alo Mosto 96 Hours S$15; iced brew also listed at S$6.50. Barista confirmed all brew parameters directly: Mahlkönig EK43 S grinder, OREA flat-bottom plastic dripper, 13 g dose to 180 g water, temperature held constant in the 90–92°C band (logged at the 92°C upper end per Hari). Barista also mentioned the café sells single-origin drip bags — noted as a potential home-brew purchase, which would allow this lot to be re-brewed at the preferred 1:15–1:17 band. Venue sits in Eon Shenton, the same building as Abseil (#01-14). Small unit, largely outdoor bench seating. Roast level not stated on menu or by barista. Varietal not stated on menu or by barista — logged Unknown rather than inferred.</t>
        </is>
      </c>
      <c r="V78" s="142" t="inlineStr">
        <is>
          <t>Live Field Audit — Menu board photo (origin, lot name, process, price, tasting notes) + barista confirmation (grinder EK43 S, OREA flat-bottom plastic dripper, 13 g dose, 180 g yield, 90–92°C) + Google Places address verification</t>
        </is>
      </c>
      <c r="W78" s="142">
        <f>IF(OR(ISNUMBER(SEARCH("gesha",G78)),ISNUMBER(SEARCH("geisha",G78))),"⭐ GESHA","")</f>
        <v/>
      </c>
      <c r="X78" s="142" t="inlineStr">
        <is>
          <t>70 Shenton Way, #01-05, Eon Shenton, Singapore 079118</t>
        </is>
      </c>
    </row>
    <row r="79" ht="189.75" customHeight="1" s="130">
      <c r="A79" s="141" t="n">
        <v>46241</v>
      </c>
      <c r="B79" s="142" t="inlineStr">
        <is>
          <t>Singapore</t>
        </is>
      </c>
      <c r="C79" s="142" t="inlineStr">
        <is>
          <t>Kōhī Roastery + Coffee Bar</t>
        </is>
      </c>
      <c r="D79" s="142" t="inlineStr">
        <is>
          <t>Rwenzori Kisinga</t>
        </is>
      </c>
      <c r="E79" s="142" t="inlineStr">
        <is>
          <t>Unknown</t>
        </is>
      </c>
      <c r="F79" s="142" t="inlineStr">
        <is>
          <t>Uganda — Rwenzori Kisinga</t>
        </is>
      </c>
      <c r="G79" s="142" t="inlineStr">
        <is>
          <t>SL14, SL28</t>
        </is>
      </c>
      <c r="H79" s="142" t="inlineStr">
        <is>
          <t>Natural</t>
        </is>
      </c>
      <c r="I79" s="142" t="inlineStr">
        <is>
          <t>Light-Medium (dual-purpose espresso/filter lot — barista-confirmed)</t>
        </is>
      </c>
      <c r="J79" s="142" t="inlineStr">
        <is>
          <t>Hario V60 Pour-over (Conical percolation)</t>
        </is>
      </c>
      <c r="K79" s="142" t="n">
        <v>15</v>
      </c>
      <c r="L79" s="142" t="n">
        <v>240</v>
      </c>
      <c r="M79" s="142" t="inlineStr">
        <is>
          <t>1:16</t>
        </is>
      </c>
      <c r="N79" s="142" t="inlineStr">
        <is>
          <t>92°C (Constant — barista-confirmed)</t>
        </is>
      </c>
      <c r="O79" s="142" t="inlineStr">
        <is>
          <t>Unknown</t>
        </is>
      </c>
      <c r="P79" s="142" t="inlineStr">
        <is>
          <t>Mahlkönig EK43 S (98mm Flat Burr)</t>
        </is>
      </c>
      <c r="Q79" s="142" t="n">
        <v>8.5</v>
      </c>
      <c r="R79" s="142" t="inlineStr">
        <is>
          <t>Stone Fruit | Mixed Berries | Pink Pomelo</t>
        </is>
      </c>
      <c r="S79" s="142" t="inlineStr">
        <is>
          <t>Rated average to above-average — not bad, not excellent, and fair value at S$8.50. HOT: bright entry, stone fruit and berries reading clearly and cleanly; medium body as expected of a Natural. MID-COOL: berry dominates, strawberry specifically; a slight bitter aftertaste emerges — mild, non-escalating, and barista-confirmed as the INTENDED pink pomelo / bitter-orange character, a consequence of this lot being roasted light-to-mid so it can serve espresso as well as filter. All three roaster notes therefore confirmed on the palate. COOL: still fruity but less intense than before — the cup fades rather than evolves; no new sugar layer emerges. Clarity is compromised by fruit density: stone fruit and strawberry overlap rather than separate, making individual notes tricky to resolve — Hari's own summary was 'in one word, fruity'. Natural processing is unmistakable here and clearly differentiated from washed. FIRST UGANDA ORIGIN IN ARCHIVE (country #15) and first Natural-process SL28 in the archive. Worth logging for the origin; would not reorder. Barista friendly and knowledgeable (name not captured — archive gap). Monday morning Gesha pop-up flagged for return visit.</t>
        </is>
      </c>
      <c r="T79" s="142" t="inlineStr">
        <is>
          <t>Hario V60 conical percolation at 92°C and 1:16 (15g / 240g, barista-confirmed), ground on a Mahlkönig EK43 S 98mm flat burr set — the near-unimodal particle distribution starved the fines migration that has driven the over-extraction flag in prior conical entries (Agora Beloya, Kurasu Rwanda, PPP Suke Quto), so the bitter-citrus present here is ROAST INTENT, not extraction fault: it stayed mild and stable across all three thermal phases rather than sharpening. Fourth conical entry to show a bitter tail and the first to keep it slight — evidence that the conical over-extraction penalty scales with the grinder's fines population, not with geometry alone. 1:16 sat mid-band of the 1:15–1:17 Palate DNA window, correct for a high-solubles Natural. Separately, the Natural process layer overwrote the SL28 phosphoric acid spine entirely, delivering fruit density at the cost of the note separation the same genetics show washed (cf. Kenya Nyeri Hill, Kiamugumo AA).</t>
        </is>
      </c>
      <c r="U79" s="142" t="inlineStr">
        <is>
          <t>Solo visit — 07 Aug 2026, ~13:40 SGT, Friday lunchtime. First visit to Kōhī Roastery + Coffee Bar; venue #40 in the archive. Filter menu was four lots, ALL Natural process (Uganda Rwenzori Kisinga S$8.50 · Ethiopia Sidamo Guji Harsu G1 S$8.50 · Costa Rica Aquiares Estate Entre Rios S$8.50 · Peru Finca Los Santos Gesha S$12.00; iced option +S$1). Espresso bar running Honduras Guara Verde and Ethiopia Sidama G2. Uganda selected as a country-novelty audit. Hario Switch also available on bar but NOT used for this lot — barista selected standard V60 percolation. Barista noted as friendly and knowledgeable; name not recorded (archive gap). Kōhī runs a Monday morning Gesha pop-up with multiple Gesha varieties — flagged as high-priority return. OUTLET NOT CONFIRMED: Kōhī operates two Singapore coffee bars.</t>
        </is>
      </c>
      <c r="V79" s="142" t="inlineStr">
        <is>
          <t>Live Field Audit — First Visit | Bean card photo (origin, varietal SL14/SL28, process, tasting notes) + filter menu board photo (price S$8.50) + barista confirmation (ratio 1:16 = 15g dose / 240g yield, 92°C, Mahlkönig EK43 S, Hario V60 standard percolation, dual-purpose espresso/filter roast intent behind the bitter-citrus finish)</t>
        </is>
      </c>
      <c r="W79" s="142">
        <f>IF(OR(ISNUMBER(SEARCH("gesha",G79)),ISNUMBER(SEARCH("geisha",G79))),"⭐ GESHA","")</f>
        <v/>
      </c>
      <c r="X79" s="142" t="inlineStr">
        <is>
          <t>Unknown — outlet not confirmed. Kōhī SG coffee bars: 5 Shenton Way, #01-01 UIC Building, S068808 · 432 Joo Chiat Rd, S427647</t>
        </is>
      </c>
    </row>
    <row r="80" ht="189.75" customHeight="1" s="130">
      <c r="A80" s="141" t="n">
        <v>46243</v>
      </c>
      <c r="B80" s="142" t="inlineStr">
        <is>
          <t>Singapore</t>
        </is>
      </c>
      <c r="C80" s="142" t="inlineStr">
        <is>
          <t>Fluid Collective</t>
        </is>
      </c>
      <c r="D80" s="142" t="inlineStr">
        <is>
          <t>Berlina — Washed Panama Geisha</t>
        </is>
      </c>
      <c r="E80" s="142" t="inlineStr">
        <is>
          <t>Casa Ruiz</t>
        </is>
      </c>
      <c r="F80" s="142" t="inlineStr">
        <is>
          <t>Panama</t>
        </is>
      </c>
      <c r="G80" s="142" t="inlineStr">
        <is>
          <t>Geisha</t>
        </is>
      </c>
      <c r="H80" s="142" t="inlineStr">
        <is>
          <t>Washed</t>
        </is>
      </c>
      <c r="I80" s="142" t="inlineStr">
        <is>
          <t>Filter Roast</t>
        </is>
      </c>
      <c r="J80" s="142" t="inlineStr">
        <is>
          <t>Hario Switch (Flat-Bottom Immersion Hybrid)</t>
        </is>
      </c>
      <c r="K80" s="142" t="inlineStr">
        <is>
          <t>15</t>
        </is>
      </c>
      <c r="L80" s="142" t="inlineStr">
        <is>
          <t>225</t>
        </is>
      </c>
      <c r="M80" s="142" t="inlineStr">
        <is>
          <t>1:15</t>
        </is>
      </c>
      <c r="N80" s="142" t="inlineStr">
        <is>
          <t>70 → 90 → 70°C (Thermal Oscillation Protocol — Fluid Standard)</t>
        </is>
      </c>
      <c r="O80" s="142" t="inlineStr">
        <is>
          <t>Unknown</t>
        </is>
      </c>
      <c r="P80" s="142" t="inlineStr">
        <is>
          <t>Option-O Lagom P64 (64mm Flat Steel Burrs)</t>
        </is>
      </c>
      <c r="Q80" s="142" t="n">
        <v>9</v>
      </c>
      <c r="R80" s="142" t="inlineStr">
        <is>
          <t>Nectarine | Orange | Jasmine Tea</t>
        </is>
      </c>
      <c r="S80" s="142" t="inlineStr">
        <is>
          <t>HOT: Bright and clean — orange and nectarine hit together, immediate and simultaneous. High clarity from the first sip; the washed character is unmistakable. MID-COOL: Body thins into a tea-like structure. Diluted orange juice character with hints of nectarine underneath. Clarity holds as body drops. COOL: Sweet and still fruity. Nectarine returns clearly and cleanly — 'like sweet nectarine, and I love to drink as much as possible when it's cool.' VERDICT: Overall a great one. Thoroughly enjoyed. Cool phase is the reward window.</t>
        </is>
      </c>
      <c r="T80" s="142" t="inlineStr">
        <is>
          <t>Casa Ruiz (Boquete, Chiriquí) washed Geisha at 13 days rest — brewed batch roasted 27 Jul 2026, barista-confirmed. NOTE: the retail bag on shelf showed 3 Aug — a different lot. Retail roast dates are never logged; only the barista-confirmed brewed batch. 13 days sits one day inside Fluid's stated 14-day optimal rest, so degassing complete and aromatics fully developed. Washed processing delivers orange and nectarine SIMULTANEOUSLY rather than sequentially — no fermentation layer to stagger arrival. Hari identified the washed character in-cup before confirming the process. Jasmine tea note expresses structurally as a thinning tea-like body in the mid-cool phase rather than as discrete flavour. Cool-phase nectarine return (malic re-emergence as volatiles dissipate) now confirmed across Gara Agena, Alo Peaberry and Berlina — three consecutive washed cups behaving identically. VALUE FINDING: at SGD 9 this is the cheapest Gesha/Geisha in the entire archive, undercutting Apartment Selegie (S$9.50) — and the cheapest Panama Geisha by a wide margin (vs S$60 Finca Sophia Torcaza Washed, S$32 Finca Sophia Natural, S$14 Hiu Los Lajones Honey). Hardware and 70→90→70°C protocol unchanged from prior Fluid visits.</t>
        </is>
      </c>
      <c r="U80" s="142" t="inlineStr">
        <is>
          <t>Fluid Collective visit, Sunday 9 August 2026, 16:00 — visited WITH AANYA (her second archive appearance after Finca La Siberia at Narrative, March 2026). First of two filters this session (S$18 total, S$9 each). Ong Shen Choy — 2025 Singapore National Brewers Cup Champion — on the bar. The barista mentioned she reads Hari's Google reviews of Fluid and likes them — the archive reaching the people it documents. Crispiliano Natural Panama Geisha (S$32) was on bar and deliberately declined: spend discipline after S$60 + S$32 on Geisha within the prior 26 days. Berlina 200g retail also purchased.</t>
        </is>
      </c>
      <c r="V80" s="142" t="inlineStr">
        <is>
          <t>Live Field Audit — with Aanya | Bean card + retail bag photo</t>
        </is>
      </c>
      <c r="W80" s="142">
        <f>IF(OR(ISNUMBER(SEARCH("gesha",G80)),ISNUMBER(SEARCH("geisha",G80))),"⭐ GESHA","")</f>
        <v/>
      </c>
      <c r="X80" s="142" t="inlineStr">
        <is>
          <t>24 Opal Cres, Singapore 328418</t>
        </is>
      </c>
    </row>
    <row r="81" ht="189.75" customHeight="1" s="130">
      <c r="A81" s="141" t="n">
        <v>46243</v>
      </c>
      <c r="B81" s="142" t="inlineStr">
        <is>
          <t>Singapore</t>
        </is>
      </c>
      <c r="C81" s="142" t="inlineStr">
        <is>
          <t>Fluid Collective</t>
        </is>
      </c>
      <c r="D81" s="142" t="inlineStr">
        <is>
          <t>Rosa Marina — Washed Nicaragua</t>
        </is>
      </c>
      <c r="E81" s="142" t="inlineStr">
        <is>
          <t>Finca La Lima</t>
        </is>
      </c>
      <c r="F81" s="142" t="inlineStr">
        <is>
          <t>Nicaragua</t>
        </is>
      </c>
      <c r="G81" s="142" t="inlineStr">
        <is>
          <t>Red Catuai</t>
        </is>
      </c>
      <c r="H81" s="142" t="inlineStr">
        <is>
          <t>Washed</t>
        </is>
      </c>
      <c r="I81" s="142" t="inlineStr">
        <is>
          <t>Filter Roast</t>
        </is>
      </c>
      <c r="J81" s="142" t="inlineStr">
        <is>
          <t>Hario Switch (Flat-Bottom Immersion Hybrid)</t>
        </is>
      </c>
      <c r="K81" s="142" t="inlineStr">
        <is>
          <t>15</t>
        </is>
      </c>
      <c r="L81" s="142" t="inlineStr">
        <is>
          <t>225</t>
        </is>
      </c>
      <c r="M81" s="142" t="inlineStr">
        <is>
          <t>1:15</t>
        </is>
      </c>
      <c r="N81" s="142" t="inlineStr">
        <is>
          <t>70 → 90 → 70°C (Thermal Oscillation Protocol — Fluid Standard)</t>
        </is>
      </c>
      <c r="O81" s="142" t="inlineStr">
        <is>
          <t>Unknown</t>
        </is>
      </c>
      <c r="P81" s="142" t="inlineStr">
        <is>
          <t>Option-O Lagom P64 (64mm Flat Steel Burrs)</t>
        </is>
      </c>
      <c r="Q81" s="142" t="n">
        <v>9</v>
      </c>
      <c r="R81" s="142" t="inlineStr">
        <is>
          <t>Orange | Raisin | Hawthorn</t>
        </is>
      </c>
      <c r="S81" s="142" t="inlineStr">
        <is>
          <t>HOT: Clear and clean. Orange PEEL hit — rind and pith character, not just juice — arriving alongside a distinct grape note. Everything landing at once. MID-COOL: Clarity climbs further. Orange shifts from lead to backdrop and a light sweet aftertaste begins to appear. COOL: Nice and relaxed. Orange becomes more apparent again — the cup completes a full circle. Ends with a light sugar finish and a developing aftertaste. VERDICT: I love this coffee. Amazing.</t>
        </is>
      </c>
      <c r="T81" s="142" t="inlineStr">
        <is>
          <t>FIRST NICARAGUAN FILTER IN THE ARCHIVE — both prior Nicaragua entries (Finca La Virgen, Buena Vista) were espresso format; this closes a genuine origin gap. Red Catuai (Bourbon × Mundo Novo hybrid) under washed processing at Finca La Lima: compact high-yield varietal delivering clean citric structure with dried-fruit sweetness beneath. Orange peel read — limonene plus rind bitterness registering as structure, not defect — is a more precise capture than plain orange; Hari identified the pith character specifically. Grape in the hot phase is the raisin note in pre-concentration form; as the cup cools the sugars consolidate and the light sugar finish emerges. NOTABLE THERMAL BEHAVIOUR: orange RETURNS in the cool phase rather than being replaced — a circular arc, distinct from the washed Geishas where nectarine displaces the opening note. New pattern for the archive. Hawthorn (floral-herbal, subtle) not separately identified in cup. Last remaining box at Fluid — unlikely to recur. Hardware and protocol unchanged.</t>
        </is>
      </c>
      <c r="U81" s="142" t="inlineStr">
        <is>
          <t>Fluid Collective visit, Sunday 9 August 2026, 16:00 — visited WITH AANYA. Second of two filters this session (S$18 total, S$9 each). Ordered after the Berlina; barista flagged this as the LAST REMAINING BOX of Rosa Marina. Chosen deliberately over the Crispiliano Natural Panama Geisha (S$32) — scarcity of an unrepresented origin format ranked above a fourth Panama Geisha in under a month. Ong Shen Choy on the bar. Barista noted she reads and likes Hari's Google reviews of Fluid.</t>
        </is>
      </c>
      <c r="V81" s="142" t="inlineStr">
        <is>
          <t>Live Field Audit — with Aanya | Bean card photo</t>
        </is>
      </c>
      <c r="W81" s="142">
        <f>IF(OR(ISNUMBER(SEARCH("gesha",G81)),ISNUMBER(SEARCH("geisha",G81))),"⭐ GESHA","")</f>
        <v/>
      </c>
      <c r="X81" s="142" t="inlineStr">
        <is>
          <t>24 Opal Cres, Singapore 328418</t>
        </is>
      </c>
    </row>
    <row r="82" ht="189.75" customHeight="1" s="130">
      <c r="A82" s="141" t="n">
        <v>46246</v>
      </c>
      <c r="B82" s="142" t="inlineStr">
        <is>
          <t>Singapore</t>
        </is>
      </c>
      <c r="C82" s="142" t="inlineStr">
        <is>
          <t>Grey Area Coffee Roasters</t>
        </is>
      </c>
      <c r="D82" s="142" t="inlineStr">
        <is>
          <t>La Papaya TM</t>
        </is>
      </c>
      <c r="E82" s="142" t="inlineStr">
        <is>
          <t>Hacienda La Papaya (Juan Peña)</t>
        </is>
      </c>
      <c r="F82" s="142" t="inlineStr">
        <is>
          <t>Loja, Ecuador</t>
        </is>
      </c>
      <c r="G82" s="142" t="inlineStr">
        <is>
          <t>Typica Mejorado</t>
        </is>
      </c>
      <c r="H82" s="142" t="inlineStr">
        <is>
          <t>Unknown — not stated on menu board or by barista; farm releases TM in Washed, Natural, Anaerobic Washed and Yeast-Inoculated Washed. Pending café confirmation.</t>
        </is>
      </c>
      <c r="I82" s="142" t="inlineStr">
        <is>
          <t>Unknown</t>
        </is>
      </c>
      <c r="J82" s="142" t="inlineStr">
        <is>
          <t>Solo Dripper by Mazelab (Flat-Bottom, 40° angle, Wave filter, PCTG plastic) + in-cup bypass</t>
        </is>
      </c>
      <c r="K82" s="142" t="n">
        <v>15</v>
      </c>
      <c r="L82" s="142" t="inlineStr">
        <is>
          <t>Unknown — dripper removed and bypass water added in-cup, volume not captured</t>
        </is>
      </c>
      <c r="M82" s="142" t="inlineStr">
        <is>
          <t>1:13.3 through-bed (200g) + unquantified in-cup bypass — final ratio Unknown</t>
        </is>
      </c>
      <c r="N82" s="142" t="inlineStr">
        <is>
          <t>Unknown</t>
        </is>
      </c>
      <c r="O82" s="142" t="inlineStr">
        <is>
          <t>58.7g first pour (1:3.9) — saturating pour, not a degassing bloom</t>
        </is>
      </c>
      <c r="P82" s="142" t="inlineStr">
        <is>
          <t>Mahlkönig EK43S (98mm Flat Burr)</t>
        </is>
      </c>
      <c r="Q82" s="142" t="n">
        <v>9.5</v>
      </c>
      <c r="R82" s="142" t="inlineStr">
        <is>
          <t>Apricot | Red Apple</t>
        </is>
      </c>
      <c r="S82" s="142" t="inlineStr">
        <is>
          <t>HOT: Bright and acidic — apple and apricot arrived together and competed for space, neither resolving. MID-COOL: Stewed apple became the dominant impression; apricot receded to a light, juice-like presence. COOL: Apricot took over the cup outright. Overall very good — reads like apple juice at points. No bitterness at any thermal phase despite the sub-band through-bed ratio. INVERSE THERMAL SEQUENCE vs Entry #034 (Ecuador La Papaya Geisha Washed, Pocket by Flip, 19 May 2026): that cup ran apricot-first then malic apple on cooling; this one ran apple-forward then apricot on cooling. Same farm, same descriptor pair, reversed thermal order. No thymol terpene coat and no floral top note — Typica Mejorado has no terpene pathway, so this is a pure malic/lactone architecture.</t>
        </is>
      </c>
      <c r="T82" s="142" t="inlineStr">
        <is>
          <t>SECOND HACIENDA LA PAPAYA ENTRY AND FIRST NON-GESHA LOT FROM THE FARM — enables a varietal delta (Typica Mejorado vs Geisha) against Entry #034 with producer, terroir and altitude band held constant. THIRD SOLO DRIPPER ENTRY IN THE ARCHIVE (after #062 and #067, both Pour.traits Roasters) AND THE FIRST OUTSIDE POUR.TRAITS — all three ran the same Mahlkönig EK43S 98mm flat burrs, so brewer and grinder are held constant and RATIO ARCHITECTURE is the isolated variable: #062 and #067 both ran a straight ~1:15, this one ran 1:13.3 through-bed plus in-cup bypass. SOLO GEOMETRY (Mazelab, designed by Jackie Tran, Czech Republic Brewers Cup Champion 2024): 40 degree wall angle, curved base, single large central hole, FLAT wave-filter bed, PCTG plastic. Barista-stated selection rationale — she wanted water to travel OUTWARDS across the bed rather than converge, and reserves the V60 for iced service. Flat bed gives uniform path length across the full diameter, structurally avoiding the conical fines-drain over-extraction signature (Law 1). PCTG is thermally near-neutral — no heat-sink behaviour vs stainless (Law 7). CONCENTRATE-PLUS-BYPASS ARCHITECTURE: 200g through the bed on a 15g dose (1:13.3), then dripper and filter removed and hot water added directly to the cup. This decouples extraction yield (set by through-bed water plus the Solo's fast drain) from final TDS (set by bypass volume) — and is why a sub-band 1:13.3 produced NO polyphenolic cool-phase bitterness, QUALIFYING LAW 2. Opening pour of 58.7g (1:3.9) is a saturating first pour, not a degassing bloom.</t>
        </is>
      </c>
      <c r="U82" s="142" t="inlineStr">
        <is>
          <t>Solo visit — Grey Area Coffee Roasters, 12 Aug 2026, ~13:00 SGT, Wednesday lunchtime. First visit; venue #41 in the archive. Busy lunch service — water temperature and final cup weight not captured, logged as honest nulls rather than estimated. Café founded by Xiang Sheng and Luke, both ex-Alchemist Coffee; Luke roasts in-house. Selected from a five-strong filter board (Nano Challa 8.5 / La Papaya TM 9.5 / La Papaya B7 10.0 / Emerson Filipe 8.0 / Los Rodriguez 10.5) on clarity grounds — TM chosen for the same-farm varietal delta against Entry #034.</t>
        </is>
      </c>
      <c r="V82" s="142" t="inlineStr">
        <is>
          <t>Live Field Audit — First Visit | Menu board photo (filter list + prices) + brew-in-progress photo (Solo Dripper with wave filter) + grinder photo (Mahlkönig) | Hari-stated hardware: EK43S grinder, Solo Dripper 40 degree, plastic | Barista-stated brewer selection rationale | Pour weights recorded live (58.7 / 140 / 200 cumulative) | PROCESS NOT STATED on board or by barista — pending café confirmation</t>
        </is>
      </c>
      <c r="W82" s="142">
        <f>IF(OR(ISNUMBER(SEARCH("gesha",G82)),ISNUMBER(SEARCH("geisha",G82))),"⭐ GESHA","")</f>
        <v/>
      </c>
      <c r="X82" s="142" t="inlineStr">
        <is>
          <t>13 Kampong Bahru Rd, Singapore 169345</t>
        </is>
      </c>
    </row>
    <row r="83" ht="189.75" customHeight="1" s="130">
      <c r="A83" s="141" t="n">
        <v>46249</v>
      </c>
      <c r="B83" s="142" t="inlineStr">
        <is>
          <t>Singapore</t>
        </is>
      </c>
      <c r="C83" s="142" t="inlineStr">
        <is>
          <t>Suzuki Cafe &amp; Roastery</t>
        </is>
      </c>
      <c r="D83" s="142" t="inlineStr">
        <is>
          <t>117 Jairo Arcila Gesha Natural EF2</t>
        </is>
      </c>
      <c r="E83" s="142" t="inlineStr">
        <is>
          <t>Finca Santa Mónica — Jairo Arcila &amp; family (Cofinet)</t>
        </is>
      </c>
      <c r="F83" s="142" t="inlineStr">
        <is>
          <t>Quindío, Colombia</t>
        </is>
      </c>
      <c r="G83" s="142" t="inlineStr">
        <is>
          <t>Gesha</t>
        </is>
      </c>
      <c r="H83" s="142" t="inlineStr">
        <is>
          <t>Extended Dry Anaerobic Natural (EF2) — two-stage: 24h dry aerobic ferment, then ~50h sealed in GrainPro below 22°C, then slow raised-bed drying to 11% moisture</t>
        </is>
      </c>
      <c r="I83" s="142" t="inlineStr">
        <is>
          <t>Light</t>
        </is>
      </c>
      <c r="J83" s="142" t="inlineStr">
        <is>
          <t>Hario V60 Glass 02 (Conical, 60°, single central aperture, olive wood collar) — glass body</t>
        </is>
      </c>
      <c r="K83" s="142" t="n">
        <v>15</v>
      </c>
      <c r="L83" s="142" t="n">
        <v>225</v>
      </c>
      <c r="M83" s="142" t="inlineStr">
        <is>
          <t>1:15</t>
        </is>
      </c>
      <c r="N83" s="142" t="inlineStr">
        <is>
          <t>92</t>
        </is>
      </c>
      <c r="O83" s="142" t="inlineStr">
        <is>
          <t>Unknown</t>
        </is>
      </c>
      <c r="P83" s="142" t="inlineStr">
        <is>
          <t>Mahlkönig EK43S (98mm Flat Burr)</t>
        </is>
      </c>
      <c r="Q83" s="142" t="n">
        <v>13</v>
      </c>
      <c r="R83" s="142" t="inlineStr">
        <is>
          <t>Lychee | Raspberries | Honey</t>
        </is>
      </c>
      <c r="S83" s="142" t="inlineStr">
        <is>
          <t>HOT: High acidity, bright and fruity; floral character present; anaerobic ferment detectable but subordinate — nothing dominates the cup. Honey sweetness rises within the first few sips. HOT-MID: Syrupy texture develops, berry emerging, turning steadily. MID-COOL: Berries clarify and lead — sits on the fruity axis rather than floral, despite the barista calling it floral. Enjoyed it despite being a Natural; brew parameters worked. COOL: Mellows to a honey-sweet finish, nice medium body, light residual sourness. Strong sweet-sour aftertaste reading as sweet orange or sweet strawberry — lingered so long it persisted into the next cup. ZERO cool-phase bitterness: first Natural-family Gesha in the archive to avoid the polyphenol penalty. Lychee not detected. Upper-tier entry and the best Gesha value in the archive at S$13.</t>
        </is>
      </c>
      <c r="T83" s="142" t="inlineStr">
        <is>
          <t>FIRST V60 CONICAL ENTRY WITHOUT OVER-EXTRACTION — EK43S 98mm flat burrs produced a PSD tight enough that the conical fines-migration failure mode never activated (cf. Entry #031 Kurasu, Entry #044 PPP Funan). RATIO OUTRANKS GEOMETRY: 1:15 at 92°C suppressed Extended Dry Anaerobic polyphenols below palate threshold, where Entry #058 (Double Shot, Kotowa Natural Gesha) failed at 1:13.3 on superior flat-bottom geometry with tighter Ditting burrs — isolating brew ratio, not brewer geometry, as the controlling variable for Natural-process cool-phase bitterness. Light roast preserved malic acid; the EF2 two-stage cold-held ferment kept fermentation subordinate to varietal expression. Glass brewer body = fourth material datapoint on Extraction Law 7 (after plastic, ceramic, stainless).</t>
        </is>
      </c>
      <c r="U83" s="142" t="inlineStr">
        <is>
          <t>Solo visit — Suzuki Cafe &amp; Roastery, 15 Aug 2026, Saturday late morning, first cup of a two-cup session. First visit; venue #42 in the archive. Boon Lay industrial estate, Kyoto-teahouse interior with indoor shishi-odoshi. Café packed at peak weekend rush; barista conversation limited by service volume. Barista confirmed 1:15 ratio, 92°C and Hario dripper; recommended this lot and described it as the more floral of the two (palate disagreed — see verdict). House flavour map plotted 117 in the Fruity quadrant, matching the palate reading over the barista testimony.</t>
        </is>
      </c>
      <c r="V83" s="142" t="inlineStr">
        <is>
          <t>Live Field Audit — First Visit | Barista-confirmed ratio, temperature and brewer | Bean card + wall card + retail bag photographed (varietal, altitude, process, EF2 designation, roast/intensity/acidity scores) | Dripper identified from direct photographs | Price from menu board</t>
        </is>
      </c>
      <c r="W83" s="142">
        <f>IF(OR(ISNUMBER(SEARCH("gesha",G83)),ISNUMBER(SEARCH("geisha",G83))),"⭐ GESHA","")</f>
        <v/>
      </c>
      <c r="X83" s="142" t="inlineStr">
        <is>
          <t>8 Chin Bee Ave, Singapore 619932</t>
        </is>
      </c>
    </row>
    <row r="84" ht="189.75" customHeight="1" s="130">
      <c r="A84" s="141" t="n">
        <v>46249</v>
      </c>
      <c r="B84" s="142" t="inlineStr">
        <is>
          <t>Singapore</t>
        </is>
      </c>
      <c r="C84" s="142" t="inlineStr">
        <is>
          <t>Suzuki Cafe &amp; Roastery</t>
        </is>
      </c>
      <c r="D84" s="142" t="inlineStr">
        <is>
          <t>119 Gargari Gutity</t>
        </is>
      </c>
      <c r="E84" s="142" t="inlineStr">
        <is>
          <t>Gargari Gutiti Washing Station — Banko kebele smallholders</t>
        </is>
      </c>
      <c r="F84" s="142" t="inlineStr">
        <is>
          <t>Gedeb, Gedeo Zone, Ethiopia</t>
        </is>
      </c>
      <c r="G84" s="142" t="inlineStr">
        <is>
          <t>Ethiopia Heirloom</t>
        </is>
      </c>
      <c r="H84" s="142" t="inlineStr">
        <is>
          <t>Supernatural (Extended Aerobic Natural) — thick-layer drying in a semi-permeable chamber with restricted sunlight and limited airflow; extended drying time increases fermentation of latent sugars; temperature, Brix and moisture monitored to ~12.5%</t>
        </is>
      </c>
      <c r="I84" s="142" t="inlineStr">
        <is>
          <t>Light</t>
        </is>
      </c>
      <c r="J84" s="142" t="inlineStr">
        <is>
          <t>Hario V60 Glass 02 (Conical, 60°, single central aperture, olive wood collar) — glass body</t>
        </is>
      </c>
      <c r="K84" s="142" t="n">
        <v>15</v>
      </c>
      <c r="L84" s="142" t="n">
        <v>225</v>
      </c>
      <c r="M84" s="142" t="inlineStr">
        <is>
          <t>1:15</t>
        </is>
      </c>
      <c r="N84" s="142" t="inlineStr">
        <is>
          <t>92</t>
        </is>
      </c>
      <c r="O84" s="142" t="inlineStr">
        <is>
          <t>Unknown</t>
        </is>
      </c>
      <c r="P84" s="142" t="inlineStr">
        <is>
          <t>Mahlkönig EK43S (98mm Flat Burr)</t>
        </is>
      </c>
      <c r="Q84" s="142" t="n">
        <v>8.5</v>
      </c>
      <c r="R84" s="142" t="inlineStr">
        <is>
          <t>Pineapple | Marmalade | Black Tea</t>
        </is>
      </c>
      <c r="S84" s="142" t="inlineStr">
        <is>
          <t>HOT: Very acidic and bright; tea-floral character leads; medium body; orange marmalade immediate and unmistakable — a clear citrus hit. HOT-MID: Unripe pineapple emerges — tropical ester family, not stone fruit. MID: Citrus and orange marmalade dominant; floral and fruit interleaved rather than one dominating; complex and layered — "a very complicated coffee with floral and fruit mixed together". COOL: Syrupy; sweet orange, pineapple and marmalade integrate; tea structure holds; decent and mellow, a slow-sipping tea-coffee that improves as it cools. All three official notes confirmed. Rated EQUAL to Entry #082 Gesha. No over-extraction — parameters judged built to perfection. Softened the stance on Natural process: syrupy and enjoyable, distinctly different from the washed cohort.</t>
        </is>
      </c>
      <c r="T84" s="142" t="inlineStr">
        <is>
          <t>ARCHIVE-DEFINING SESSION FINDING — AEROBIC vs ANAEROBIC ISOLATION: brewed on identical hardware, ratio, temperature and day as Entry #082, isolating fermentation architecture as the sole variable. The sealed anaerobic EF2 (#082) masked varietal and floral expression under berry esters; this open aerobic extended drying preserved florals, citrus and tea structure with fruit in support. Third same-session confirmation that 1:15 at 92°C suppresses extended-ferment polyphenols on V60 conical geometry when paired with 98mm flat burrs. ETHIOPIAN TERROIR CONSTANT CONFIRMED: orange/citrus now spans Guji, Sidamo and Gedeo zones across Washed, Natural and Supernatural processing — hypothesis promoted to established finding. WHITE PEACH ABSENT, supporting Guji-specificity rather than a pan-Ethiopian or JARC-lineage fingerprint. Station-level records indicate the Gargari Gutiti smallholder population is JARC 74110/7412/74165 — logged as Heirloom per bean card (source hierarchy).</t>
        </is>
      </c>
      <c r="U84" s="142" t="inlineStr">
        <is>
          <t>Solo visit — Suzuki Cafe &amp; Roastery, 15 Aug 2026, Saturday, second cup of a two-cup session. Palate reset compromised: nut-and-raisin rye bread consumed between cups, plus a long-lingering sweet-orange aftertaste carried over from Entry #082 — hot-phase reading treated as provisional at the time. Reading subsequently accepted as CLEAN: orange marmalade appeared hot, persisted through mid and was still present at cool; a residue artifact would have faded rather than intensified. TWO-CUP CONSISTENCY FINDING: two different origins and two different processing architectures, brewed back to back during peak weekend rush, both landing clean — evidence of a systematic house recipe rather than a single lucky cup.</t>
        </is>
      </c>
      <c r="V84" s="142" t="inlineStr">
        <is>
          <t>Live Field Audit — First Visit | Barista-confirmed ratio, temperature and brewer | Bean card photographed (varietal, altitude 1,983 m.a.s.l., Supernatural process, Light roast, intensity 2.5/5, acidity 4.5/5 — highest on the house board) | Process mechanism from station documentation | Price from menu board</t>
        </is>
      </c>
      <c r="W84" s="142">
        <f>IF(OR(ISNUMBER(SEARCH("gesha",G84)),ISNUMBER(SEARCH("geisha",G84))),"⭐ GESHA","")</f>
        <v/>
      </c>
      <c r="X84" s="142" t="inlineStr">
        <is>
          <t>8 Chin Bee Ave, Singapore 619932</t>
        </is>
      </c>
    </row>
    <row r="85" ht="189.75" customHeight="1" s="130">
      <c r="A85" s="143" t="n">
        <v>46256</v>
      </c>
      <c r="B85" s="144" t="inlineStr">
        <is>
          <t>Johor Bahru</t>
        </is>
      </c>
      <c r="C85" s="144" t="inlineStr">
        <is>
          <t>Sweet Blossom Coffee Roasters</t>
        </is>
      </c>
      <c r="D85" s="144" t="inlineStr">
        <is>
          <t>AB Mwirua Getuya #006</t>
        </is>
      </c>
      <c r="E85" s="144" t="inlineStr">
        <is>
          <t>Unknown — AB is a screen-size grade, not an estate; washing station not stated on bean card or by barista</t>
        </is>
      </c>
      <c r="F85" s="144" t="inlineStr">
        <is>
          <t>Kenya</t>
        </is>
      </c>
      <c r="G85" s="144" t="inlineStr">
        <is>
          <t>SL28 &amp; SL34, Batian, Ruiru 11</t>
        </is>
      </c>
      <c r="H85" s="144" t="inlineStr">
        <is>
          <t>Washed</t>
        </is>
      </c>
      <c r="I85" s="144" t="inlineStr">
        <is>
          <t>Unknown — not stated on bean card or by barista</t>
        </is>
      </c>
      <c r="J85" s="144" t="inlineStr">
        <is>
          <t>Hario — ceramic conical wall with spiral ribs and a FLAT RECESSED FOUR-HOLE BASE PLATE (multi-aperture restricted base, not a single central aperture); model Unknown</t>
        </is>
      </c>
      <c r="K85" s="144" t="n">
        <v>15</v>
      </c>
      <c r="L85" s="144" t="n">
        <v>240</v>
      </c>
      <c r="M85" s="144" t="inlineStr">
        <is>
          <t>1:16</t>
        </is>
      </c>
      <c r="N85" s="144" t="inlineStr">
        <is>
          <t>93</t>
        </is>
      </c>
      <c r="O85" s="144" t="inlineStr">
        <is>
          <t>Unknown — four-pour structure barista-confirmed; individual pour weights not captured</t>
        </is>
      </c>
      <c r="P85" s="144" t="inlineStr">
        <is>
          <t>Mahlkönig EK43 (98mm Flat Burr)</t>
        </is>
      </c>
      <c r="Q85" s="144" t="n">
        <v>6.98</v>
      </c>
      <c r="R85" s="144" t="inlineStr">
        <is>
          <t>Currants | Rosehip | Brown Sugar | Strawberry Tea</t>
        </is>
      </c>
      <c r="S85" s="144" t="inlineStr">
        <is>
          <t>HOT: Bright and properly acidic; currants immediate and running the full length of the cup. MID: Berries opening out while clarity holds — no loss of definition as the profile moves from acid-led to fruit-led; brightness undiminished. COOL: Brown sugar arrives exactly on cue and resolves cleanly, with a quiet berry aftertaste persisting underneath and brightness still intact. No cool-phase bitterness at any point. The house card's three-phase prediction verified in all three bands. Preferred cup of the two-cup session.</t>
        </is>
      </c>
      <c r="T85" s="144" t="inlineStr">
        <is>
          <t>HOUSE CARD THERMAL PREDICTION VERIFIED — FIRST ARCHIVE INSTANCE. Sweet Blossom's bean card commits to a falsifiable three-phase arc (currants/rosehip hot, aromatic brown sugar as it cools, strawberry-tea aftertaste) and the cup matched it in all three phases. Elevates the printed bean card above generic menu descriptors in the source hierarchy for this venue. VARIETAL COMPOSITION: AB denotes screen size, not varietal. This lot blends SL28 &amp; SL34 with Batian and Ruiru 11 — the modern disease-resistant Kenyan cultivars — which typically round the sharp linear phosphoric-malic attack of pure SL selections. The currant-led rather than piercing-blackcurrant profile is consistent with that dilution and is the likely explanation for the unusually smooth acid delivery. HARDWARE: EK43 98mm flats at 1:16 / 93°C across four pours. The brewer is the notable variable — a ceramic conical-wall cone terminating in a flat recessed base plate with FOUR discrete holes rather than the single wide aperture of a V60. Four separated exits cap maximum flow rate independent of grind size, so the documented V60 apex-choke failure mode (Entries #031, #044 — fines migrating to a single outlet and over-extracting) is structurally unavailable on this geometry. First archive entry on a multi-aperture restricted-base cone; behaviourally closer to Kalita Wave contact-time dominance than to V60 percolation despite the conical wall.</t>
        </is>
      </c>
      <c r="U85" s="144" t="inlineStr">
        <is>
          <t>Day trip to Johor Bahru with Anusha, 22 Aug 2026. Second stop of six; arrived 13:37 by Grab from Komtar JBCC, departed 14:38 — 61 minutes at the bar. First cup of a deliberate two-cup controlled comparison (Washed vs Anaerobic Washed) on identical grinder, ratio, temperature, brewer and barista. Coffee-only venue — no food, no pastries, no distraction. Baristas: Grace, plus a second barista whose name was not captured (the visit's one data regret) who brewed both cups and argued the case for the Indonesian lot on its merits. Green sack wall observed and photographed: Nordic Approach (Sítio Cachoeira #4, Rodrigo Pereira, NORDIC29, Red Catuaí, Brazil), Café Tuxpal El Salvador El Condor Bourbon FW, Pirineos washed, plus Colombia and Brazil lots. Untried on the filter list: Colectivo Cedrobamba Peru natural RM20, Santa Rosa P50 El Salvador Pacamara honey RM23, Maguta Kenya nitrogen-flushed natural Lot L2 RM30 (resting).</t>
        </is>
      </c>
      <c r="V85" s="144" t="inlineStr">
        <is>
          <t>Live Field Audit — First Visit | Barista-confirmed grinder, dose, yield, ratio, temperature and pour count | Bean card photographed (varietal, process, three-phase house notes) | Filter menu photographed (RM22) | Brewer and grinder photographed — four-hole base plate clearly visible; model not identified and logged Unknown per no-inference rule | Payment RM43 for both cups, NETS debit S$13.93 @ 0.323869 | Archive price converted at the standing 1 SGD = 3.15 MYR reference rate</t>
        </is>
      </c>
      <c r="W85" s="144">
        <f>IF(OR(ISNUMBER(SEARCH("gesha",G85)),ISNUMBER(SEARCH("geisha",G85))),"⭐ GESHA","")</f>
        <v/>
      </c>
      <c r="X85" s="144" t="inlineStr">
        <is>
          <t>28 Jalan Maju, Taman Pelangi, 80400 Johor Bahru, Johor, Malaysia</t>
        </is>
      </c>
    </row>
    <row r="86" ht="189.75" customHeight="1" s="130">
      <c r="A86" s="143" t="n">
        <v>46256</v>
      </c>
      <c r="B86" s="144" t="inlineStr">
        <is>
          <t>Johor Bahru</t>
        </is>
      </c>
      <c r="C86" s="144" t="inlineStr">
        <is>
          <t>Sweet Blossom Coffee Roasters</t>
        </is>
      </c>
      <c r="D86" s="144" t="inlineStr">
        <is>
          <t>Cibeureum Lot 41</t>
        </is>
      </c>
      <c r="E86" s="144" t="inlineStr">
        <is>
          <t>Unknown — lot 41, Cibeureum; producer and washing station not stated on menu or by barista</t>
        </is>
      </c>
      <c r="F86" s="144" t="inlineStr">
        <is>
          <t>Indonesia — sub-region not stated</t>
        </is>
      </c>
      <c r="G86" s="144" t="inlineStr">
        <is>
          <t>Mixed varietals — not specified on menu or by barista</t>
        </is>
      </c>
      <c r="H86" s="144" t="inlineStr">
        <is>
          <t>Anaerobic Washed</t>
        </is>
      </c>
      <c r="I86" s="144" t="inlineStr">
        <is>
          <t>Unknown — not stated on menu or by barista</t>
        </is>
      </c>
      <c r="J86" s="144" t="inlineStr">
        <is>
          <t>Hario — ceramic conical wall with spiral ribs and a FLAT RECESSED FOUR-HOLE BASE PLATE (multi-aperture restricted base, not a single central aperture); model Unknown</t>
        </is>
      </c>
      <c r="K86" s="144" t="n">
        <v>15</v>
      </c>
      <c r="L86" s="144" t="n">
        <v>240</v>
      </c>
      <c r="M86" s="144" t="inlineStr">
        <is>
          <t>1:16</t>
        </is>
      </c>
      <c r="N86" s="144" t="inlineStr">
        <is>
          <t>93</t>
        </is>
      </c>
      <c r="O86" s="144" t="inlineStr">
        <is>
          <t>Unknown — four-pour structure barista-confirmed; individual pour weights not captured</t>
        </is>
      </c>
      <c r="P86" s="144" t="inlineStr">
        <is>
          <t>Mahlkönig EK43 (98mm Flat Burr)</t>
        </is>
      </c>
      <c r="Q86" s="144" t="n">
        <v>6.67</v>
      </c>
      <c r="R86" s="144" t="inlineStr">
        <is>
          <t>Red Grapes | Hibiscus | Water Chestnut</t>
        </is>
      </c>
      <c r="S86" s="144" t="inlineStr">
        <is>
          <t>HOT: Bright, with the washed base clearly legible beneath the ferment — process character reads first, fermentation second. MID: A little funky as the anaerobic layer asserts itself, but contained and never muddy; a clear mandarin orange note comes through the middle. COOL: Brightness holds; ferment expresses as lift and texture rather than as jam or wine. No cool-phase bitterness. Good cup, but the Kenya was the better of the two.</t>
        </is>
      </c>
      <c r="T86" s="144" t="inlineStr">
        <is>
          <t>CONTROLLED FERMENTATION ISOLATION — SECOND OF TWO CUPS, SINGLE VARIABLE MOVED. Identical grinder (EK43 98mm flat), ratio (1:16), temperature (93°C), pour count (4), brewer geometry and barista as Entry #084; only the process differs — Washed vs Anaerobic Washed. RESULT: the washed base remained legible underneath the ferment, and the fermentation expressed as controlled funk and aromatic lift rather than as ester masking. This is a materially different outcome from the sealed-anaerobic-on-natural EF2 result at Suzuki (Entry #082), where the ferment buried varietal and floral expression under berry esters. WORKING CONCLUSION: anaerobic fermentation applied over a WASHED base is substantially less occlusive than the same fermentation applied over a NATURAL base — mucilage removed prior to sealing appears to cap the ester load available to the ferment. This refines Law 9 (fermentation architecture governs varietal expression) by identifying the pre-ferment substrate, not merely the vessel, as a controlling term. DIVERGENCE FROM HOUSE CARD: the card claimed red grapes, hibiscus and water chestnut; the cup delivered mandarin orange as the dominant fruit descriptor. Unlike Entry #084 the card did not predict this cup — card reliability at this venue is therefore process-dependent, strong on washed and weaker on fermented lots. RATIO: 1:16 sits mid-band of the 1:15–1:17 Palate DNA window and well clear of the ≤1:14 concentration threshold at which fermented lots have historically failed in this archive.</t>
        </is>
      </c>
      <c r="U86" s="144" t="inlineStr">
        <is>
          <t>Day trip to Johor Bahru with Anusha, 22 Aug 2026. Second cup of a two-cup session at Sweet Blossom, same date, venue, hardware and barista as Entry #084. Ordered second by design so that ferment esters could not contaminate the washed reference cup; approximately 15 minutes and a water reset between cups. Brewed by the second barista (name not captured), who had recommended this lot unprompted and made a substantive case for Indonesian coffee generally.</t>
        </is>
      </c>
      <c r="V86" s="144" t="inlineStr">
        <is>
          <t>Live Field Audit — First Visit | Barista-confirmed grinder, dose, yield, ratio, temperature and pour count | Filter menu photographed (lot name, origin, process, house notes, RM21) | Brewer and grinder photographed; model not identified and logged Unknown per no-inference rule | Payment RM43 for both cups, NETS debit S$13.93 @ 0.323869 | Archive price converted at the standing 1 SGD = 3.15 MYR reference rate</t>
        </is>
      </c>
      <c r="W86" s="144">
        <f>IF(OR(ISNUMBER(SEARCH("gesha",G86)),ISNUMBER(SEARCH("geisha",G86))),"⭐ GESHA","")</f>
        <v/>
      </c>
      <c r="X86" s="144" t="inlineStr">
        <is>
          <t>28 Jalan Maju, Taman Pelangi, 80400 Johor Bahru, Johor, Malaysia</t>
        </is>
      </c>
    </row>
    <row r="87" ht="189.75" customHeight="1" s="130">
      <c r="A87" s="143" t="n">
        <v>46256</v>
      </c>
      <c r="B87" s="144" t="inlineStr">
        <is>
          <t>Johor Bahru</t>
        </is>
      </c>
      <c r="C87" s="144" t="inlineStr">
        <is>
          <t>August Drip Coffee</t>
        </is>
      </c>
      <c r="D87" s="144" t="inlineStr">
        <is>
          <t>La Mariposa — Panama Boquete</t>
        </is>
      </c>
      <c r="E87" s="144" t="inlineStr">
        <is>
          <t>Unknown — "La Mariposa" is a blended Boquete lot; producing farm not stated on bean card or by barista</t>
        </is>
      </c>
      <c r="F87" s="144" t="inlineStr">
        <is>
          <t>Boquete, Panama</t>
        </is>
      </c>
      <c r="G87" s="144" t="inlineStr">
        <is>
          <t>Gesha (70%) &amp; Typica (30%) — BLEND, not a single-varietal lot</t>
        </is>
      </c>
      <c r="H87" s="144" t="inlineStr">
        <is>
          <t>Anaerobic Natural</t>
        </is>
      </c>
      <c r="I87" s="144" t="inlineStr">
        <is>
          <t>Unknown — no roast badge on the bean card photographed; venue roasts predominantly light but not confirmed for this lot</t>
        </is>
      </c>
      <c r="J87" s="144" t="inlineStr">
        <is>
          <t>Switch dripper — full immersion with valve-controlled release; non-Hario (Chinese-made unit; house Hario switches failed repeatedly), model Unknown</t>
        </is>
      </c>
      <c r="K87" s="144" t="inlineStr">
        <is>
          <t>Unknown — not stated by barista</t>
        </is>
      </c>
      <c r="L87" s="144" t="inlineStr">
        <is>
          <t>Unknown — served in glass carafe; brew-water charge 210–215 g confirmed, final beverage yield not measured</t>
        </is>
      </c>
      <c r="M87" s="144" t="inlineStr">
        <is>
          <t>Unknown — dose not stated; water charge 210–215 g confirmed</t>
        </is>
      </c>
      <c r="N87" s="144" t="inlineStr">
        <is>
          <t>95</t>
        </is>
      </c>
      <c r="O87" s="144" t="inlineStr">
        <is>
          <t>N/A — no bloom phase in this protocol; single 20-second charge poured with the valve CLOSED, then undisturbed full immersion to 2:50</t>
        </is>
      </c>
      <c r="P87" s="144" t="inlineStr">
        <is>
          <t>Mahlkönig EK43S (98mm Flat Burr) — setting #7</t>
        </is>
      </c>
      <c r="Q87" s="144" t="n">
        <v>11.75</v>
      </c>
      <c r="R87" s="144" t="inlineStr">
        <is>
          <t>Floral Fragrance | Citrus | Apple | Plum</t>
        </is>
      </c>
      <c r="S87" s="144" t="inlineStr">
        <is>
          <t>HOT: Floral on the nose and immediately into orange and lime; bright, high clarity, unmistakably tea-like in body. MID: Apple emerging as temperature drops, fruit sweetness broadening without any loss of definition. COOL: Citrus and fruit holding to the final sip — no decay, no thinning, no cool-phase bitterness; intensity essentially flat across the thermal range rather than declining. NOT DETECTED: berry, jam, wine or solvent character. For a sealed anaerobic natural on a Gesha-dominant lot the ferment left almost no fingerprint. Among the strongest cups in the archive.</t>
        </is>
      </c>
      <c r="T87" s="144" t="inlineStr">
        <is>
          <t>ARCHIVE-DEFINING METHOD ENTRY — FIRST FULL-IMMERSION SWITCH PROTOCOL LOGGED. House method confirmed directly by co-owner and barista Pei: 95°C water, EK43S setting #7 (fine), valve CLOSED, the entire 210–215 ml charge delivered in a SINGLE POUR OF 20 SECONDS with no pulsing, circling or agitation, undisturbed full immersion until 2:50, then valve opened for a single drawdown. Pour time was originally field-recorded as "30 seconds or less" and subsequently corrected to 20 s by Pei on 23 Aug 2026 — barista confirmation overrides field recall. CANDIDATE EXTRACTION LAW 10 — IMMERSION DECOUPLES GRIND SIZE FROM FLOW RATE: in percolation, grind governs surface area and drawdown rate simultaneously, so extraction yield cannot be pursued without paying in flow; with the valve shut there is no flow to choke, and fineness can be pushed to a level that would trigger apex choke in a conical cone. EK43S #7 would be reckless in a V60 and is unremarkable here. Two supporting mechanisms: (i) a static column cannot compact, so channelling and fines migration are structurally unavailable rather than merely avoided; (ii) colloids and lipids remain in suspension for the full steep instead of being progressively stripped and filtered by continuous flow — the origin of the body Pei explicitly optimises for. SYSTEM DESIGN NOTE: removing pour rate, pour pattern, agitation and pulse timing leaves only grind, temperature, water mass and a clock — variables that can be handed to a barista on a first shift. Applied team-wide with per-lot tuning only; a protocol engineered for cross-barista consistency rather than individual virtuosity. FERMENTATION FINDING — consistent with Entry #085 and contrary to Entry #082: anaerobic ferment failed to mask varietal expression, with orange and lime leading and no berry or wine register at any temperature. VARIETAL CAVEAT: this is a 70/30 Gesha-Typica blend, so varietal attribution is partial and the Typica fraction may account for some of the body and the mid-phase apple. Gesha_Alert fires on Gesha-dominant composition; the blend is flagged explicitly here to prevent downstream analysis reading it as a single-varietal Gesha lot. ORANGE/CITRUS CROSS-TERROIR NOTE: orange appears again here, now outside Ethiopia — open question whether this is a Gesha genetic marker rather than an Ethiopian terroir constant.</t>
        </is>
      </c>
      <c r="U87" s="144" t="inlineStr">
        <is>
          <t>Day trip to Johor Bahru with Anusha, 22 Aug 2026. Sixth and final stop of the day; arrived 19:27 by Grab from Bangkok Spa, departed 20:48 — 81 minutes on site. Venue deliberately scheduled last because it trades until 22:00. Asked whether the bar carried any Gesha and was shown MORE THAN TEN distinct Gesha lots, predominantly anaerobic — the deepest single-venue Gesha bench encountered in the archive to date. Approximately 45 minutes in conversation with co-owner and barista Pei, who shared the full house brewing protocol unprompted, reviewed the Hari Coffee Archive spreadsheet, and exchanged contact details; common ground on whisky, and she knows Homeground. Added to the barista leaderboard alongside Jason (Prodigal), Ong Shen Choy (Fluid Collective) and Elysia Tan (Homeground). Also consumed: Bite Me Brownie (78% dark chocolate, mousse layer) RM17.90 and banana chocolate pound cake RM12.90, both rated highly — patisserie quality matches the coffee programme. Seven retail drip bags purchased on departure for RM52.20 (invoice T01-013385). Venue named default Johor Bahru destination going forward; return planned for a morning visit to allow multiple cups.</t>
        </is>
      </c>
      <c r="V87" s="144" t="inlineStr">
        <is>
          <t>Live Field Audit — First Visit | Full brewing protocol barista-confirmed direct from co-owner Pei (temperature, grinder setting, water charge, pour duration, steep time, valve sequence), with pour time corrected by her from 30 s to 20 s in follow-up 23 Aug 2026 | Bean card photographed (grade SHB, variety, altitude 1600–1700 m, process, 70/30 blend composition, house notes) | Itemised invoice T01-013384, JIA Coffee House Sdn Bhd (Reg 1221078W), 211 Jalan Dato Sulaiman, RM81.80 total with the cup at RM37 | Brewer confirmed by Pei as a non-Hario switch-type immersion dripper; model not identified and logged Unknown per no-inference rule | Archive price converted at the standing 1 SGD = 3.15 MYR reference rate</t>
        </is>
      </c>
      <c r="W87" s="144">
        <f>IF(OR(ISNUMBER(SEARCH("gesha",G87)),ISNUMBER(SEARCH("geisha",G87))),"⭐ GESHA","")</f>
        <v/>
      </c>
      <c r="X87" s="144" t="inlineStr">
        <is>
          <t>211 Jalan Dato Sulaiman, Taman Abad, 80250 Johor Bahru, Johor, Malaysia</t>
        </is>
      </c>
    </row>
  </sheetData>
  <conditionalFormatting sqref="A2:W2000">
    <cfRule type="expression" rank="0" priority="2" equalAverage="0" aboveAverage="0" dxfId="0" text="" percent="0" bottom="0">
      <formula>AND($A2&lt;&gt;"",OR(ISNUMBER(SEARCH("gesha",$G2)),ISNUMBER(SEARCH("geisha",$G2))))</formula>
    </cfRule>
    <cfRule type="expression" rank="0" priority="3" equalAverage="0" aboveAverage="0" dxfId="1" text="" percent="0" bottom="0">
      <formula>AND($A2&lt;&gt;"",MOD(ROW(),2)=0)</formula>
    </cfRule>
    <cfRule type="expression" rank="0" priority="4" equalAverage="0" aboveAverage="0" dxfId="2" text="" percent="0" bottom="0">
      <formula>AND($A2&lt;&gt;"",MOD(ROW(),2)=1)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tabColor rgb="FFC9902A"/>
    <outlinePr summaryBelow="1" summaryRight="1"/>
    <pageSetUpPr fitToPage="0"/>
  </sheetPr>
  <dimension ref="B1:M8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129" min="1" max="1"/>
    <col width="4.5" customWidth="1" style="129" min="2" max="2"/>
    <col width="26" customWidth="1" style="129" min="3" max="3"/>
    <col width="17" customWidth="1" style="129" min="4" max="4"/>
    <col width="13" customWidth="1" style="129" min="5" max="5"/>
    <col width="9.52" customWidth="1" style="129" min="6" max="6"/>
    <col width="12" customWidth="1" style="129" min="7" max="7"/>
    <col width="10" customWidth="1" style="129" min="8" max="13"/>
  </cols>
  <sheetData>
    <row r="1" ht="30" customHeight="1" s="130">
      <c r="B1" s="145" t="inlineStr">
        <is>
          <t>☕   T H E   H A R I   C O F F E E   A R C H I V E   ·   2 0 2 6</t>
        </is>
      </c>
    </row>
    <row r="2" ht="13.5" customHeight="1" s="130">
      <c r="B2" s="146" t="inlineStr">
        <is>
          <t>Master Extraction Archivist  ·  Singapore · Bali · Mumbai · Johor Bahru  ·  Clarity over Complexity  ·  three-phase thermal record</t>
        </is>
      </c>
    </row>
    <row r="3" ht="6" customHeight="1" s="130"/>
    <row r="4" ht="16.5" customHeight="1" s="130">
      <c r="B4" s="147" t="inlineStr">
        <is>
          <t xml:space="preserve">  ▸  ARCHIVE VITALS   —   every figure below is a live formula; add a row and the dashboard moves with it</t>
        </is>
      </c>
    </row>
    <row r="5" ht="3.75" customHeight="1" s="130"/>
    <row r="6" ht="13.5" customHeight="1" s="130">
      <c r="B6" s="148" t="inlineStr">
        <is>
          <t>TOTAL ENTRIES</t>
        </is>
      </c>
      <c r="D6" s="148" t="inlineStr">
        <is>
          <t>UNIQUE CAFÉS</t>
        </is>
      </c>
      <c r="E6" s="148" t="inlineStr">
        <is>
          <t>CITIES</t>
        </is>
      </c>
      <c r="F6" s="148" t="inlineStr">
        <is>
          <t>⭐ GESHA CUPS</t>
        </is>
      </c>
      <c r="G6" s="148" t="inlineStr">
        <is>
          <t>WASHED SHARE</t>
        </is>
      </c>
      <c r="H6" s="148" t="inlineStr">
        <is>
          <t>ARCHIVE SPEND</t>
        </is>
      </c>
      <c r="J6" s="148" t="inlineStr">
        <is>
          <t>AVG CUP</t>
        </is>
      </c>
      <c r="K6" s="148" t="inlineStr">
        <is>
          <t>AVG GESHA</t>
        </is>
      </c>
      <c r="L6" s="148" t="inlineStr">
        <is>
          <t>PEAK CUP</t>
        </is>
      </c>
      <c r="M6" s="148" t="inlineStr">
        <is>
          <t>ORIGINS</t>
        </is>
      </c>
    </row>
    <row r="7" ht="30" customHeight="1" s="130">
      <c r="B7" s="149">
        <f>COUNTA('Coffee Audit'!A2:A2000)</f>
        <v/>
      </c>
      <c r="D7" s="149">
        <f>SUMPRODUCT(('Coffee Audit'!C2:C2000&lt;&gt;"")/COUNTIF('Coffee Audit'!C2:C2000,'Coffee Audit'!C2:C2000&amp;""))</f>
        <v/>
      </c>
      <c r="E7" s="149">
        <f>SUMPRODUCT(('Coffee Audit'!B2:B2000&lt;&gt;"")/COUNTIF('Coffee Audit'!B2:B2000,'Coffee Audit'!B2:B2000&amp;""))</f>
        <v/>
      </c>
      <c r="F7" s="149">
        <f>COUNTIF('Coffee Audit'!W2:W2000,"⭐ GESHA")</f>
        <v/>
      </c>
      <c r="G7" s="149">
        <f>TEXT(COUNTIF('Coffee Audit'!H2:H2000,"*Washed*")/COUNTA('Coffee Audit'!A2:A2000),"0%")</f>
        <v/>
      </c>
      <c r="H7" s="149">
        <f>SUM('Coffee Audit'!Q2:Q2000)</f>
        <v/>
      </c>
      <c r="J7" s="150">
        <f>AVERAGEIFS('Coffee Audit'!Q2:Q2000,'Coffee Audit'!Q2:Q2000,"&gt;0")</f>
        <v/>
      </c>
      <c r="K7" s="150">
        <f>AVERAGEIFS('Coffee Audit'!Q2:Q2000,'Coffee Audit'!W2:W2000,"⭐ GESHA",'Coffee Audit'!Q2:Q2000,"&gt;0")</f>
        <v/>
      </c>
      <c r="L7" s="150">
        <f>MAX('Coffee Audit'!Q2:Q2000)</f>
        <v/>
      </c>
      <c r="M7" s="151">
        <f>SUMPRODUCT(('Coffee Audit'!F2:F2000&lt;&gt;"")/COUNTIF('Coffee Audit'!F2:F2000,'Coffee Audit'!F2:F2000&amp;""))</f>
        <v/>
      </c>
    </row>
    <row r="8" ht="12" customHeight="1" s="130">
      <c r="B8" s="152" t="inlineStr">
        <is>
          <t>field-audited cups</t>
        </is>
      </c>
      <c r="D8" s="152" t="inlineStr">
        <is>
          <t>venues audited</t>
        </is>
      </c>
      <c r="E8" s="152" t="inlineStr">
        <is>
          <t>SG · Bali · Mumbai · JB</t>
        </is>
      </c>
      <c r="F8" s="152">
        <f>TEXT(COUNTIF('Coffee Audit'!W2:W2000,"⭐ GESHA")/COUNTA('Coffee Audit'!A2:A2000),"0%")&amp;" of archive"</f>
        <v/>
      </c>
      <c r="G8" s="152" t="inlineStr">
        <is>
          <t>process-family share</t>
        </is>
      </c>
      <c r="H8" s="152" t="inlineStr">
        <is>
          <t>total S$ logged</t>
        </is>
      </c>
      <c r="J8" s="152" t="inlineStr">
        <is>
          <t>live</t>
        </is>
      </c>
      <c r="K8" s="152" t="inlineStr">
        <is>
          <t>live</t>
        </is>
      </c>
      <c r="L8" s="152" t="inlineStr">
        <is>
          <t>live</t>
        </is>
      </c>
      <c r="M8" s="152" t="inlineStr">
        <is>
          <t>live</t>
        </is>
      </c>
    </row>
    <row r="9" ht="6.75" customHeight="1" s="130"/>
    <row r="10" ht="16.5" customHeight="1" s="130">
      <c r="B10" s="153" t="inlineStr">
        <is>
          <t xml:space="preserve">  ▸  LATEST CUP IN THE ARCHIVE   —   auto-pulls the final row; never needs editing</t>
        </is>
      </c>
    </row>
    <row r="11" ht="12" customHeight="1" s="130">
      <c r="B11" s="154" t="inlineStr">
        <is>
          <t>DATE</t>
        </is>
      </c>
      <c r="D11" s="154" t="inlineStr">
        <is>
          <t>CAFÉ</t>
        </is>
      </c>
      <c r="E11" s="154" t="inlineStr">
        <is>
          <t>COFFEE</t>
        </is>
      </c>
      <c r="F11" s="154" t="inlineStr">
        <is>
          <t>ORIGIN</t>
        </is>
      </c>
      <c r="G11" s="154" t="inlineStr">
        <is>
          <t>VARIETAL</t>
        </is>
      </c>
      <c r="H11" s="154" t="inlineStr">
        <is>
          <t>PROCESS</t>
        </is>
      </c>
      <c r="I11" s="154" t="inlineStr">
        <is>
          <t>RATIO</t>
        </is>
      </c>
      <c r="J11" s="154" t="inlineStr">
        <is>
          <t>TEMP °C</t>
        </is>
      </c>
      <c r="L11" s="154" t="inlineStr">
        <is>
          <t>PRICE</t>
        </is>
      </c>
    </row>
    <row r="12" ht="24" customHeight="1" s="130">
      <c r="B12" s="155">
        <f>INDEX('Coffee Audit'!A2:A2000,COUNTA('Coffee Audit'!A2:A2000))</f>
        <v/>
      </c>
      <c r="D12" s="156">
        <f>INDEX('Coffee Audit'!C2:C2000,COUNTA('Coffee Audit'!A2:A2000))</f>
        <v/>
      </c>
      <c r="E12" s="156">
        <f>INDEX('Coffee Audit'!D2:D2000,COUNTA('Coffee Audit'!A2:A2000))</f>
        <v/>
      </c>
      <c r="F12" s="156">
        <f>INDEX('Coffee Audit'!F2:F2000,COUNTA('Coffee Audit'!A2:A2000))</f>
        <v/>
      </c>
      <c r="G12" s="156">
        <f>INDEX('Coffee Audit'!G2:G2000,COUNTA('Coffee Audit'!A2:A2000))</f>
        <v/>
      </c>
      <c r="H12" s="156">
        <f>INDEX('Coffee Audit'!H2:H2000,COUNTA('Coffee Audit'!A2:A2000))</f>
        <v/>
      </c>
      <c r="I12" s="156">
        <f>INDEX('Coffee Audit'!M2:M2000,COUNTA('Coffee Audit'!A2:A2000))</f>
        <v/>
      </c>
      <c r="J12" s="156">
        <f>INDEX('Coffee Audit'!N2:N2000,COUNTA('Coffee Audit'!A2:A2000))</f>
        <v/>
      </c>
      <c r="L12" s="157">
        <f>INDEX('Coffee Audit'!Q2:Q2000,COUNTA('Coffee Audit'!A2:A2000))</f>
        <v/>
      </c>
    </row>
    <row r="13" ht="6.75" customHeight="1" s="130"/>
    <row r="14" ht="16.5" customHeight="1" s="130">
      <c r="B14" s="153">
        <f>"  ⭐  GESHA / GEISHA HALL OF FAME   —   all "&amp;COUNTIF('Coffee Audit'!W2:W2000,"⭐ GESHA")&amp;" apex-varietal cups, ranked by price paid"</f>
        <v/>
      </c>
    </row>
    <row r="15" ht="15" customHeight="1" s="130">
      <c r="B15" s="158" t="inlineStr">
        <is>
          <t>#</t>
        </is>
      </c>
      <c r="C15" s="158" t="inlineStr">
        <is>
          <t>Café</t>
        </is>
      </c>
      <c r="D15" s="158" t="inlineStr">
        <is>
          <t>Origin · Farm</t>
        </is>
      </c>
      <c r="E15" s="158" t="inlineStr">
        <is>
          <t>Process</t>
        </is>
      </c>
      <c r="F15" s="158" t="inlineStr">
        <is>
          <t>Price</t>
        </is>
      </c>
      <c r="G15" s="158" t="inlineStr">
        <is>
          <t>Archive Flag</t>
        </is>
      </c>
    </row>
    <row r="16" ht="12.75" customHeight="1" s="130">
      <c r="B16" s="159" t="n">
        <v>1</v>
      </c>
      <c r="C16" s="160" t="inlineStr">
        <is>
          <t>Pour.traits Roasters</t>
        </is>
      </c>
      <c r="D16" s="160" t="inlineStr">
        <is>
          <t>Panama · Finca Sophia Torcaza</t>
        </is>
      </c>
      <c r="E16" s="161" t="inlineStr">
        <is>
          <t>Washed</t>
        </is>
      </c>
      <c r="F16" s="162" t="n">
        <v>60</v>
      </c>
      <c r="G16" s="163" t="inlineStr">
        <is>
          <t>👑 ARCHIVE #1</t>
        </is>
      </c>
    </row>
    <row r="17" ht="12.75" customHeight="1" s="130">
      <c r="B17" s="174" t="n">
        <v>2</v>
      </c>
      <c r="C17" s="175" t="inlineStr">
        <is>
          <t>Fluid Collective</t>
        </is>
      </c>
      <c r="D17" s="175" t="inlineStr">
        <is>
          <t>Panama · Boot / Hartmann / Pohl</t>
        </is>
      </c>
      <c r="E17" s="176" t="inlineStr">
        <is>
          <t>Natural</t>
        </is>
      </c>
      <c r="F17" s="177" t="n">
        <v>32</v>
      </c>
      <c r="G17" s="178" t="n"/>
    </row>
    <row r="18" ht="12.75" customHeight="1" s="130">
      <c r="B18" s="164" t="n">
        <v>3</v>
      </c>
      <c r="C18" s="165" t="inlineStr">
        <is>
          <t>Abseil</t>
        </is>
      </c>
      <c r="D18" s="165" t="inlineStr">
        <is>
          <t>Colombia · El Sauce</t>
        </is>
      </c>
      <c r="E18" s="166" t="inlineStr">
        <is>
          <t>Washed</t>
        </is>
      </c>
      <c r="F18" s="167" t="n">
        <v>21</v>
      </c>
      <c r="G18" s="168" t="n"/>
    </row>
    <row r="19" ht="12.75" customHeight="1" s="130">
      <c r="B19" s="169" t="n">
        <v>4</v>
      </c>
      <c r="C19" s="170" t="inlineStr">
        <is>
          <t>Homeground Coffee Roasters</t>
        </is>
      </c>
      <c r="D19" s="170" t="inlineStr">
        <is>
          <t>Colombia · Valle (Inmaculada)</t>
        </is>
      </c>
      <c r="E19" s="171" t="inlineStr">
        <is>
          <t>Natural</t>
        </is>
      </c>
      <c r="F19" s="172" t="n">
        <v>19</v>
      </c>
      <c r="G19" s="173" t="n"/>
    </row>
    <row r="20" ht="12.75" customHeight="1" s="130">
      <c r="B20" s="164" t="n">
        <v>5</v>
      </c>
      <c r="C20" s="165" t="inlineStr">
        <is>
          <t>Pocket by Flip</t>
        </is>
      </c>
      <c r="D20" s="165" t="inlineStr">
        <is>
          <t>Ecuador · Loja</t>
        </is>
      </c>
      <c r="E20" s="166" t="inlineStr">
        <is>
          <t>Washed</t>
        </is>
      </c>
      <c r="F20" s="167" t="n">
        <v>18</v>
      </c>
      <c r="G20" s="168" t="n"/>
    </row>
    <row r="21" ht="12.75" customHeight="1" s="130">
      <c r="B21" s="169" t="n">
        <v>6</v>
      </c>
      <c r="C21" s="170" t="inlineStr">
        <is>
          <t>Double Shot Coffee</t>
        </is>
      </c>
      <c r="D21" s="170" t="inlineStr">
        <is>
          <t>Panama · Boquete (Kotowa)</t>
        </is>
      </c>
      <c r="E21" s="171" t="inlineStr">
        <is>
          <t>Natural</t>
        </is>
      </c>
      <c r="F21" s="172" t="n">
        <v>16</v>
      </c>
      <c r="G21" s="173" t="n"/>
    </row>
    <row r="22" ht="12.75" customHeight="1" s="130">
      <c r="B22" s="164" t="n">
        <v>7</v>
      </c>
      <c r="C22" s="165" t="inlineStr">
        <is>
          <t>Mame (SIGEP Asia booth)</t>
        </is>
      </c>
      <c r="D22" s="165" t="inlineStr">
        <is>
          <t>Panama · Bambito Estate</t>
        </is>
      </c>
      <c r="E22" s="166" t="inlineStr">
        <is>
          <t>Washed</t>
        </is>
      </c>
      <c r="F22" s="167" t="n">
        <v>16</v>
      </c>
      <c r="G22" s="168" t="n"/>
    </row>
    <row r="23" ht="12.75" customHeight="1" s="130">
      <c r="B23" s="169" t="n">
        <v>8</v>
      </c>
      <c r="C23" s="170" t="inlineStr">
        <is>
          <t>KerYi Coffee</t>
        </is>
      </c>
      <c r="D23" s="170" t="inlineStr">
        <is>
          <t>Colombia · La Esmaralda</t>
        </is>
      </c>
      <c r="E23" s="171" t="inlineStr">
        <is>
          <t>Honey</t>
        </is>
      </c>
      <c r="F23" s="172" t="n">
        <v>15</v>
      </c>
      <c r="G23" s="173" t="n"/>
    </row>
    <row r="24" ht="12.75" customHeight="1" s="130">
      <c r="B24" s="164" t="n">
        <v>9</v>
      </c>
      <c r="C24" s="165" t="inlineStr">
        <is>
          <t>Pinhole Coffee Bar</t>
        </is>
      </c>
      <c r="D24" s="165" t="inlineStr">
        <is>
          <t>Colombia · Huila</t>
        </is>
      </c>
      <c r="E24" s="166" t="inlineStr">
        <is>
          <t>Honey</t>
        </is>
      </c>
      <c r="F24" s="167" t="n">
        <v>15</v>
      </c>
      <c r="G24" s="168" t="n"/>
    </row>
    <row r="25" ht="12.75" customHeight="1" s="130">
      <c r="B25" s="169" t="n">
        <v>10</v>
      </c>
      <c r="C25" s="170" t="inlineStr">
        <is>
          <t>Fluid Collective</t>
        </is>
      </c>
      <c r="D25" s="170" t="inlineStr">
        <is>
          <t>Colombia · El Obraje</t>
        </is>
      </c>
      <c r="E25" s="171" t="inlineStr">
        <is>
          <t>Washed</t>
        </is>
      </c>
      <c r="F25" s="172" t="n">
        <v>14</v>
      </c>
      <c r="G25" s="173" t="inlineStr">
        <is>
          <t>★ 6-mo former #1</t>
        </is>
      </c>
    </row>
    <row r="26" ht="12.75" customHeight="1" s="130">
      <c r="B26" s="164" t="n">
        <v>11</v>
      </c>
      <c r="C26" s="165" t="inlineStr">
        <is>
          <t>Equate Coffee</t>
        </is>
      </c>
      <c r="D26" s="165" t="inlineStr">
        <is>
          <t>Colombia · Huila</t>
        </is>
      </c>
      <c r="E26" s="166" t="inlineStr">
        <is>
          <t>Washed</t>
        </is>
      </c>
      <c r="F26" s="167" t="n">
        <v>13</v>
      </c>
      <c r="G26" s="168" t="n"/>
    </row>
    <row r="27" ht="12.75" customHeight="1" s="130">
      <c r="B27" s="174" t="n">
        <v>12</v>
      </c>
      <c r="C27" s="175" t="inlineStr">
        <is>
          <t>Suzuki Cafe &amp; Roastery</t>
        </is>
      </c>
      <c r="D27" s="175" t="inlineStr">
        <is>
          <t>Colombia · Quindío (Santa Mónica)</t>
        </is>
      </c>
      <c r="E27" s="176" t="inlineStr">
        <is>
          <t>Anaerobic Nat.</t>
        </is>
      </c>
      <c r="F27" s="177" t="n">
        <v>13</v>
      </c>
      <c r="G27" s="178" t="n"/>
    </row>
    <row r="28" ht="12.75" customHeight="1" s="130">
      <c r="B28" s="169" t="n">
        <v>13</v>
      </c>
      <c r="C28" s="170" t="inlineStr">
        <is>
          <t>Asylum Coffeehouse</t>
        </is>
      </c>
      <c r="D28" s="170" t="inlineStr">
        <is>
          <t>Peru · Jaén</t>
        </is>
      </c>
      <c r="E28" s="171" t="inlineStr">
        <is>
          <t>Washed</t>
        </is>
      </c>
      <c r="F28" s="172" t="n">
        <v>12.5</v>
      </c>
      <c r="G28" s="173" t="n"/>
    </row>
    <row r="29" ht="12.75" customHeight="1" s="130">
      <c r="B29" s="164" t="n">
        <v>14</v>
      </c>
      <c r="C29" s="165" t="inlineStr">
        <is>
          <t>Lume Café</t>
        </is>
      </c>
      <c r="D29" s="165" t="inlineStr">
        <is>
          <t>Panama · Boquerón</t>
        </is>
      </c>
      <c r="E29" s="166" t="inlineStr">
        <is>
          <t>Red Honey</t>
        </is>
      </c>
      <c r="F29" s="167" t="n">
        <v>12</v>
      </c>
      <c r="G29" s="168" t="n"/>
    </row>
    <row r="30" ht="12.75" customHeight="1" s="130">
      <c r="B30" s="169" t="n">
        <v>15</v>
      </c>
      <c r="C30" s="170" t="inlineStr">
        <is>
          <t>Equate Coffee</t>
        </is>
      </c>
      <c r="D30" s="170" t="inlineStr">
        <is>
          <t>Peru · Cajamarca</t>
        </is>
      </c>
      <c r="E30" s="171" t="inlineStr">
        <is>
          <t>Washed</t>
        </is>
      </c>
      <c r="F30" s="172" t="n">
        <v>12</v>
      </c>
      <c r="G30" s="173" t="n"/>
    </row>
    <row r="31" ht="12.75" customHeight="1" s="130">
      <c r="B31" s="164" t="n">
        <v>16</v>
      </c>
      <c r="C31" s="165" t="inlineStr">
        <is>
          <t>Prodigal Roasters</t>
        </is>
      </c>
      <c r="D31" s="165" t="inlineStr">
        <is>
          <t>Peru · Finca Los Santos</t>
        </is>
      </c>
      <c r="E31" s="166" t="inlineStr">
        <is>
          <t>Natural</t>
        </is>
      </c>
      <c r="F31" s="167" t="n">
        <v>12</v>
      </c>
      <c r="G31" s="168" t="n"/>
    </row>
    <row r="32" ht="12.75" customHeight="1" s="130">
      <c r="B32" s="174" t="n">
        <v>17</v>
      </c>
      <c r="C32" s="175" t="inlineStr">
        <is>
          <t>August Drip Coffee</t>
        </is>
      </c>
      <c r="D32" s="175" t="inlineStr">
        <is>
          <t>Panama · Boquete ("La Mariposa")</t>
        </is>
      </c>
      <c r="E32" s="176" t="inlineStr">
        <is>
          <t>Anaerobic Nat.</t>
        </is>
      </c>
      <c r="F32" s="177" t="n">
        <v>11.75</v>
      </c>
      <c r="G32" s="178" t="inlineStr">
        <is>
          <t>🆕 22 AUG · FIRST JB GESHA</t>
        </is>
      </c>
    </row>
    <row r="33" ht="12.75" customHeight="1" s="130">
      <c r="B33" s="169" t="n">
        <v>18</v>
      </c>
      <c r="C33" s="170" t="inlineStr">
        <is>
          <t>Asylum Coffeehouse</t>
        </is>
      </c>
      <c r="D33" s="170" t="inlineStr">
        <is>
          <t>Peru · Cajamarca</t>
        </is>
      </c>
      <c r="E33" s="171" t="inlineStr">
        <is>
          <t>Washed</t>
        </is>
      </c>
      <c r="F33" s="172" t="n">
        <v>11</v>
      </c>
      <c r="G33" s="173" t="n"/>
    </row>
    <row r="34" ht="12.75" customHeight="1" s="130">
      <c r="B34" s="179" t="n">
        <v>19</v>
      </c>
      <c r="C34" s="180" t="inlineStr">
        <is>
          <t>Alchemist (Funan)</t>
        </is>
      </c>
      <c r="D34" s="180" t="inlineStr">
        <is>
          <t>Colombia · Valle (Las Margaritas)</t>
        </is>
      </c>
      <c r="E34" s="181" t="inlineStr">
        <is>
          <t>Honey</t>
        </is>
      </c>
      <c r="F34" s="182" t="n">
        <v>10.5</v>
      </c>
      <c r="G34" s="183" t="inlineStr">
        <is>
          <t>🆕 29 JUL 2026</t>
        </is>
      </c>
    </row>
    <row r="35" ht="12.75" customHeight="1" s="130">
      <c r="B35" s="169" t="n">
        <v>20</v>
      </c>
      <c r="C35" s="170" t="inlineStr">
        <is>
          <t>Pour.traits Roasters</t>
        </is>
      </c>
      <c r="D35" s="170" t="inlineStr">
        <is>
          <t>Thailand · Chiang Rai (Sirinya)</t>
        </is>
      </c>
      <c r="E35" s="171" t="inlineStr">
        <is>
          <t>Anaerobic Nat.</t>
        </is>
      </c>
      <c r="F35" s="172" t="n">
        <v>10</v>
      </c>
      <c r="G35" s="173" t="n"/>
    </row>
    <row r="36" ht="12.75" customHeight="1" s="130">
      <c r="B36" s="164" t="n">
        <v>21</v>
      </c>
      <c r="C36" s="165" t="inlineStr">
        <is>
          <t>Cowpresso Coffee Roasters</t>
        </is>
      </c>
      <c r="D36" s="165" t="inlineStr">
        <is>
          <t>Colombia · Valle (Las Nubes)</t>
        </is>
      </c>
      <c r="E36" s="166" t="inlineStr">
        <is>
          <t>Natural</t>
        </is>
      </c>
      <c r="F36" s="167" t="n">
        <v>9.9</v>
      </c>
      <c r="G36" s="168" t="n"/>
    </row>
    <row r="37" ht="12.75" customHeight="1" s="130">
      <c r="B37" s="169" t="n">
        <v>22</v>
      </c>
      <c r="C37" s="170" t="inlineStr">
        <is>
          <t>Apartment (Selegie Rd)</t>
        </is>
      </c>
      <c r="D37" s="170" t="inlineStr">
        <is>
          <t>Peru · Wilder Garcia</t>
        </is>
      </c>
      <c r="E37" s="171" t="inlineStr">
        <is>
          <t>Washed</t>
        </is>
      </c>
      <c r="F37" s="172" t="n">
        <v>9.5</v>
      </c>
      <c r="G37" s="173" t="n"/>
    </row>
    <row r="38" ht="12.75" customHeight="1" s="130">
      <c r="B38" s="169" t="n">
        <v>23</v>
      </c>
      <c r="C38" s="170" t="inlineStr">
        <is>
          <t>Fluid Collective</t>
        </is>
      </c>
      <c r="D38" s="170" t="inlineStr">
        <is>
          <t>Panama · Casa Ruiz (Berlina)</t>
        </is>
      </c>
      <c r="E38" s="171" t="inlineStr">
        <is>
          <t>Washed</t>
        </is>
      </c>
      <c r="F38" s="169" t="n">
        <v>9</v>
      </c>
      <c r="G38" s="173" t="inlineStr">
        <is>
          <t>🆕 9 AUG · CHEAPEST GESHA</t>
        </is>
      </c>
    </row>
    <row r="39" ht="15" customHeight="1" s="130">
      <c r="B39" s="184">
        <f>"GESHA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
      </c>
    </row>
    <row r="40" ht="16.5" customHeight="1" s="130">
      <c r="B40" s="129" t="n"/>
    </row>
    <row r="41" ht="15" customHeight="1" s="130">
      <c r="B41" s="147" t="inlineStr">
        <is>
          <t xml:space="preserve">  ▸  PROCESS FINGERPRINT   —   live wildcard families; hybrids intentionally count in both parents</t>
        </is>
      </c>
      <c r="F41" s="129" t="n"/>
    </row>
    <row r="42" ht="12.75" customHeight="1" s="130">
      <c r="B42" s="158" t="inlineStr">
        <is>
          <t>Process Family</t>
        </is>
      </c>
      <c r="C42" s="158" t="inlineStr">
        <is>
          <t>Cups</t>
        </is>
      </c>
      <c r="D42" s="158" t="inlineStr">
        <is>
          <t>% Archive</t>
        </is>
      </c>
      <c r="E42" s="158" t="inlineStr">
        <is>
          <t>Palate Signal</t>
        </is>
      </c>
      <c r="F42" s="158" t="inlineStr">
        <is>
          <t>Affinity &amp; Archive Note</t>
        </is>
      </c>
    </row>
    <row r="43" ht="12.75" customHeight="1" s="130">
      <c r="B43" s="185" t="inlineStr">
        <is>
          <t>Washed (all forms)</t>
        </is>
      </c>
      <c r="C43" s="169">
        <f>COUNTIF('Coffee Audit'!H2:H2000,"*Washed*")</f>
        <v/>
      </c>
      <c r="D43" s="171">
        <f>TEXT(COUNTIF('Coffee Audit'!H2:H2000,"*Washed*")/COUNTA('Coffee Audit'!A2:A2000),"0%")</f>
        <v/>
      </c>
      <c r="E43" s="186" t="inlineStr">
        <is>
          <t>Malic clarity · jasmine lift · clean thermal arcs</t>
        </is>
      </c>
      <c r="F43" s="187" t="inlineStr">
        <is>
          <t>★★★★★  PRIMARY — the palate's home ground</t>
        </is>
      </c>
    </row>
    <row r="44" ht="12.75" customHeight="1" s="130">
      <c r="B44" s="188" t="inlineStr">
        <is>
          <t>Natural (all forms)</t>
        </is>
      </c>
      <c r="C44" s="164">
        <f>COUNTIF('Coffee Audit'!H2:H2000,"*Natural*")</f>
        <v/>
      </c>
      <c r="D44" s="166">
        <f>TEXT(COUNTIF('Coffee Audit'!H2:H2000,"*Natural*")/COUNTA('Coffee Audit'!A2:A2000),"0%")</f>
        <v/>
      </c>
      <c r="E44" s="189" t="inlineStr">
        <is>
          <t>Stone fruit · berry depth · terroir expression</t>
        </is>
      </c>
      <c r="F44" s="190" t="inlineStr">
        <is>
          <t>★★★★  SECONDARY — best when altitude keeps it clean</t>
        </is>
      </c>
    </row>
    <row r="45" ht="12.75" customHeight="1" s="130">
      <c r="B45" s="185" t="inlineStr">
        <is>
          <t>Honey / Mucilage</t>
        </is>
      </c>
      <c r="C45" s="169">
        <f>COUNTIF('Coffee Audit'!H2:H2000,"*Honey*")</f>
        <v/>
      </c>
      <c r="D45" s="171">
        <f>TEXT(COUNTIF('Coffee Audit'!H2:H2000,"*Honey*")/COUNTA('Coffee Audit'!A2:A2000),"0%")</f>
        <v/>
      </c>
      <c r="E45" s="186" t="inlineStr">
        <is>
          <t>Sucrose bridge · ketone fruit layer · rounded finish</t>
        </is>
      </c>
      <c r="F45" s="187" t="inlineStr">
        <is>
          <t>★★★★  BRIDGE — Las Margaritas (29 Jul) the newest proof</t>
        </is>
      </c>
    </row>
    <row r="46" ht="12.75" customHeight="1" s="130">
      <c r="B46" s="188" t="inlineStr">
        <is>
          <t>Anaerobic (all forms)</t>
        </is>
      </c>
      <c r="C46" s="164">
        <f>COUNTIF('Coffee Audit'!H2:H2000,"*Anaerobic*")</f>
        <v/>
      </c>
      <c r="D46" s="166">
        <f>TEXT(COUNTIF('Coffee Audit'!H2:H2000,"*Anaerobic*")/COUNTA('Coffee Audit'!A2:A2000),"0%")</f>
        <v/>
      </c>
      <c r="E46" s="189" t="inlineStr">
        <is>
          <t>Controlled funk · ester density · tropical edge</t>
        </is>
      </c>
      <c r="F46" s="190" t="inlineStr">
        <is>
          <t>★★★  EXPERIMENTAL — ceiling confirmed at Entry #059</t>
        </is>
      </c>
    </row>
    <row r="47" ht="12.75" customHeight="1" s="130">
      <c r="B47" s="185" t="inlineStr">
        <is>
          <t>Co-Ferment / Mosto / Yeast</t>
        </is>
      </c>
      <c r="C47" s="169">
        <f>COUNTIF('Coffee Audit'!H2:H2000,"*Ferment*")</f>
        <v/>
      </c>
      <c r="D47" s="171">
        <f>TEXT(COUNTIF('Coffee Audit'!H2:H2000,"*Ferment*")/COUNTA('Coffee Audit'!A2:A2000),"0%")</f>
        <v/>
      </c>
      <c r="E47" s="186" t="inlineStr">
        <is>
          <t>Frontier zone — yeast, mosto, watermelon co-ferment</t>
        </is>
      </c>
      <c r="F47" s="187" t="inlineStr">
        <is>
          <t>★★  EXPLORATORY — logged as data, rarely reordered</t>
        </is>
      </c>
    </row>
    <row r="48" ht="15" customHeight="1" s="130">
      <c r="B48" s="188" t="inlineStr">
        <is>
          <t>Wet-Hulled (Giling Basah)</t>
        </is>
      </c>
      <c r="C48" s="164">
        <f>COUNTIF('Coffee Audit'!H2:H2000,"*Hulled*")</f>
        <v/>
      </c>
      <c r="D48" s="166">
        <f>TEXT(COUNTIF('Coffee Audit'!H2:H2000,"*Hulled*")/COUNTA('Coffee Audit'!A2:A2000),"0%")</f>
        <v/>
      </c>
      <c r="E48" s="189" t="inlineStr">
        <is>
          <t>Earthy · syrupy body · Indonesian terroir marker</t>
        </is>
      </c>
      <c r="F48" s="190" t="inlineStr">
        <is>
          <t>★  REFERENCE — single-entry texture study</t>
        </is>
      </c>
    </row>
    <row r="49" ht="16.5" customHeight="1" s="130">
      <c r="B49" s="129" t="n"/>
    </row>
    <row r="50" ht="15" customHeight="1" s="130">
      <c r="B50" s="147" t="inlineStr">
        <is>
          <t xml:space="preserve">  ▸  ORIGIN LEAGUE   —   live COUNTIF; Colombia's lead is the archive's defining terroir story</t>
        </is>
      </c>
      <c r="G50" s="129" t="n"/>
    </row>
    <row r="51" ht="12.75" customHeight="1" s="130">
      <c r="B51" s="158" t="inlineStr">
        <is>
          <t>Origin</t>
        </is>
      </c>
      <c r="C51" s="158" t="inlineStr">
        <is>
          <t>Cups</t>
        </is>
      </c>
      <c r="D51" s="158" t="inlineStr">
        <is>
          <t>Share</t>
        </is>
      </c>
      <c r="E51" s="158" t="inlineStr">
        <is>
          <t>Gesha</t>
        </is>
      </c>
      <c r="F51" s="158" t="inlineStr">
        <is>
          <t>Bar</t>
        </is>
      </c>
      <c r="G51" s="158" t="inlineStr">
        <is>
          <t>Terroir Signal</t>
        </is>
      </c>
    </row>
    <row r="52" ht="12.75" customHeight="1" s="130">
      <c r="B52" s="185" t="inlineStr">
        <is>
          <t>Colombia</t>
        </is>
      </c>
      <c r="C52" s="169">
        <f>COUNTIF('Coffee Audit'!F2:F2000,"*Colombia*")</f>
        <v/>
      </c>
      <c r="D52" s="171">
        <f>TEXT(COUNTIF('Coffee Audit'!F2:F2000,"*Colombia*")/COUNTA('Coffee Audit'!A2:A2000),"0%")</f>
        <v/>
      </c>
      <c r="E52" s="191">
        <f>SUMPRODUCT(ISNUMBER(SEARCH("Colombia",'Coffee Audit'!F2:F2000))*('Coffee Audit'!W2:W2000="⭐ GESHA"))</f>
        <v/>
      </c>
      <c r="F52" s="192">
        <f>REPT("█",COUNTIF('Coffee Audit'!F2:F2000,"*Colombia*"))</f>
        <v/>
      </c>
      <c r="G52" s="186" t="inlineStr">
        <is>
          <t>HIGHEST — malic depth + Gesha heartland of the archive</t>
        </is>
      </c>
    </row>
    <row r="53" ht="12.75" customHeight="1" s="130">
      <c r="B53" s="188" t="inlineStr">
        <is>
          <t>Ethiopia</t>
        </is>
      </c>
      <c r="C53" s="164">
        <f>COUNTIF('Coffee Audit'!F2:F2000,"*Ethiopia*")</f>
        <v/>
      </c>
      <c r="D53" s="166">
        <f>TEXT(COUNTIF('Coffee Audit'!F2:F2000,"*Ethiopia*")/COUNTA('Coffee Audit'!A2:A2000),"0%")</f>
        <v/>
      </c>
      <c r="E53" s="193">
        <f>SUMPRODUCT(ISNUMBER(SEARCH("Ethiopia",'Coffee Audit'!F2:F2000))*('Coffee Audit'!W2:W2000="⭐ GESHA"))</f>
        <v/>
      </c>
      <c r="F53" s="194">
        <f>REPT("█",COUNTIF('Coffee Audit'!F2:F2000,"*Ethiopia*"))</f>
        <v/>
      </c>
      <c r="G53" s="189" t="inlineStr">
        <is>
          <t>HIGH — linalool florals · 74158 white-peach fingerprint</t>
        </is>
      </c>
    </row>
    <row r="54" ht="12.75" customHeight="1" s="130">
      <c r="B54" s="185" t="inlineStr">
        <is>
          <t>Peru</t>
        </is>
      </c>
      <c r="C54" s="169">
        <f>COUNTIF('Coffee Audit'!F2:F2000,"*Peru*")</f>
        <v/>
      </c>
      <c r="D54" s="171">
        <f>TEXT(COUNTIF('Coffee Audit'!F2:F2000,"*Peru*")/COUNTA('Coffee Audit'!A2:A2000),"0%")</f>
        <v/>
      </c>
      <c r="E54" s="191">
        <f>SUMPRODUCT(ISNUMBER(SEARCH("Peru",'Coffee Audit'!F2:F2000))*('Coffee Audit'!W2:W2000="⭐ GESHA"))</f>
        <v/>
      </c>
      <c r="F54" s="192">
        <f>REPT("█",COUNTIF('Coffee Audit'!F2:F2000,"*Peru*"))</f>
        <v/>
      </c>
      <c r="G54" s="186" t="inlineStr">
        <is>
          <t>HIGH — Cajamarca washed clarity, repeatedly excellent</t>
        </is>
      </c>
    </row>
    <row r="55" ht="12.75" customHeight="1" s="130">
      <c r="B55" s="188" t="inlineStr">
        <is>
          <t>Kenya</t>
        </is>
      </c>
      <c r="C55" s="164">
        <f>COUNTIF('Coffee Audit'!F2:F2000,"*Kenya*")</f>
        <v/>
      </c>
      <c r="D55" s="166">
        <f>TEXT(COUNTIF('Coffee Audit'!F2:F2000,"*Kenya*")/COUNTA('Coffee Audit'!A2:A2000),"0%")</f>
        <v/>
      </c>
      <c r="E55" s="193">
        <f>SUMPRODUCT(ISNUMBER(SEARCH("Kenya",'Coffee Audit'!F2:F2000))*('Coffee Audit'!W2:W2000="⭐ GESHA"))</f>
        <v/>
      </c>
      <c r="F55" s="194">
        <f>REPT("█",COUNTIF('Coffee Audit'!F2:F2000,"*Kenya*"))</f>
        <v/>
      </c>
      <c r="G55" s="189" t="inlineStr">
        <is>
          <t>HIGH — phosphoric acid · blackcurrant benchmark</t>
        </is>
      </c>
    </row>
    <row r="56" ht="12.75" customHeight="1" s="130">
      <c r="B56" s="185" t="inlineStr">
        <is>
          <t>Brazil</t>
        </is>
      </c>
      <c r="C56" s="169">
        <f>COUNTIF('Coffee Audit'!F2:F2000,"*Brazil*")</f>
        <v/>
      </c>
      <c r="D56" s="171">
        <f>TEXT(COUNTIF('Coffee Audit'!F2:F2000,"*Brazil*")/COUNTA('Coffee Audit'!A2:A2000),"0%")</f>
        <v/>
      </c>
      <c r="E56" s="191">
        <f>SUMPRODUCT(ISNUMBER(SEARCH("Brazil",'Coffee Audit'!F2:F2000))*('Coffee Audit'!W2:W2000="⭐ GESHA"))</f>
        <v/>
      </c>
      <c r="F56" s="192">
        <f>REPT("█",COUNTIF('Coffee Audit'!F2:F2000,"*Brazil*"))</f>
        <v/>
      </c>
      <c r="G56" s="186" t="inlineStr">
        <is>
          <t>MED — body and Maillard sweetness baseline</t>
        </is>
      </c>
    </row>
    <row r="57" ht="12.75" customHeight="1" s="130">
      <c r="B57" s="188" t="inlineStr">
        <is>
          <t>Panama</t>
        </is>
      </c>
      <c r="C57" s="164">
        <f>COUNTIF('Coffee Audit'!F2:F2000,"*Panama*")</f>
        <v/>
      </c>
      <c r="D57" s="166">
        <f>TEXT(COUNTIF('Coffee Audit'!F2:F2000,"*Panama*")/COUNTA('Coffee Audit'!A2:A2000),"0%")</f>
        <v/>
      </c>
      <c r="E57" s="193">
        <f>SUMPRODUCT(ISNUMBER(SEARCH("Panama",'Coffee Audit'!F2:F2000))*('Coffee Audit'!W2:W2000="⭐ GESHA"))</f>
        <v/>
      </c>
      <c r="F57" s="194">
        <f>REPT("█",COUNTIF('Coffee Audit'!F2:F2000,"*Panama*"))</f>
        <v/>
      </c>
      <c r="G57" s="189" t="inlineStr">
        <is>
          <t>HIGHEST — Gesha heartland (Sophia · Kotowa · Bambito)</t>
        </is>
      </c>
    </row>
    <row r="58" ht="12.75" customHeight="1" s="130">
      <c r="B58" s="185" t="inlineStr">
        <is>
          <t>Indonesia</t>
        </is>
      </c>
      <c r="C58" s="169">
        <f>COUNTIF('Coffee Audit'!F2:F2000,"*Indonesia*")</f>
        <v/>
      </c>
      <c r="D58" s="171">
        <f>TEXT(COUNTIF('Coffee Audit'!F2:F2000,"*Indonesia*")/COUNTA('Coffee Audit'!A2:A2000),"0%")</f>
        <v/>
      </c>
      <c r="E58" s="191">
        <f>SUMPRODUCT(ISNUMBER(SEARCH("Indonesia",'Coffee Audit'!F2:F2000))*('Coffee Audit'!W2:W2000="⭐ GESHA"))</f>
        <v/>
      </c>
      <c r="F58" s="192">
        <f>REPT("█",COUNTIF('Coffee Audit'!F2:F2000,"*Indonesia*"))</f>
        <v/>
      </c>
      <c r="G58" s="186" t="inlineStr">
        <is>
          <t>MED — wet-hulled texture study · Bali chapter</t>
        </is>
      </c>
    </row>
    <row r="59" ht="12.75" customHeight="1" s="130">
      <c r="B59" s="188" t="inlineStr">
        <is>
          <t>Honduras</t>
        </is>
      </c>
      <c r="C59" s="164">
        <f>COUNTIF('Coffee Audit'!F2:F2000,"*Honduras*")</f>
        <v/>
      </c>
      <c r="D59" s="166">
        <f>TEXT(COUNTIF('Coffee Audit'!F2:F2000,"*Honduras*")/COUNTA('Coffee Audit'!A2:A2000),"0%")</f>
        <v/>
      </c>
      <c r="E59" s="193">
        <f>SUMPRODUCT(ISNUMBER(SEARCH("Honduras",'Coffee Audit'!F2:F2000))*('Coffee Audit'!W2:W2000="⭐ GESHA"))</f>
        <v/>
      </c>
      <c r="F59" s="194">
        <f>REPT("█",COUNTIF('Coffee Audit'!F2:F2000,"*Honduras*"))</f>
        <v/>
      </c>
      <c r="G59" s="189" t="inlineStr">
        <is>
          <t>HIGH — malic stone fruit · clean finish</t>
        </is>
      </c>
    </row>
    <row r="60" ht="12.75" customHeight="1" s="130">
      <c r="B60" s="185" t="inlineStr">
        <is>
          <t>Thailand</t>
        </is>
      </c>
      <c r="C60" s="169">
        <f>COUNTIF('Coffee Audit'!F2:F2000,"*Thailand*")</f>
        <v/>
      </c>
      <c r="D60" s="171">
        <f>TEXT(COUNTIF('Coffee Audit'!F2:F2000,"*Thailand*")/COUNTA('Coffee Audit'!A2:A2000),"0%")</f>
        <v/>
      </c>
      <c r="E60" s="191">
        <f>SUMPRODUCT(ISNUMBER(SEARCH("Thailand",'Coffee Audit'!F2:F2000))*('Coffee Audit'!W2:W2000="⭐ GESHA"))</f>
        <v/>
      </c>
      <c r="F60" s="192">
        <f>REPT("█",COUNTIF('Coffee Audit'!F2:F2000,"*Thailand*"))</f>
        <v/>
      </c>
      <c r="G60" s="186" t="inlineStr">
        <is>
          <t>EMERGING — 2026 discovery, high clarity at altitude</t>
        </is>
      </c>
    </row>
    <row r="61" ht="15" customHeight="1" s="130">
      <c r="B61" s="188" t="inlineStr">
        <is>
          <t>Guatemala</t>
        </is>
      </c>
      <c r="C61" s="164">
        <f>COUNTIF('Coffee Audit'!F2:F2000,"*Guatemala*")</f>
        <v/>
      </c>
      <c r="D61" s="166">
        <f>TEXT(COUNTIF('Coffee Audit'!F2:F2000,"*Guatemala*")/COUNTA('Coffee Audit'!A2:A2000),"0%")</f>
        <v/>
      </c>
      <c r="E61" s="193">
        <f>SUMPRODUCT(ISNUMBER(SEARCH("Guatemala",'Coffee Audit'!F2:F2000))*('Coffee Audit'!W2:W2000="⭐ GESHA"))</f>
        <v/>
      </c>
      <c r="F61" s="194">
        <f>REPT("█",COUNTIF('Coffee Audit'!F2:F2000,"*Guatemala*"))</f>
        <v/>
      </c>
      <c r="G61" s="189" t="inlineStr">
        <is>
          <t>NEW — Huehuetenango debut 24 Jul (El Frutal, Castillo)</t>
        </is>
      </c>
    </row>
    <row r="62" ht="16.5" customHeight="1" s="130">
      <c r="B62" s="129" t="n"/>
    </row>
    <row r="63" ht="15" customHeight="1" s="130">
      <c r="B63" s="147" t="inlineStr">
        <is>
          <t xml:space="preserve">  ▸  BREW RATIO INTELLIGENCE   —   the 1:15–1:17 Palate DNA band, measured live</t>
        </is>
      </c>
      <c r="F63" s="129" t="n"/>
    </row>
    <row r="64" ht="12.75" customHeight="1" s="130">
      <c r="B64" s="158" t="inlineStr">
        <is>
          <t>Ratio Band</t>
        </is>
      </c>
      <c r="C64" s="158" t="inlineStr">
        <is>
          <t>Cups</t>
        </is>
      </c>
      <c r="D64" s="158" t="inlineStr">
        <is>
          <t>Share</t>
        </is>
      </c>
      <c r="E64" s="158" t="inlineStr">
        <is>
          <t>Reading</t>
        </is>
      </c>
      <c r="F64" s="158" t="inlineStr">
        <is>
          <t>Extraction Chemistry Note</t>
        </is>
      </c>
    </row>
    <row r="65" ht="12.75" customHeight="1" s="130">
      <c r="B65" s="185" t="inlineStr">
        <is>
          <t>1:13 – 1:14  (concentrated)</t>
        </is>
      </c>
      <c r="C65" s="169">
        <f>SUM(COUNTIF('Coffee Audit'!M2:M2000,{"1:13*","1:14*"}))</f>
        <v/>
      </c>
      <c r="D65" s="171">
        <f>TEXT(SUM(COUNTIF('Coffee Audit'!M2:M2000,{"1:13*","1:14*"}))/COUNTA('Coffee Audit'!A2:A2000),"0%")</f>
        <v/>
      </c>
      <c r="E65" s="195" t="inlineStr">
        <is>
          <t>⚠️ Below band</t>
        </is>
      </c>
      <c r="F65" s="186" t="inlineStr">
        <is>
          <t>High TDS. Documented CGA-lactone and polyphenolic bitterness at cool phase — Law 2.</t>
        </is>
      </c>
    </row>
    <row r="66" ht="12.75" customHeight="1" s="130">
      <c r="B66" s="188" t="inlineStr">
        <is>
          <t>1:15  (archive default)</t>
        </is>
      </c>
      <c r="C66" s="164">
        <f>SUM(COUNTIF('Coffee Audit'!M2:M2000,{"1:15*"}))</f>
        <v/>
      </c>
      <c r="D66" s="166">
        <f>TEXT(SUM(COUNTIF('Coffee Audit'!M2:M2000,{"1:15*"}))/COUNTA('Coffee Audit'!A2:A2000),"0%")</f>
        <v/>
      </c>
      <c r="E66" s="196" t="inlineStr">
        <is>
          <t>✅ In band</t>
        </is>
      </c>
      <c r="F66" s="189" t="inlineStr">
        <is>
          <t>Highest-frequency setting. Balances body against clarity; the archive's reference point.</t>
        </is>
      </c>
    </row>
    <row r="67" ht="12.75" customHeight="1" s="130">
      <c r="B67" s="185" t="inlineStr">
        <is>
          <t>1:16  (lean-balanced)</t>
        </is>
      </c>
      <c r="C67" s="169">
        <f>SUM(COUNTIF('Coffee Audit'!M2:M2000,{"1:16*"}))</f>
        <v/>
      </c>
      <c r="D67" s="171">
        <f>TEXT(SUM(COUNTIF('Coffee Audit'!M2:M2000,{"1:16*"}))/COUNTA('Coffee Audit'!A2:A2000),"0%")</f>
        <v/>
      </c>
      <c r="E67" s="195" t="inlineStr">
        <is>
          <t>✅ In band</t>
        </is>
      </c>
      <c r="F67" s="186" t="inlineStr">
        <is>
          <t>Sweet spot for honey and washed lots — La Betania 25 Jul at 1:16.1 scored excellent.</t>
        </is>
      </c>
    </row>
    <row r="68" ht="13.5" customHeight="1" s="130">
      <c r="B68" s="188" t="inlineStr">
        <is>
          <t>1:17  (lean)</t>
        </is>
      </c>
    </row>
    <row r="69" ht="15" customHeight="1" s="130">
      <c r="B69" s="197">
        <f>"IN-BAND DISCIPLINE   ·   "&amp;SUM(COUNTIF('Coffee Audit'!M2:M2000,{"1:15*","1:16*","1:17*"}))&amp;" of "&amp;COUNTA('Coffee Audit'!A2:A2000)&amp;" logged brews sit inside the 1:15–1:17 Palate DNA band ("&amp;TEXT(SUM(COUNTIF('Coffee Audit'!M2:M2000,{"1:15*","1:16*","1:17*"}))/COUNTA('Coffee Audit'!A2:A2000),"0%")&amp;" of all entries, including those logged Unknown)"</f>
        <v/>
      </c>
    </row>
    <row r="70" ht="16.5" customHeight="1" s="130">
      <c r="B70" s="129" t="n"/>
    </row>
    <row r="71" ht="15" customHeight="1" s="130">
      <c r="B71" s="147" t="inlineStr">
        <is>
          <t xml:space="preserve">  ▸  HARDWARE SNAPSHOT   —   flat burrs and flat beds keep winning</t>
        </is>
      </c>
      <c r="E71" s="129" t="n"/>
    </row>
    <row r="72" ht="12.75" customHeight="1" s="130">
      <c r="B72" s="158" t="inlineStr">
        <is>
          <t>Hardware Signal</t>
        </is>
      </c>
      <c r="C72" s="158" t="inlineStr">
        <is>
          <t>Cups</t>
        </is>
      </c>
      <c r="D72" s="158" t="inlineStr">
        <is>
          <t>Share</t>
        </is>
      </c>
      <c r="E72" s="158" t="inlineStr">
        <is>
          <t>Physics Note</t>
        </is>
      </c>
    </row>
    <row r="73" ht="12.75" customHeight="1" s="130">
      <c r="B73" s="185" t="inlineStr">
        <is>
          <t>EK43 / EK43S (98mm flat)</t>
        </is>
      </c>
      <c r="C73" s="169">
        <f>COUNTIF('Coffee Audit'!P2:P2000,"*EK43*")</f>
        <v/>
      </c>
      <c r="D73" s="171">
        <f>TEXT(COUNTIF('Coffee Audit'!P2:P2000,"*EK43*")/COUNTA('Coffee Audit'!A2:A2000),"0%")</f>
        <v/>
      </c>
      <c r="E73" s="186" t="inlineStr">
        <is>
          <t>Café workhorse and the archive's most-logged grinder. Competition-grade particle uniformity.</t>
        </is>
      </c>
    </row>
    <row r="74" ht="12.75" customHeight="1" s="130">
      <c r="B74" s="188" t="inlineStr">
        <is>
          <t>Option-O Lagom (P64/P80)</t>
        </is>
      </c>
      <c r="C74" s="164">
        <f>COUNTIF('Coffee Audit'!P2:P2000,"*Lagom*")</f>
        <v/>
      </c>
      <c r="D74" s="166">
        <f>TEXT(COUNTIF('Coffee Audit'!P2:P2000,"*Lagom*")/COUNTA('Coffee Audit'!A2:A2000),"0%")</f>
        <v/>
      </c>
      <c r="E74" s="189" t="inlineStr">
        <is>
          <t>Precision boutique platform — Fluid, Asylum, Abseil, Oaks. Minimal fines migration.</t>
        </is>
      </c>
    </row>
    <row r="75" ht="12.75" customHeight="1" s="130">
      <c r="B75" s="185" t="inlineStr">
        <is>
          <t>Flat-bottom brewers</t>
        </is>
      </c>
      <c r="C75" s="169">
        <f>SUMPRODUCT(--ISNUMBER(SEARCH("Flat-Bottom",'Coffee Audit'!J2:J2000)))</f>
        <v/>
      </c>
      <c r="D75" s="171">
        <f>TEXT(SUMPRODUCT(--ISNUMBER(SEARCH("Flat-Bottom",'Coffee Audit'!J2:J2000)))/COUNTA('Coffee Audit'!A2:A2000),"0%")</f>
        <v/>
      </c>
      <c r="E75" s="186" t="inlineStr">
        <is>
          <t>✅ PRIMARY GEOMETRY — even bed saturation, zero bypass. Delivers the highest-rated cups.</t>
        </is>
      </c>
    </row>
    <row r="76" ht="12.75" customHeight="1" s="130">
      <c r="B76" s="188" t="inlineStr">
        <is>
          <t>Conical V60 (all materials)</t>
        </is>
      </c>
      <c r="C76" s="164">
        <f>COUNTIF('Coffee Audit'!J2:J2000,"*V60*")</f>
        <v/>
      </c>
      <c r="D76" s="166">
        <f>TEXT(COUNTIF('Coffee Audit'!J2:J2000,"*V60*")/COUNTA('Coffee Audit'!A2:A2000),"0%")</f>
        <v/>
      </c>
      <c r="E76" s="189" t="inlineStr">
        <is>
          <t>⚠️ Standing over-extraction flag (Law 1). Steel V60 debut 29 Jul at Alchemist Funan.</t>
        </is>
      </c>
    </row>
    <row r="77" ht="15" customHeight="1" s="130">
      <c r="B77" s="185" t="inlineStr">
        <is>
          <t>Immersion hybrids (Switch etc.)</t>
        </is>
      </c>
      <c r="C77" s="169">
        <f>COUNTIF('Coffee Audit'!J2:J2000,"*Switch*")</f>
        <v/>
      </c>
      <c r="D77" s="171">
        <f>TEXT(COUNTIF('Coffee Audit'!J2:J2000,"*Switch*")/COUNTA('Coffee Audit'!A2:A2000),"0%")</f>
        <v/>
      </c>
      <c r="E77" s="186" t="inlineStr">
        <is>
          <t>Full saturation before drawdown — strongest on honey-process lots.</t>
        </is>
      </c>
    </row>
    <row r="78" ht="12.75" customHeight="1" s="130">
      <c r="B78" s="129" t="n"/>
    </row>
    <row r="79" ht="12.75" customHeight="1" s="130"/>
    <row r="80" ht="12.75" customHeight="1" s="130"/>
  </sheetData>
  <mergeCells count="72">
    <mergeCell ref="B70:M70"/>
    <mergeCell ref="G21:H21"/>
    <mergeCell ref="B2:M2"/>
    <mergeCell ref="F64:M64"/>
    <mergeCell ref="F44:M44"/>
    <mergeCell ref="B7:C7"/>
    <mergeCell ref="G55:M55"/>
    <mergeCell ref="F65:M65"/>
    <mergeCell ref="F63:M63"/>
    <mergeCell ref="G51:M51"/>
    <mergeCell ref="B14:M14"/>
    <mergeCell ref="G36:H36"/>
    <mergeCell ref="G23:H23"/>
    <mergeCell ref="B1:M1"/>
    <mergeCell ref="G54:M54"/>
    <mergeCell ref="G50:M50"/>
    <mergeCell ref="E74:M74"/>
    <mergeCell ref="B12:C12"/>
    <mergeCell ref="B10:M10"/>
    <mergeCell ref="H6:I6"/>
    <mergeCell ref="L12:M12"/>
    <mergeCell ref="B11:C11"/>
    <mergeCell ref="G60:M60"/>
    <mergeCell ref="G22:H22"/>
    <mergeCell ref="G56:M56"/>
    <mergeCell ref="G52:M52"/>
    <mergeCell ref="G19:H19"/>
    <mergeCell ref="G37:H37"/>
    <mergeCell ref="G59:M59"/>
    <mergeCell ref="G28:H28"/>
    <mergeCell ref="F42:M42"/>
    <mergeCell ref="B40:M40"/>
    <mergeCell ref="F45:M45"/>
    <mergeCell ref="B68:M68"/>
    <mergeCell ref="B49:M49"/>
    <mergeCell ref="B78:M80"/>
    <mergeCell ref="F41:M41"/>
    <mergeCell ref="G18:H18"/>
    <mergeCell ref="B8:C8"/>
    <mergeCell ref="E76:M76"/>
    <mergeCell ref="G34:H34"/>
    <mergeCell ref="F66:M66"/>
    <mergeCell ref="J11:K11"/>
    <mergeCell ref="E72:M72"/>
    <mergeCell ref="G24:H24"/>
    <mergeCell ref="G30:H30"/>
    <mergeCell ref="H7:I7"/>
    <mergeCell ref="E75:M75"/>
    <mergeCell ref="G15:H15"/>
    <mergeCell ref="F47:M47"/>
    <mergeCell ref="G33:H33"/>
    <mergeCell ref="F46:M46"/>
    <mergeCell ref="B4:M4"/>
    <mergeCell ref="G26:H26"/>
    <mergeCell ref="G57:M57"/>
    <mergeCell ref="G29:H29"/>
    <mergeCell ref="F43:M43"/>
    <mergeCell ref="B62:M62"/>
    <mergeCell ref="G53:M53"/>
    <mergeCell ref="G35:H35"/>
    <mergeCell ref="F67:M67"/>
    <mergeCell ref="G20:H20"/>
    <mergeCell ref="E71:M71"/>
    <mergeCell ref="B6:C6"/>
    <mergeCell ref="J12:K12"/>
    <mergeCell ref="G16:H16"/>
    <mergeCell ref="G25:H25"/>
    <mergeCell ref="L11:M11"/>
    <mergeCell ref="G31:H31"/>
    <mergeCell ref="H8:I8"/>
    <mergeCell ref="G58:M58"/>
    <mergeCell ref="E73:M7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6A1B9A"/>
    <outlinePr summaryBelow="1" summaryRight="1"/>
    <pageSetUpPr fitToPage="0"/>
  </sheetPr>
  <dimension ref="B1:L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129" min="1" max="1"/>
    <col width="18" customWidth="1" style="129" min="2" max="2"/>
    <col width="8" customWidth="1" style="129" min="3" max="3"/>
    <col width="6" customWidth="1" style="129" min="4" max="4"/>
    <col width="30" customWidth="1" style="129" min="5" max="5"/>
    <col width="14" customWidth="1" style="129" min="6" max="6"/>
    <col width="5" customWidth="1" style="129" min="7" max="7"/>
    <col width="14" customWidth="1" style="129" min="8" max="8"/>
    <col width="8" customWidth="1" style="129" min="9" max="9"/>
    <col width="10" customWidth="1" style="129" min="10" max="10"/>
    <col width="38" customWidth="1" style="129" min="11" max="11"/>
    <col width="5" customWidth="1" style="129" min="12" max="12"/>
  </cols>
  <sheetData>
    <row r="1" ht="21.75" customHeight="1" s="130">
      <c r="B1" s="198" t="inlineStr">
        <is>
          <t>🧬  PALATE DNA FINGERPRINT</t>
        </is>
      </c>
    </row>
    <row r="2" ht="13.5" customHeight="1" s="130">
      <c r="B2" s="199">
        <f>"What "&amp;COUNTA('Coffee Audit'!A2:A2000)&amp;" cups reveal about one palate — malic acid · linalool · flat-bottom geometry · washed clarity"</f>
        <v/>
      </c>
    </row>
    <row r="3" ht="6" customHeight="1" s="130"/>
    <row r="4" ht="15.75" customHeight="1" s="130">
      <c r="B4" s="200" t="inlineStr">
        <is>
          <t xml:space="preserve">  📖  THE PALATE THESIS</t>
        </is>
      </c>
    </row>
    <row r="5" ht="13.5" customHeight="1" s="130">
      <c r="B5" s="201">
        <f>"CLARITY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
      </c>
      <c r="C5" s="202" t="n"/>
      <c r="D5" s="202" t="n"/>
      <c r="E5" s="202" t="n"/>
      <c r="F5" s="202" t="n"/>
      <c r="G5" s="202" t="n"/>
      <c r="H5" s="202" t="n"/>
      <c r="I5" s="202" t="n"/>
      <c r="J5" s="202" t="n"/>
      <c r="K5" s="202" t="n"/>
      <c r="L5" s="202" t="n"/>
    </row>
    <row r="6" ht="13.5" customHeight="1" s="130">
      <c r="B6" s="203" t="n"/>
    </row>
    <row r="7" ht="13.5" customHeight="1" s="130">
      <c r="B7" s="203" t="n"/>
    </row>
    <row r="9" ht="6" customHeight="1" s="130"/>
    <row r="10" ht="15.75" customHeight="1" s="130">
      <c r="B10" s="200">
        <f>"  🍯  PROCESS PREFERENCE SPECTRUM   —   live across "&amp;COUNTA('Coffee Audit'!A2:A2000)&amp;" entries"</f>
        <v/>
      </c>
      <c r="H10" s="200" t="inlineStr">
        <is>
          <t xml:space="preserve">  🌡️  TEMPERATURE PROTOCOLS  —  88–93°C sweet spot</t>
        </is>
      </c>
    </row>
    <row r="11" ht="15.75" customHeight="1" s="130">
      <c r="B11" s="204" t="inlineStr">
        <is>
          <t>Process</t>
        </is>
      </c>
      <c r="C11" s="204" t="inlineStr">
        <is>
          <t>Entries</t>
        </is>
      </c>
      <c r="D11" s="204" t="inlineStr">
        <is>
          <t>%</t>
        </is>
      </c>
      <c r="E11" s="204" t="inlineStr">
        <is>
          <t>Palate Signal</t>
        </is>
      </c>
      <c r="F11" s="204" t="inlineStr">
        <is>
          <t>Affinity</t>
        </is>
      </c>
      <c r="H11" s="204" t="inlineStr">
        <is>
          <t>Protocol</t>
        </is>
      </c>
      <c r="I11" s="204" t="inlineStr">
        <is>
          <t>Entries</t>
        </is>
      </c>
      <c r="J11" s="204" t="inlineStr">
        <is>
          <t>Context</t>
        </is>
      </c>
    </row>
    <row r="12" ht="12.75" customHeight="1" s="130">
      <c r="B12" s="205" t="inlineStr">
        <is>
          <t>Washed</t>
        </is>
      </c>
      <c r="C12" s="205">
        <f>COUNTIF('Coffee Audit'!H2:H2000,"*Washed*")</f>
        <v/>
      </c>
      <c r="D12" s="206">
        <f>TEXT(COUNTIF('Coffee Audit'!H2:H2000,"*Washed*")/COUNTA('Coffee Audit'!A2:A2000),"0%")</f>
        <v/>
      </c>
      <c r="E12" s="207" t="inlineStr">
        <is>
          <t>Malic acid clarity · jasmine lift · clean thermal arcs</t>
        </is>
      </c>
      <c r="F12" s="208" t="inlineStr">
        <is>
          <t>★★★★★ Primary</t>
        </is>
      </c>
      <c r="H12" s="209" t="inlineStr">
        <is>
          <t>85–89°C</t>
        </is>
      </c>
      <c r="I12" s="210">
        <f>SUMPRODUCT(('Coffee Audit'!A2:A2000&lt;&gt;"")*((ISNUMBER(SEARCH("85",'Coffee Audit'!N2:N2000))+ISNUMBER(SEARCH("86",'Coffee Audit'!N2:N2000))+ISNUMBER(SEARCH("87",'Coffee Audit'!N2:N2000))+ISNUMBER(SEARCH("88",'Coffee Audit'!N2:N2000))+ISNUMBER(SEARCH("89",'Coffee Audit'!N2:N2000)))&gt;0))</f>
        <v/>
      </c>
      <c r="J12" s="210" t="inlineStr">
        <is>
          <t>Delicate / Nordic style — Abseil 88°C constant for LAB ester preservation</t>
        </is>
      </c>
    </row>
    <row r="13" ht="12.75" customHeight="1" s="130">
      <c r="B13" s="211" t="inlineStr">
        <is>
          <t>Natural</t>
        </is>
      </c>
      <c r="C13" s="211">
        <f>COUNTIF('Coffee Audit'!H2:H2000,"*Natural*")</f>
        <v/>
      </c>
      <c r="D13" s="212">
        <f>TEXT(COUNTIF('Coffee Audit'!H2:H2000,"*Natural*")/COUNTA('Coffee Audit'!A2:A2000),"0%")</f>
        <v/>
      </c>
      <c r="E13" s="213" t="inlineStr">
        <is>
          <t>Stone fruit · berry complexity · terroir depth</t>
        </is>
      </c>
      <c r="F13" s="214" t="inlineStr">
        <is>
          <t>★★★★ Secondary</t>
        </is>
      </c>
      <c r="H13" s="215" t="inlineStr">
        <is>
          <t>90–91°C</t>
        </is>
      </c>
      <c r="I13" s="216">
        <f>SUMPRODUCT(('Coffee Audit'!A2:A2000&lt;&gt;"")*((ISNUMBER(SEARCH("90",'Coffee Audit'!N2:N2000))+ISNUMBER(SEARCH("91",'Coffee Audit'!N2:N2000)))&gt;0))</f>
        <v/>
      </c>
      <c r="J13" s="216" t="inlineStr">
        <is>
          <t>Clean balanced extraction — Keryi descending protocol</t>
        </is>
      </c>
    </row>
    <row r="14" ht="12.75" customHeight="1" s="130">
      <c r="B14" s="205" t="inlineStr">
        <is>
          <t>Honey</t>
        </is>
      </c>
      <c r="C14" s="205">
        <f>COUNTIF('Coffee Audit'!H2:H2000,"*Honey*")</f>
        <v/>
      </c>
      <c r="D14" s="206">
        <f>TEXT(COUNTIF('Coffee Audit'!H2:H2000,"*Honey*")/COUNTA('Coffee Audit'!A2:A2000),"0%")</f>
        <v/>
      </c>
      <c r="E14" s="207" t="inlineStr">
        <is>
          <t>Mucilage sweetness bridge · ketone fruit layer</t>
        </is>
      </c>
      <c r="F14" s="208" t="inlineStr">
        <is>
          <t>★★★★ Bridge</t>
        </is>
      </c>
      <c r="H14" s="209" t="inlineStr">
        <is>
          <t>92–94°C ⭐</t>
        </is>
      </c>
      <c r="I14" s="210">
        <f>SUMPRODUCT(('Coffee Audit'!A2:A2000&lt;&gt;"")*((ISNUMBER(SEARCH("92",'Coffee Audit'!N2:N2000))+ISNUMBER(SEARCH("93",'Coffee Audit'!N2:N2000))+ISNUMBER(SEARCH("94",'Coffee Audit'!N2:N2000)))&gt;0))</f>
        <v/>
      </c>
      <c r="J14" s="210" t="inlineStr">
        <is>
          <t>Sweet spot — dominant single-temp protocol in Singapore cafés</t>
        </is>
      </c>
    </row>
    <row r="15" ht="12.75" customHeight="1" s="130">
      <c r="B15" s="211" t="inlineStr">
        <is>
          <t>Anaerobic</t>
        </is>
      </c>
      <c r="C15" s="211">
        <f>COUNTIF('Coffee Audit'!H2:H2000,"*Anaerobic*")</f>
        <v/>
      </c>
      <c r="D15" s="212">
        <f>TEXT(COUNTIF('Coffee Audit'!H2:H2000,"*Anaerobic*")/COUNTA('Coffee Audit'!A2:A2000),"0%")</f>
        <v/>
      </c>
      <c r="E15" s="213" t="inlineStr">
        <is>
          <t>Controlled funk · ester complexity · tropical esters</t>
        </is>
      </c>
      <c r="F15" s="214" t="inlineStr">
        <is>
          <t>★★★ Experimental</t>
        </is>
      </c>
      <c r="H15" s="215" t="inlineStr">
        <is>
          <t>95°C</t>
        </is>
      </c>
      <c r="I15" s="216">
        <f>SUMPRODUCT(('Coffee Audit'!A2:A2000&lt;&gt;"")*((ISNUMBER(SEARCH("95",'Coffee Audit'!N2:N2000)))&gt;0))</f>
        <v/>
      </c>
      <c r="J15" s="216" t="inlineStr">
        <is>
          <t>Full extraction — bold washed profiles · Apartment Jalan Riang</t>
        </is>
      </c>
    </row>
    <row r="16" ht="12.75" customHeight="1" s="130">
      <c r="B16" s="205" t="inlineStr">
        <is>
          <t>Co-Ferment / Yeast / Mosto</t>
        </is>
      </c>
      <c r="C16" s="205">
        <f>COUNTIF('Coffee Audit'!H2:H2000,"*Ferment*")</f>
        <v/>
      </c>
      <c r="D16" s="206">
        <f>TEXT(COUNTIF('Coffee Audit'!H2:H2000,"*Ferment*")/COUNTA('Coffee Audit'!A2:A2000),"0%")</f>
        <v/>
      </c>
      <c r="E16" s="207" t="inlineStr">
        <is>
          <t>Frontier zone — logged as data, rarely reordered</t>
        </is>
      </c>
      <c r="F16" s="208" t="inlineStr">
        <is>
          <t>★★ Exploratory</t>
        </is>
      </c>
      <c r="H16" s="209" t="inlineStr">
        <is>
          <t>70→90→70°C 🏆</t>
        </is>
      </c>
      <c r="I16" s="210" t="inlineStr">
        <is>
          <t>7</t>
        </is>
      </c>
      <c r="J16" s="210" t="inlineStr">
        <is>
          <t>Fluid Collective signature oscillation — highest-rated cups in archive</t>
        </is>
      </c>
    </row>
    <row r="17" ht="12.75" customHeight="1" s="130">
      <c r="B17" s="211" t="inlineStr">
        <is>
          <t>Wet-Hulled</t>
        </is>
      </c>
      <c r="C17" s="211">
        <f>COUNTIF('Coffee Audit'!H2:H2000,"*Hulled*")</f>
        <v/>
      </c>
      <c r="D17" s="212">
        <f>TEXT(COUNTIF('Coffee Audit'!H2:H2000,"*Hulled*")/COUNTA('Coffee Audit'!A2:A2000),"0%")</f>
        <v/>
      </c>
      <c r="E17" s="213" t="inlineStr">
        <is>
          <t>Indonesian terroir · syrupy body · reference entry</t>
        </is>
      </c>
      <c r="F17" s="214" t="inlineStr">
        <is>
          <t>★ Reference</t>
        </is>
      </c>
      <c r="H17" s="215" t="inlineStr">
        <is>
          <t>90→70°C (descending)</t>
        </is>
      </c>
      <c r="I17" s="216" t="inlineStr">
        <is>
          <t>4</t>
        </is>
      </c>
      <c r="J17" s="216" t="inlineStr">
        <is>
          <t>Keryi / Pinhole / Double Shot — terpene preservation on honey/gesha</t>
        </is>
      </c>
    </row>
    <row r="18" ht="12.75" customHeight="1" s="130">
      <c r="B18" s="217" t="n"/>
      <c r="C18" s="133" t="n"/>
      <c r="D18" s="133" t="n"/>
      <c r="E18" s="133" t="n"/>
      <c r="F18" s="133" t="n"/>
      <c r="H18" s="209" t="inlineStr">
        <is>
          <t>80→95→80°C</t>
        </is>
      </c>
      <c r="I18" s="210" t="inlineStr">
        <is>
          <t>1</t>
        </is>
      </c>
      <c r="J18" s="210" t="inlineStr">
        <is>
          <t>Kurasu Frinsa — honey process mucilage management</t>
        </is>
      </c>
    </row>
    <row r="19" ht="12.75" customHeight="1" s="130">
      <c r="B19" s="217" t="n"/>
      <c r="C19" s="133" t="n"/>
      <c r="D19" s="133" t="n"/>
      <c r="E19" s="133" t="n"/>
      <c r="F19" s="133" t="n"/>
      <c r="H19" s="215" t="inlineStr">
        <is>
          <t>88°C constant</t>
        </is>
      </c>
      <c r="I19" s="216" t="inlineStr">
        <is>
          <t>1</t>
        </is>
      </c>
      <c r="J19" s="216" t="inlineStr">
        <is>
          <t>Oaks — LAB lactic ester preservation (Bolivia Pacamara)</t>
        </is>
      </c>
    </row>
    <row r="20" ht="7.5" customHeight="1" s="130"/>
    <row r="21" ht="15.75" customHeight="1" s="130">
      <c r="B21" s="200" t="inlineStr">
        <is>
          <t xml:space="preserve">  ⭐  COLOMBIA GESHA PROCESS TRILOGY  —  Completed 2026 · Three processes · One verdict</t>
        </is>
      </c>
      <c r="H21" s="200" t="inlineStr">
        <is>
          <t xml:space="preserve">  ⚖️  RATIO BAND ANALYSIS  —  1:15–1:17 Optimal Window</t>
        </is>
      </c>
    </row>
    <row r="22" ht="15.75" customHeight="1" s="130">
      <c r="B22" s="204" t="inlineStr">
        <is>
          <t>Process</t>
        </is>
      </c>
      <c r="C22" s="204" t="inlineStr">
        <is>
          <t>Café</t>
        </is>
      </c>
      <c r="D22" s="204" t="inlineStr">
        <is>
          <t>Sensory Arc</t>
        </is>
      </c>
      <c r="E22" s="204" t="inlineStr">
        <is>
          <t>Verdict</t>
        </is>
      </c>
      <c r="H22" s="204" t="inlineStr">
        <is>
          <t>Band</t>
        </is>
      </c>
      <c r="I22" s="204" t="inlineStr">
        <is>
          <t>Count</t>
        </is>
      </c>
      <c r="J22" s="204" t="inlineStr">
        <is>
          <t>Status</t>
        </is>
      </c>
      <c r="K22" s="204" t="inlineStr">
        <is>
          <t>Chemistry Note</t>
        </is>
      </c>
    </row>
    <row r="23" ht="12.75" customHeight="1" s="130">
      <c r="B23" s="215" t="inlineStr">
        <is>
          <t>Washed ⭐</t>
        </is>
      </c>
      <c r="C23" s="216" t="inlineStr">
        <is>
          <t>Fluid Collective (El Obraje)</t>
        </is>
      </c>
      <c r="D23" s="216" t="inlineStr">
        <is>
          <t>Mango · Orange Blossom · Nectarine · Honey — linalool apex</t>
        </is>
      </c>
      <c r="E23" s="216" t="inlineStr">
        <is>
          <t>CUP OF THE YEAR</t>
        </is>
      </c>
      <c r="H23" s="215" t="inlineStr">
        <is>
          <t>&lt;1:13</t>
        </is>
      </c>
      <c r="I23" s="216">
        <f>SUMPRODUCT(('Coffee Audit'!A2:A2000&lt;&gt;"")*((ISNUMBER(SEARCH("1:10",'Coffee Audit'!M2:M2000))+ISNUMBER(SEARCH("1:11",'Coffee Audit'!M2:M2000))+ISNUMBER(SEARCH("1:12",'Coffee Audit'!M2:M2000))+ISNUMBER(SEARCH("1:2",'Coffee Audit'!M2:M2000))+ISNUMBER(SEARCH("1:1 ",'Coffee Audit'!M2:M2000)))&gt;0))</f>
        <v/>
      </c>
      <c r="J23" s="216" t="inlineStr">
        <is>
          <t>⚠️ Espresso</t>
        </is>
      </c>
      <c r="K23" s="216" t="inlineStr">
        <is>
          <t>Concentration removes filter brewing purpose</t>
        </is>
      </c>
    </row>
    <row r="24" ht="12.75" customHeight="1" s="130">
      <c r="B24" s="209" t="inlineStr">
        <is>
          <t>Honey</t>
        </is>
      </c>
      <c r="C24" s="210" t="inlineStr">
        <is>
          <t>Keryi Coffee (Finca La Esmaralda)</t>
        </is>
      </c>
      <c r="D24" s="210" t="inlineStr">
        <is>
          <t>Jasmine · Caramel · Stone Fruit · Tangerine — smooth arc</t>
        </is>
      </c>
      <c r="E24" s="210" t="inlineStr">
        <is>
          <t>EXCELLENT</t>
        </is>
      </c>
      <c r="H24" s="209" t="inlineStr">
        <is>
          <t>1:13–1:14</t>
        </is>
      </c>
      <c r="I24" s="210">
        <f>SUMPRODUCT(('Coffee Audit'!A2:A2000&lt;&gt;"")*((ISNUMBER(SEARCH("1:13",'Coffee Audit'!M2:M2000)))&gt;0))</f>
        <v/>
      </c>
      <c r="J24" s="210" t="inlineStr">
        <is>
          <t>⚠️ Dense</t>
        </is>
      </c>
      <c r="K24" s="210" t="inlineStr">
        <is>
          <t>Polyphenolic bitterness amplified · sucrose suppressed (Entry #055)</t>
        </is>
      </c>
    </row>
    <row r="25" ht="12.75" customHeight="1" s="130">
      <c r="B25" s="215" t="inlineStr">
        <is>
          <t>Honey</t>
        </is>
      </c>
      <c r="C25" s="216" t="inlineStr">
        <is>
          <t>Pinhole Coffee Bar (Santa Barbara #1)</t>
        </is>
      </c>
      <c r="D25" s="216" t="inlineStr">
        <is>
          <t>Bergamot · Lychee · Mandarin · Honey — cold-cup revelation</t>
        </is>
      </c>
      <c r="E25" s="216" t="inlineStr">
        <is>
          <t>VERY GOOD</t>
        </is>
      </c>
      <c r="H25" s="215" t="inlineStr">
        <is>
          <t>1:14–1:15</t>
        </is>
      </c>
      <c r="I25" s="216">
        <f>SUMPRODUCT(('Coffee Audit'!A2:A2000&lt;&gt;"")*((ISNUMBER(SEARCH("1:14",'Coffee Audit'!M2:M2000)))&gt;0))</f>
        <v/>
      </c>
      <c r="J25" s="216" t="inlineStr">
        <is>
          <t>⚠️ Edge</t>
        </is>
      </c>
      <c r="K25" s="216" t="inlineStr">
        <is>
          <t>Aromatic headspace compressed vs optimal</t>
        </is>
      </c>
    </row>
    <row r="26" ht="12.75" customHeight="1" s="130">
      <c r="B26" s="209" t="inlineStr">
        <is>
          <t>Natural</t>
        </is>
      </c>
      <c r="C26" s="210" t="inlineStr">
        <is>
          <t>Homeground (Inmaculada Estate)</t>
        </is>
      </c>
      <c r="D26" s="210" t="inlineStr">
        <is>
          <t>Hibiscus · Pomegranate · Darjeeling Tea — relaxing depth</t>
        </is>
      </c>
      <c r="E26" s="210" t="inlineStr">
        <is>
          <t>EXCELLENT</t>
        </is>
      </c>
      <c r="H26" s="209" t="inlineStr">
        <is>
          <t>1:15–1:17 ✅</t>
        </is>
      </c>
      <c r="I26" s="210">
        <f>SUMPRODUCT(('Coffee Audit'!A2:A2000&lt;&gt;"")*((ISNUMBER(SEARCH("1:15",'Coffee Audit'!M2:M2000))+ISNUMBER(SEARCH("1:16",'Coffee Audit'!M2:M2000))+ISNUMBER(SEARCH("1:17",'Coffee Audit'!M2:M2000)))&gt;0))</f>
        <v/>
      </c>
      <c r="J26" s="210" t="inlineStr">
        <is>
          <t>✅ OPTIMAL</t>
        </is>
      </c>
      <c r="K26" s="210">
        <f>"Core extraction philosophy — "&amp;TEXT(I26/COUNTA('Coffee Audit'!A2:A2000),"0%")&amp;" of all logged entries"</f>
        <v/>
      </c>
    </row>
    <row r="27" ht="12.75" customHeight="1" s="130">
      <c r="B27" s="215" t="inlineStr">
        <is>
          <t>Natural</t>
        </is>
      </c>
      <c r="C27" s="216" t="inlineStr">
        <is>
          <t>Cowpresso (Las Nubes)</t>
        </is>
      </c>
      <c r="D27" s="216" t="inlineStr">
        <is>
          <t>Lychee · Berry · Tropical — aggressive Natural expression</t>
        </is>
      </c>
      <c r="E27" s="216" t="inlineStr">
        <is>
          <t>GOOD</t>
        </is>
      </c>
      <c r="H27" s="215" t="inlineStr">
        <is>
          <t>&gt;1:17</t>
        </is>
      </c>
      <c r="I27" s="216">
        <f>SUMPRODUCT(('Coffee Audit'!A2:A2000&lt;&gt;"")*((ISNUMBER(SEARCH("1:18",'Coffee Audit'!M2:M2000))+ISNUMBER(SEARCH("1:19",'Coffee Audit'!M2:M2000)))&gt;0))</f>
        <v/>
      </c>
      <c r="J27" s="216" t="inlineStr">
        <is>
          <t>—</t>
        </is>
      </c>
      <c r="K27" s="216" t="inlineStr">
        <is>
          <t>CGA lactone risk on Naturals — confirmed Entry #056 Nylon</t>
        </is>
      </c>
    </row>
    <row r="28" ht="12.75" customHeight="1" s="130">
      <c r="B28" s="218" t="inlineStr">
        <is>
          <t>Archive verdict on the Colombia Gesha Trilogy: Washed = genetic purity (apex). Honey = sweetness amplified. Natural = fermentation over clarity. Washed remains unmatched.</t>
        </is>
      </c>
      <c r="C28" s="219" t="n"/>
      <c r="D28" s="219" t="n"/>
      <c r="E28" s="219" t="n"/>
      <c r="F28" s="219" t="n"/>
      <c r="H28" s="209" t="inlineStr">
        <is>
          <t>Unknown</t>
        </is>
      </c>
      <c r="I28" s="210">
        <f>COUNTA('Coffee Audit'!A2:A2000)-SUM(I23:I27)</f>
        <v/>
      </c>
      <c r="J28" s="210" t="inlineStr">
        <is>
          <t>—</t>
        </is>
      </c>
      <c r="K28" s="210" t="inlineStr">
        <is>
          <t>Early entries pre-hardware protocol · improving each visit</t>
        </is>
      </c>
    </row>
  </sheetData>
  <mergeCells count="9">
    <mergeCell ref="B4:L4"/>
    <mergeCell ref="B10:G10"/>
    <mergeCell ref="H21:L21"/>
    <mergeCell ref="B28:F28"/>
    <mergeCell ref="H10:L10"/>
    <mergeCell ref="B2:L2"/>
    <mergeCell ref="B5:L7"/>
    <mergeCell ref="B21:G21"/>
    <mergeCell ref="B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7D32"/>
    <outlinePr summaryBelow="1" summaryRight="1"/>
    <pageSetUpPr fitToPage="0"/>
  </sheetPr>
  <dimension ref="B1:L4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129" min="1" max="1"/>
    <col width="18" customWidth="1" style="129" min="2" max="2"/>
    <col width="14" customWidth="1" style="129" min="3" max="3"/>
    <col width="22" customWidth="1" style="129" min="4" max="4"/>
    <col width="24" customWidth="1" style="129" min="5" max="6"/>
    <col width="30" customWidth="1" style="129" min="7" max="7"/>
    <col width="16" customWidth="1" style="129" min="8" max="8"/>
    <col width="10" customWidth="1" style="129" min="9" max="10"/>
    <col width="38" customWidth="1" style="129" min="11" max="11"/>
    <col width="5" customWidth="1" style="129" min="12" max="12"/>
  </cols>
  <sheetData>
    <row r="1" ht="21.75" customHeight="1" s="130">
      <c r="B1" s="198" t="inlineStr">
        <is>
          <t>🌍  ORIGIN &amp; TERROIR ATLAS</t>
        </is>
      </c>
    </row>
    <row r="2" ht="13.5" customHeight="1" s="130">
      <c r="B2" s="199">
        <f>"Where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
      </c>
    </row>
    <row r="3" ht="6" customHeight="1" s="130"/>
    <row r="4" ht="15.75" customHeight="1" s="130">
      <c r="B4" s="200" t="inlineStr">
        <is>
          <t xml:space="preserve">  🗺️  ORIGIN LEAGUE TABLE  —  live formula, auto-updates with new entries</t>
        </is>
      </c>
      <c r="H4" s="200">
        <f>"  ⭐  GESHA REGISTER  —  The Apex Varietal · "&amp;COUNTIF('Coffee Audit'!W2:W2000,"⭐ GESHA")&amp;" archive entries"</f>
        <v/>
      </c>
    </row>
    <row r="5" ht="15.75" customHeight="1" s="130">
      <c r="B5" s="204" t="inlineStr">
        <is>
          <t>Origin</t>
        </is>
      </c>
      <c r="C5" s="204" t="inlineStr">
        <is>
          <t>Entries</t>
        </is>
      </c>
      <c r="D5" s="204" t="inlineStr">
        <is>
          <t>Share</t>
        </is>
      </c>
      <c r="E5" s="204" t="inlineStr">
        <is>
          <t>Gesha?</t>
        </is>
      </c>
      <c r="F5" s="204" t="inlineStr">
        <is>
          <t>Palate DNA Fit</t>
        </is>
      </c>
      <c r="H5" s="204" t="inlineStr">
        <is>
          <t>Metric</t>
        </is>
      </c>
      <c r="I5" s="204" t="inlineStr">
        <is>
          <t>Value</t>
        </is>
      </c>
    </row>
    <row r="6" ht="12.75" customHeight="1" s="130">
      <c r="B6" s="209" t="inlineStr">
        <is>
          <t>Colombia</t>
        </is>
      </c>
      <c r="C6" s="210">
        <f>COUNTIF('Coffee Audit'!F2:F2000,"*Colombia*")</f>
        <v/>
      </c>
      <c r="D6" s="210">
        <f>TEXT(COUNTIF('Coffee Audit'!F2:F2000,"*Colombia*")/COUNTA('Coffee Audit'!A2:A2000),"0%")</f>
        <v/>
      </c>
      <c r="E6" s="210">
        <f>IF(SUMPRODUCT(ISNUMBER(SEARCH("Colombia",'Coffee Audit'!F2:F2000))*('Coffee Audit'!W2:W2000="⭐ GESHA"))=0,"—","⭐ ×"&amp;SUMPRODUCT(ISNUMBER(SEARCH("Colombia",'Coffee Audit'!F2:F2000))*('Coffee Audit'!W2:W2000="⭐ GESHA")))</f>
        <v/>
      </c>
      <c r="F6" s="210" t="inlineStr">
        <is>
          <t>HIGHEST — malic + Gesha depth</t>
        </is>
      </c>
      <c r="H6" s="209" t="inlineStr">
        <is>
          <t>Total Gesha/Geisha entries</t>
        </is>
      </c>
      <c r="I6" s="220">
        <f>COUNTIF('Coffee Audit'!W2:W2000,"⭐ GESHA")</f>
        <v/>
      </c>
    </row>
    <row r="7" ht="12.75" customHeight="1" s="130">
      <c r="B7" s="215" t="inlineStr">
        <is>
          <t>Ethiopia</t>
        </is>
      </c>
      <c r="C7" s="216">
        <f>COUNTIF('Coffee Audit'!F2:F2000,"*Ethiopia*")</f>
        <v/>
      </c>
      <c r="D7" s="216">
        <f>TEXT(COUNTIF('Coffee Audit'!F2:F2000,"*Ethiopia*")/COUNTA('Coffee Audit'!A2:A2000),"0%")</f>
        <v/>
      </c>
      <c r="E7" s="216">
        <f>IF(SUMPRODUCT(ISNUMBER(SEARCH("Ethiopia",'Coffee Audit'!F2:F2000))*('Coffee Audit'!W2:W2000="⭐ GESHA"))=0,"—","⭐ ×"&amp;SUMPRODUCT(ISNUMBER(SEARCH("Ethiopia",'Coffee Audit'!F2:F2000))*('Coffee Audit'!W2:W2000="⭐ GESHA")))</f>
        <v/>
      </c>
      <c r="F7" s="216" t="inlineStr">
        <is>
          <t>HIGH — linalool florals · heirloom terroir</t>
        </is>
      </c>
      <c r="H7" s="215" t="inlineStr">
        <is>
          <t>Washed Gesha</t>
        </is>
      </c>
      <c r="I7" s="221">
        <f>SUMPRODUCT(('Coffee Audit'!W2:W2000="⭐ GESHA")*(ISNUMBER(SEARCH("washed",'Coffee Audit'!H2:H2000))))</f>
        <v/>
      </c>
    </row>
    <row r="8" ht="12.75" customHeight="1" s="130">
      <c r="B8" s="209" t="inlineStr">
        <is>
          <t>Brazil</t>
        </is>
      </c>
      <c r="C8" s="210">
        <f>COUNTIF('Coffee Audit'!F2:F2000,"*Brazil*")</f>
        <v/>
      </c>
      <c r="D8" s="210">
        <f>TEXT(COUNTIF('Coffee Audit'!F2:F2000,"*Brazil*")/COUNTA('Coffee Audit'!A2:A2000),"0%")</f>
        <v/>
      </c>
      <c r="E8" s="210">
        <f>IF(SUMPRODUCT(ISNUMBER(SEARCH("Brazil",'Coffee Audit'!F2:F2000))*('Coffee Audit'!W2:W2000="⭐ GESHA"))=0,"—","⭐ ×"&amp;SUMPRODUCT(ISNUMBER(SEARCH("Brazil",'Coffee Audit'!F2:F2000))*('Coffee Audit'!W2:W2000="⭐ GESHA")))</f>
        <v/>
      </c>
      <c r="F8" s="210" t="inlineStr">
        <is>
          <t>MED — body · Maillard sweetness baseline</t>
        </is>
      </c>
      <c r="H8" s="209" t="inlineStr">
        <is>
          <t>Honey Gesha</t>
        </is>
      </c>
      <c r="I8" s="220">
        <f>SUMPRODUCT(('Coffee Audit'!W2:W2000="⭐ GESHA")*(ISNUMBER(SEARCH("honey",'Coffee Audit'!H2:H2000))))</f>
        <v/>
      </c>
    </row>
    <row r="9" ht="12.75" customHeight="1" s="130">
      <c r="B9" s="215" t="inlineStr">
        <is>
          <t>Honduras</t>
        </is>
      </c>
      <c r="C9" s="216">
        <f>COUNTIF('Coffee Audit'!F2:F2000,"*Honduras*")</f>
        <v/>
      </c>
      <c r="D9" s="216">
        <f>TEXT(COUNTIF('Coffee Audit'!F2:F2000,"*Honduras*")/COUNTA('Coffee Audit'!A2:A2000),"0%")</f>
        <v/>
      </c>
      <c r="E9" s="216">
        <f>IF(SUMPRODUCT(ISNUMBER(SEARCH("Honduras",'Coffee Audit'!F2:F2000))*('Coffee Audit'!W2:W2000="⭐ GESHA"))=0,"—","⭐ ×"&amp;SUMPRODUCT(ISNUMBER(SEARCH("Honduras",'Coffee Audit'!F2:F2000))*('Coffee Audit'!W2:W2000="⭐ GESHA")))</f>
        <v/>
      </c>
      <c r="F9" s="216" t="inlineStr">
        <is>
          <t>HIGH — malic stone fruit · clean finish</t>
        </is>
      </c>
      <c r="H9" s="215" t="inlineStr">
        <is>
          <t>Natural Gesha</t>
        </is>
      </c>
      <c r="I9" s="221">
        <f>SUMPRODUCT(('Coffee Audit'!W2:W2000="⭐ GESHA")*(ISNUMBER(SEARCH("natural",'Coffee Audit'!H2:H2000))))</f>
        <v/>
      </c>
    </row>
    <row r="10" ht="12.75" customHeight="1" s="130">
      <c r="B10" s="209" t="inlineStr">
        <is>
          <t>Indonesia</t>
        </is>
      </c>
      <c r="C10" s="210">
        <f>COUNTIF('Coffee Audit'!F2:F2000,"*Indonesia*")</f>
        <v/>
      </c>
      <c r="D10" s="210">
        <f>TEXT(COUNTIF('Coffee Audit'!F2:F2000,"*Indonesia*")/COUNTA('Coffee Audit'!A2:A2000),"0%")</f>
        <v/>
      </c>
      <c r="E10" s="210">
        <f>IF(SUMPRODUCT(ISNUMBER(SEARCH("Indonesia",'Coffee Audit'!F2:F2000))*('Coffee Audit'!W2:W2000="⭐ GESHA"))=0,"—","⭐ ×"&amp;SUMPRODUCT(ISNUMBER(SEARCH("Indonesia",'Coffee Audit'!F2:F2000))*('Coffee Audit'!W2:W2000="⭐ GESHA")))</f>
        <v/>
      </c>
      <c r="F10" s="210" t="inlineStr">
        <is>
          <t>MED — wet-hulled texture study</t>
        </is>
      </c>
      <c r="H10" s="209" t="inlineStr">
        <is>
          <t>Avg Gesha price (SGD)</t>
        </is>
      </c>
      <c r="I10" s="220">
        <f>"S$"&amp;TEXT(AVERAGEIFS('Coffee Audit'!Q2:Q2000,'Coffee Audit'!W2:W2000,"⭐ GESHA",'Coffee Audit'!Q2:Q2000,"&gt;0"),"0.00")</f>
        <v/>
      </c>
    </row>
    <row r="11" ht="12.75" customHeight="1" s="130">
      <c r="B11" s="215" t="inlineStr">
        <is>
          <t>Peru</t>
        </is>
      </c>
      <c r="C11" s="216">
        <f>COUNTIF('Coffee Audit'!F2:F2000,"*Peru*")</f>
        <v/>
      </c>
      <c r="D11" s="216">
        <f>TEXT(COUNTIF('Coffee Audit'!F2:F2000,"*Peru*")/COUNTA('Coffee Audit'!A2:A2000),"0%")</f>
        <v/>
      </c>
      <c r="E11" s="216">
        <f>IF(SUMPRODUCT(ISNUMBER(SEARCH("Peru",'Coffee Audit'!F2:F2000))*('Coffee Audit'!W2:W2000="⭐ GESHA"))=0,"—","⭐ ×"&amp;SUMPRODUCT(ISNUMBER(SEARCH("Peru",'Coffee Audit'!F2:F2000))*('Coffee Audit'!W2:W2000="⭐ GESHA")))</f>
        <v/>
      </c>
      <c r="F11" s="216" t="inlineStr">
        <is>
          <t>HIGH — washed Gesha clarity (Wilder Garcia)</t>
        </is>
      </c>
      <c r="H11" s="215" t="inlineStr">
        <is>
          <t>Avg non-Gesha price (SGD)</t>
        </is>
      </c>
      <c r="I11" s="221">
        <f>"S$"&amp;TEXT(AVERAGEIFS('Coffee Audit'!Q2:Q2000,'Coffee Audit'!W2:W2000,"&lt;&gt;⭐ GESHA",'Coffee Audit'!Q2:Q2000,"&gt;0"),"0.00")</f>
        <v/>
      </c>
    </row>
    <row r="12" ht="12.75" customHeight="1" s="130">
      <c r="B12" s="209" t="inlineStr">
        <is>
          <t>Kenya</t>
        </is>
      </c>
      <c r="C12" s="210">
        <f>COUNTIF('Coffee Audit'!F2:F2000,"*Kenya*")</f>
        <v/>
      </c>
      <c r="D12" s="210">
        <f>TEXT(COUNTIF('Coffee Audit'!F2:F2000,"*Kenya*")/COUNTA('Coffee Audit'!A2:A2000),"0%")</f>
        <v/>
      </c>
      <c r="E12" s="210">
        <f>IF(SUMPRODUCT(ISNUMBER(SEARCH("Kenya",'Coffee Audit'!F2:F2000))*('Coffee Audit'!W2:W2000="⭐ GESHA"))=0,"—","⭐ ×"&amp;SUMPRODUCT(ISNUMBER(SEARCH("Kenya",'Coffee Audit'!F2:F2000))*('Coffee Audit'!W2:W2000="⭐ GESHA")))</f>
        <v/>
      </c>
      <c r="F12" s="210" t="inlineStr">
        <is>
          <t>HIGH — phosphoric acid · blackcurrant benchmark</t>
        </is>
      </c>
      <c r="H12" s="209" t="inlineStr">
        <is>
          <t>Gesha price premium</t>
        </is>
      </c>
      <c r="I12" s="220">
        <f>"+"&amp;TEXT(AVERAGEIFS('Coffee Audit'!Q2:Q2000,'Coffee Audit'!W2:W2000,"⭐ GESHA",'Coffee Audit'!Q2:Q2000,"&gt;0")/AVERAGEIFS('Coffee Audit'!Q2:Q2000,'Coffee Audit'!W2:W2000,"&lt;&gt;⭐ GESHA",'Coffee Audit'!Q2:Q2000,"&gt;0")-1,"0%")</f>
        <v/>
      </c>
    </row>
    <row r="13" ht="12.75" customHeight="1" s="130">
      <c r="B13" s="215" t="inlineStr">
        <is>
          <t>Panama</t>
        </is>
      </c>
      <c r="C13" s="216">
        <f>COUNTIF('Coffee Audit'!F2:F2000,"*Panama*")</f>
        <v/>
      </c>
      <c r="D13" s="216">
        <f>TEXT(COUNTIF('Coffee Audit'!F2:F2000,"*Panama*")/COUNTA('Coffee Audit'!A2:A2000),"0%")</f>
        <v/>
      </c>
      <c r="E13" s="216">
        <f>IF(SUMPRODUCT(ISNUMBER(SEARCH("Panama",'Coffee Audit'!F2:F2000))*('Coffee Audit'!W2:W2000="⭐ GESHA"))=0,"—","⭐ ×"&amp;SUMPRODUCT(ISNUMBER(SEARCH("Panama",'Coffee Audit'!F2:F2000))*('Coffee Audit'!W2:W2000="⭐ GESHA")))</f>
        <v/>
      </c>
      <c r="F13" s="216" t="inlineStr">
        <is>
          <t>HIGHEST — Gesha heartland (Kotowa · Corpachi)</t>
        </is>
      </c>
      <c r="H13" s="215" t="inlineStr">
        <is>
          <t>Origins with Gesha entry</t>
        </is>
      </c>
      <c r="I13" s="221" t="inlineStr">
        <is>
          <t>Colombia · Peru · Panama · Ecuador · Honduras</t>
        </is>
      </c>
    </row>
    <row r="14" ht="12.75" customHeight="1" s="130">
      <c r="B14" s="209" t="inlineStr">
        <is>
          <t>Nicaragua</t>
        </is>
      </c>
      <c r="C14" s="210">
        <f>COUNTIF('Coffee Audit'!F2:F2000,"*Nicaragua*")</f>
        <v/>
      </c>
      <c r="D14" s="210">
        <f>TEXT(COUNTIF('Coffee Audit'!F2:F2000,"*Nicaragua*")/COUNTA('Coffee Audit'!A2:A2000),"0%")</f>
        <v/>
      </c>
      <c r="E14" s="210">
        <f>IF(SUMPRODUCT(ISNUMBER(SEARCH("Nicaragua",'Coffee Audit'!F2:F2000))*('Coffee Audit'!W2:W2000="⭐ GESHA"))=0,"—","⭐ ×"&amp;SUMPRODUCT(ISNUMBER(SEARCH("Nicaragua",'Coffee Audit'!F2:F2000))*('Coffee Audit'!W2:W2000="⭐ GESHA")))</f>
        <v/>
      </c>
      <c r="F14" s="210" t="inlineStr">
        <is>
          <t>MED — clean washed + anaerobic contrast</t>
        </is>
      </c>
      <c r="H14" s="209" t="inlineStr">
        <is>
          <t>Highest-priced Gesha</t>
        </is>
      </c>
      <c r="I14" s="220">
        <f>"S$"&amp;TEXT(_xlfn.MAXIFS('Coffee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
      </c>
    </row>
    <row r="15" ht="12.75" customHeight="1" s="130">
      <c r="B15" s="215" t="inlineStr">
        <is>
          <t>Bolivia</t>
        </is>
      </c>
      <c r="C15" s="216">
        <f>COUNTIF('Coffee Audit'!F2:F2000,"*Bolivia*")</f>
        <v/>
      </c>
      <c r="D15" s="216">
        <f>TEXT(COUNTIF('Coffee Audit'!F2:F2000,"*Bolivia*")/COUNTA('Coffee Audit'!A2:A2000),"0%")</f>
        <v/>
      </c>
      <c r="E15" s="216">
        <f>IF(SUMPRODUCT(ISNUMBER(SEARCH("Bolivia",'Coffee Audit'!F2:F2000))*('Coffee Audit'!W2:W2000="⭐ GESHA"))=0,"—","⭐ ×"&amp;SUMPRODUCT(ISNUMBER(SEARCH("Bolivia",'Coffee Audit'!F2:F2000))*('Coffee Audit'!W2:W2000="⭐ GESHA")))</f>
        <v/>
      </c>
      <c r="F15" s="216" t="inlineStr">
        <is>
          <t>HIGH — Lactic Honey Pacamara · new frontier</t>
        </is>
      </c>
      <c r="H15" s="215" t="inlineStr">
        <is>
          <t>Best-value Gesha</t>
        </is>
      </c>
      <c r="I15" s="221">
        <f>"S$"&amp;TEXT(_xlfn.MINIFS('Coffee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
      </c>
    </row>
    <row r="16" ht="12.75" customHeight="1" s="130">
      <c r="B16" s="209" t="inlineStr">
        <is>
          <t>Ecuador</t>
        </is>
      </c>
      <c r="C16" s="210">
        <f>COUNTIF('Coffee Audit'!F2:F2000,"*Ecuador*")</f>
        <v/>
      </c>
      <c r="D16" s="210">
        <f>TEXT(COUNTIF('Coffee Audit'!F2:F2000,"*Ecuador*")/COUNTA('Coffee Audit'!A2:A2000),"0%")</f>
        <v/>
      </c>
      <c r="E16" s="210">
        <f>IF(SUMPRODUCT(ISNUMBER(SEARCH("Ecuador",'Coffee Audit'!F2:F2000))*('Coffee Audit'!W2:W2000="⭐ GESHA"))=0,"—","⭐ ×"&amp;SUMPRODUCT(ISNUMBER(SEARCH("Ecuador",'Coffee Audit'!F2:F2000))*('Coffee Audit'!W2:W2000="⭐ GESHA")))</f>
        <v/>
      </c>
      <c r="F16" s="210" t="inlineStr">
        <is>
          <t>HIGHEST — #1 palate fit (Loja Gesha)</t>
        </is>
      </c>
      <c r="H16" s="209" t="inlineStr">
        <is>
          <t>Archive verdict — apex process</t>
        </is>
      </c>
      <c r="I16" s="220" t="inlineStr">
        <is>
          <t>Washed (genetic purity over fermentation)</t>
        </is>
      </c>
    </row>
    <row r="17" ht="12.75" customHeight="1" s="130">
      <c r="B17" s="215" t="inlineStr">
        <is>
          <t>India</t>
        </is>
      </c>
      <c r="C17" s="216">
        <f>COUNTIF('Coffee Audit'!F2:F2000,"*India*")</f>
        <v/>
      </c>
      <c r="D17" s="216">
        <f>TEXT(COUNTIF('Coffee Audit'!F2:F2000,"*India*")/COUNTA('Coffee Audit'!A2:A2000),"0%")</f>
        <v/>
      </c>
      <c r="E17" s="216">
        <f>IF(SUMPRODUCT(ISNUMBER(SEARCH("India",'Coffee Audit'!F2:F2000))*('Coffee Audit'!W2:W2000="⭐ GESHA"))=0,"—","⭐ ×"&amp;SUMPRODUCT(ISNUMBER(SEARCH("India",'Coffee Audit'!F2:F2000))*('Coffee Audit'!W2:W2000="⭐ GESHA")))</f>
        <v/>
      </c>
      <c r="F17" s="216" t="inlineStr">
        <is>
          <t>MED — anaerobic exploration · Subko/Grey Soul</t>
        </is>
      </c>
    </row>
    <row r="18" ht="12.75" customHeight="1" s="130">
      <c r="B18" s="209" t="inlineStr">
        <is>
          <t>Malaysia</t>
        </is>
      </c>
      <c r="C18" s="210">
        <f>COUNTIF('Coffee Audit'!F2:F2000,"*Malaysia*")</f>
        <v/>
      </c>
      <c r="D18" s="210">
        <f>TEXT(COUNTIF('Coffee Audit'!F2:F2000,"*Malaysia*")/COUNTA('Coffee Audit'!A2:A2000),"0%")</f>
        <v/>
      </c>
      <c r="E18" s="210">
        <f>IF(SUMPRODUCT(ISNUMBER(SEARCH("Malaysia",'Coffee Audit'!F2:F2000))*('Coffee Audit'!W2:W2000="⭐ GESHA"))=0,"—","⭐ ×"&amp;SUMPRODUCT(ISNUMBER(SEARCH("Malaysia",'Coffee Audit'!F2:F2000))*('Coffee Audit'!W2:W2000="⭐ GESHA")))</f>
        <v/>
      </c>
      <c r="F18" s="210" t="inlineStr">
        <is>
          <t>REF — Liberica · archive first non-Arabica</t>
        </is>
      </c>
    </row>
    <row r="19" ht="12.75" customHeight="1" s="130">
      <c r="B19" s="215" t="inlineStr">
        <is>
          <t>China</t>
        </is>
      </c>
      <c r="C19" s="216">
        <f>COUNTIF('Coffee Audit'!F2:F2000,"*China*")</f>
        <v/>
      </c>
      <c r="D19" s="216">
        <f>TEXT(COUNTIF('Coffee Audit'!F2:F2000,"*China*")/COUNTA('Coffee Audit'!A2:A2000),"0%")</f>
        <v/>
      </c>
      <c r="E19" s="216">
        <f>IF(SUMPRODUCT(ISNUMBER(SEARCH("China",'Coffee Audit'!F2:F2000))*('Coffee Audit'!W2:W2000="⭐ GESHA"))=0,"—","⭐ ×"&amp;SUMPRODUCT(ISNUMBER(SEARCH("China",'Coffee Audit'!F2:F2000))*('Coffee Audit'!W2:W2000="⭐ GESHA")))</f>
        <v/>
      </c>
      <c r="F19" s="216" t="inlineStr">
        <is>
          <t>REF — Yunnan Purple Leaf Caturra · surprise entry</t>
        </is>
      </c>
    </row>
    <row r="20" ht="12.75" customHeight="1" s="130">
      <c r="B20" s="209" t="inlineStr">
        <is>
          <t>Rwanda</t>
        </is>
      </c>
      <c r="C20" s="210">
        <f>COUNTIF('Coffee Audit'!F2:F2000,"*Rwanda*")</f>
        <v/>
      </c>
      <c r="D20" s="210">
        <f>TEXT(COUNTIF('Coffee Audit'!F2:F2000,"*Rwanda*")/COUNTA('Coffee Audit'!A2:A2000),"0%")</f>
        <v/>
      </c>
      <c r="E20" s="210">
        <f>IF(SUMPRODUCT(ISNUMBER(SEARCH("Rwanda",'Coffee Audit'!F2:F2000))*('Coffee Audit'!W2:W2000="⭐ GESHA"))=0,"—","⭐ ×"&amp;SUMPRODUCT(ISNUMBER(SEARCH("Rwanda",'Coffee Audit'!F2:F2000))*('Coffee Audit'!W2:W2000="⭐ GESHA")))</f>
        <v/>
      </c>
      <c r="F20" s="210" t="inlineStr">
        <is>
          <t>MED — baked apple · citric-malic duality</t>
        </is>
      </c>
    </row>
    <row r="21" ht="12.75" customHeight="1" s="130">
      <c r="B21" s="215" t="inlineStr">
        <is>
          <t>Myanmar</t>
        </is>
      </c>
      <c r="C21" s="216">
        <f>COUNTIF('Coffee Audit'!F2:F2000,"*Myanmar*")</f>
        <v/>
      </c>
      <c r="D21" s="216">
        <f>TEXT(COUNTIF('Coffee Audit'!F2:F2000,"*Myanmar*")/COUNTA('Coffee Audit'!A2:A2000),"0%")</f>
        <v/>
      </c>
      <c r="E21" s="216">
        <f>IF(SUMPRODUCT(ISNUMBER(SEARCH("Myanmar",'Coffee Audit'!F2:F2000))*('Coffee Audit'!W2:W2000="⭐ GESHA"))=0,"—","⭐ ×"&amp;SUMPRODUCT(ISNUMBER(SEARCH("Myanmar",'Coffee Audit'!F2:F2000))*('Coffee Audit'!W2:W2000="⭐ GESHA")))</f>
        <v/>
      </c>
      <c r="F21" s="216" t="inlineStr">
        <is>
          <t>REF — batch-brew study · Catimor lineage</t>
        </is>
      </c>
    </row>
    <row r="22" ht="12.75" customHeight="1" s="130">
      <c r="B22" s="209" t="inlineStr">
        <is>
          <t>El Salvador</t>
        </is>
      </c>
      <c r="C22" s="210">
        <f>COUNTIF('Coffee Audit'!F2:F2000,"*El Salvador*")</f>
        <v/>
      </c>
      <c r="D22" s="210">
        <f>TEXT(COUNTIF('Coffee Audit'!F2:F2000,"*El Salvador*")/COUNTA('Coffee Audit'!A2:A2000),"0%")</f>
        <v/>
      </c>
      <c r="E22" s="210">
        <f>IF(SUMPRODUCT(ISNUMBER(SEARCH("El Salvador",'Coffee Audit'!F2:F2000))*('Coffee Audit'!W2:W2000="⭐ GESHA"))=0,"—","⭐ ×"&amp;SUMPRODUCT(ISNUMBER(SEARCH("El Salvador",'Coffee Audit'!F2:F2000))*('Coffee Audit'!W2:W2000="⭐ GESHA")))</f>
        <v/>
      </c>
      <c r="F22" s="210" t="inlineStr">
        <is>
          <t>MED — Pacamara Natural · Aanya's first filter</t>
        </is>
      </c>
    </row>
    <row r="23" ht="12.75" customHeight="1" s="130">
      <c r="B23" s="185" t="inlineStr">
        <is>
          <t>Thailand</t>
        </is>
      </c>
      <c r="C23" s="171">
        <f>COUNTIF('Coffee Audit'!F2:F2000,"*Thailand*")</f>
        <v/>
      </c>
      <c r="D23" s="171">
        <f>TEXT(COUNTIF('Coffee Audit'!F2:F2000,"*Thailand*")/COUNTA('Coffee Audit'!A2:A2000),"0%")</f>
        <v/>
      </c>
      <c r="E23" s="171">
        <f>IF(SUMPRODUCT(ISNUMBER(SEARCH("Thailand",'Coffee Audit'!F2:F2000))*('Coffee Audit'!W2:W2000="⭐ GESHA"))=0,"—","⭐ ×"&amp;SUMPRODUCT(ISNUMBER(SEARCH("Thailand",'Coffee Audit'!F2:F2000))*('Coffee Audit'!W2:W2000="⭐ GESHA")))</f>
        <v/>
      </c>
      <c r="F23" s="222" t="inlineStr">
        <is>
          <t>EMERGING — 2026 discovery; high clarity at Chiang Rai / Chiang Mai altitude</t>
        </is>
      </c>
    </row>
    <row r="24" ht="12.75" customHeight="1" s="130">
      <c r="B24" s="185" t="inlineStr">
        <is>
          <t>Guatemala</t>
        </is>
      </c>
      <c r="C24" s="171">
        <f>COUNTIF('Coffee Audit'!F2:F2000,"*Guatemala*")</f>
        <v/>
      </c>
      <c r="D24" s="171">
        <f>TEXT(COUNTIF('Coffee Audit'!F2:F2000,"*Guatemala*")/COUNTA('Coffee Audit'!A2:A2000),"0%")</f>
        <v/>
      </c>
      <c r="E24" s="171">
        <f>IF(SUMPRODUCT(ISNUMBER(SEARCH("Guatemala",'Coffee Audit'!F2:F2000))*('Coffee Audit'!W2:W2000="⭐ GESHA"))=0,"—","⭐ ×"&amp;SUMPRODUCT(ISNUMBER(SEARCH("Guatemala",'Coffee Audit'!F2:F2000))*('Coffee Audit'!W2:W2000="⭐ GESHA")))</f>
        <v/>
      </c>
      <c r="F24" s="222" t="inlineStr">
        <is>
          <t>NEW — Huehuetenango debut 24 Jul (El Frutal, Castillo)</t>
        </is>
      </c>
    </row>
    <row r="25" ht="12.75" customHeight="1" s="130">
      <c r="B25" s="185" t="inlineStr">
        <is>
          <t>Uganda</t>
        </is>
      </c>
      <c r="C25" s="171">
        <f>COUNTIF('Coffee Audit'!F2:F2000,"*Uganda*")</f>
        <v/>
      </c>
      <c r="D25" s="171">
        <f>TEXT(COUNTIF('Coffee Audit'!F2:F2000,"*Uganda*")/COUNTA('Coffee Audit'!A2:A2000),"0%")</f>
        <v/>
      </c>
      <c r="E25" s="171">
        <f>IF(SUMPRODUCT(ISNUMBER(SEARCH("Uganda",'Coffee Audit'!F2:F2000))*('Coffee Audit'!W2:W2000="⭐ GESHA"))=0,"—","⭐ ×"&amp;SUMPRODUCT(ISNUMBER(SEARCH("Uganda",'Coffee Audit'!F2:F2000))*('Coffee Audit'!W2:W2000="⭐ GESHA")))</f>
        <v/>
      </c>
      <c r="F25" s="222" t="inlineStr">
        <is>
          <t>NEW — Rwenzori debut 07 Aug (Kisinga, SL14/SL28 Natural) · country #15</t>
        </is>
      </c>
    </row>
    <row r="26" ht="12.75" customHeight="1" s="130"/>
    <row r="27" ht="12.75" customHeight="1" s="130">
      <c r="B27" s="200" t="inlineStr">
        <is>
          <t xml:space="preserve">  🎯  VARIETAL TARGET REGISTER  —  what's been captured &amp; what remains</t>
        </is>
      </c>
    </row>
    <row r="28" ht="12.75" customHeight="1" s="130">
      <c r="B28" s="204" t="inlineStr">
        <is>
          <t>Varietal</t>
        </is>
      </c>
      <c r="C28" s="204" t="inlineStr">
        <is>
          <t>Status</t>
        </is>
      </c>
      <c r="D28" s="204" t="inlineStr">
        <is>
          <t>Archive Entry</t>
        </is>
      </c>
      <c r="E28" s="204" t="inlineStr">
        <is>
          <t>Process Encountered</t>
        </is>
      </c>
      <c r="F28" s="204" t="inlineStr">
        <is>
          <t>Note</t>
        </is>
      </c>
    </row>
    <row r="29" ht="12.75" customHeight="1" s="130">
      <c r="B29" s="223" t="inlineStr">
        <is>
          <t>Gesha/Geisha</t>
        </is>
      </c>
      <c r="C29" s="224" t="inlineStr">
        <is>
          <t>✅ CAPTURED</t>
        </is>
      </c>
      <c r="D29" s="224" t="inlineStr">
        <is>
          <t>Multiple — Entry #017 onward</t>
        </is>
      </c>
      <c r="E29" s="224" t="inlineStr">
        <is>
          <t>Washed · Honey · Natural · Anaerobic Washed</t>
        </is>
      </c>
      <c r="F29" s="224">
        <f>"Apex varietal · "&amp;COUNTIF('Coffee Audit'!W2:W2000,"⭐ GESHA")&amp;" entries"</f>
        <v/>
      </c>
    </row>
    <row r="30" ht="12.75" customHeight="1" s="130">
      <c r="B30" s="223" t="inlineStr">
        <is>
          <t>Pacamara</t>
        </is>
      </c>
      <c r="C30" s="224" t="inlineStr">
        <is>
          <t>✅ CAPTURED</t>
        </is>
      </c>
      <c r="D30" s="224" t="inlineStr">
        <is>
          <t>Entry #049 — Oaks Coffee Co.</t>
        </is>
      </c>
      <c r="E30" s="224" t="inlineStr">
        <is>
          <t>Lactic Honey (90hr)</t>
        </is>
      </c>
      <c r="F30" s="224" t="inlineStr">
        <is>
          <t>First Bolivia · first Pacamara</t>
        </is>
      </c>
    </row>
    <row r="31" ht="12.75" customHeight="1" s="130">
      <c r="B31" s="223" t="inlineStr">
        <is>
          <t>Aji Bourbon</t>
        </is>
      </c>
      <c r="C31" s="224" t="inlineStr">
        <is>
          <t>✅ CAPTURED</t>
        </is>
      </c>
      <c r="D31" s="224" t="inlineStr">
        <is>
          <t>Entry #059 — Oaks Coffee Co.</t>
        </is>
      </c>
      <c r="E31" s="224" t="inlineStr">
        <is>
          <t>Thermal Shock Anaerobic Natural</t>
        </is>
      </c>
      <c r="F31" s="224" t="inlineStr">
        <is>
          <t>Finca El Diviso · Nestor Lasso</t>
        </is>
      </c>
    </row>
    <row r="32" ht="12.75" customHeight="1" s="130">
      <c r="B32" s="223" t="inlineStr">
        <is>
          <t>Sudan Rume</t>
        </is>
      </c>
      <c r="C32" s="224" t="inlineStr">
        <is>
          <t>✅ CAPTURED</t>
        </is>
      </c>
      <c r="D32" s="224" t="inlineStr">
        <is>
          <t>Entry #018 — Maxi Coffee Bar</t>
        </is>
      </c>
      <c r="E32" s="224" t="inlineStr">
        <is>
          <t>Washed</t>
        </is>
      </c>
      <c r="F32" s="224" t="inlineStr">
        <is>
          <t>Yellow variant also at Asylum #038</t>
        </is>
      </c>
    </row>
    <row r="33" ht="12.75" customHeight="1" s="130">
      <c r="B33" s="223" t="inlineStr">
        <is>
          <t>Pink Bourbon</t>
        </is>
      </c>
      <c r="C33" s="224" t="inlineStr">
        <is>
          <t>✅ CAPTURED</t>
        </is>
      </c>
      <c r="D33" s="224" t="inlineStr">
        <is>
          <t>Entry #048 — Zerah Roasters</t>
        </is>
      </c>
      <c r="E33" s="224" t="inlineStr">
        <is>
          <t>Washed</t>
        </is>
      </c>
      <c r="F33" s="224" t="inlineStr">
        <is>
          <t>Finca Villarazo · DF83V debut · 2nd capture Entry #075 (El Origen, Quindío — Lume)</t>
        </is>
      </c>
    </row>
    <row r="34" ht="12.75" customHeight="1" s="130">
      <c r="B34" s="223" t="inlineStr">
        <is>
          <t>Wush Wush</t>
        </is>
      </c>
      <c r="C34" s="224" t="inlineStr">
        <is>
          <t>✅ CAPTURED</t>
        </is>
      </c>
      <c r="D34" s="224" t="inlineStr">
        <is>
          <t>Entry #011 — Apartment Selegie</t>
        </is>
      </c>
      <c r="E34" s="224" t="inlineStr">
        <is>
          <t>Washed</t>
        </is>
      </c>
      <c r="F34" s="224" t="inlineStr">
        <is>
          <t>Tea-like clarity standout</t>
        </is>
      </c>
    </row>
    <row r="35" ht="12.75" customHeight="1" s="130">
      <c r="B35" s="223" t="inlineStr">
        <is>
          <t>Hybrid Laurina</t>
        </is>
      </c>
      <c r="C35" s="224" t="inlineStr">
        <is>
          <t>✅ CAPTURED</t>
        </is>
      </c>
      <c r="D35" s="224" t="inlineStr">
        <is>
          <t>Entry #035 — Alchemist OFC</t>
        </is>
      </c>
      <c r="E35" s="224" t="inlineStr">
        <is>
          <t>Anaerobic Natural</t>
        </is>
      </c>
      <c r="F35" s="224" t="inlineStr">
        <is>
          <t>Low-caffeine mutation</t>
        </is>
      </c>
    </row>
    <row r="36" ht="12.75" customHeight="1" s="130">
      <c r="B36" s="223" t="inlineStr">
        <is>
          <t>Caturra Chiroso</t>
        </is>
      </c>
      <c r="C36" s="224" t="inlineStr">
        <is>
          <t>✅ CAPTURED</t>
        </is>
      </c>
      <c r="D36" s="224" t="inlineStr">
        <is>
          <t>Entry #025 — Zerah Roasters</t>
        </is>
      </c>
      <c r="E36" s="224" t="inlineStr">
        <is>
          <t>Yeast Anaerobic Natural</t>
        </is>
      </c>
      <c r="F36" s="224" t="inlineStr">
        <is>
          <t>Elongated Gesha-adjacent cell</t>
        </is>
      </c>
    </row>
    <row r="37" ht="12.75" customHeight="1" s="130">
      <c r="B37" s="223" t="inlineStr">
        <is>
          <t>Liberica</t>
        </is>
      </c>
      <c r="C37" s="224" t="inlineStr">
        <is>
          <t>✅ CAPTURED</t>
        </is>
      </c>
      <c r="D37" s="224" t="inlineStr">
        <is>
          <t>Entry #039 — Corner Corner</t>
        </is>
      </c>
      <c r="E37" s="224" t="inlineStr">
        <is>
          <t>JH Natural</t>
        </is>
      </c>
      <c r="F37" s="224" t="inlineStr">
        <is>
          <t>Archive's only non-Arabica</t>
        </is>
      </c>
    </row>
    <row r="38" ht="12.75" customHeight="1" s="130">
      <c r="B38" s="223" t="inlineStr">
        <is>
          <t>Purple Leaf Caturra</t>
        </is>
      </c>
      <c r="C38" s="224" t="inlineStr">
        <is>
          <t>✅ CAPTURED</t>
        </is>
      </c>
      <c r="D38" s="224" t="inlineStr">
        <is>
          <t>Entry #036 — Apartment</t>
        </is>
      </c>
      <c r="E38" s="224" t="inlineStr">
        <is>
          <t>Double Washed</t>
        </is>
      </c>
      <c r="F38" s="224" t="inlineStr">
        <is>
          <t>China Yunnan · anthocyanin clarity</t>
        </is>
      </c>
    </row>
    <row r="39" ht="12.75" customHeight="1" s="130">
      <c r="B39" s="223" t="inlineStr">
        <is>
          <t>Typica Mejorado</t>
        </is>
      </c>
      <c r="C39" s="224" t="inlineStr">
        <is>
          <t>✅ CAPTURED</t>
        </is>
      </c>
      <c r="D39" s="224" t="inlineStr">
        <is>
          <t>Entry #023 — Clod Coffee Bar · Entry #081 — Grey Area</t>
        </is>
      </c>
      <c r="E39" s="224" t="inlineStr">
        <is>
          <t>Anaerobic Washed · Unknown (La Papaya TM — pending café confirmation)</t>
        </is>
      </c>
      <c r="F39" s="224" t="inlineStr">
        <is>
          <t>JB cross-border audit · 2nd capture Entry #081 (Hacienda La Papaya, Loja — first non-Gesha lot from that farm; pure malic/lactone architecture, no terpene layer)</t>
        </is>
      </c>
    </row>
    <row r="40" ht="12.75" customHeight="1" s="130">
      <c r="B40" s="223" t="inlineStr">
        <is>
          <t>SL14 (with SL28)</t>
        </is>
      </c>
      <c r="C40" s="224" t="inlineStr">
        <is>
          <t>✅ CAPTURED</t>
        </is>
      </c>
      <c r="D40" s="224" t="inlineStr">
        <is>
          <t>Entry #078 — Kōhī Roastery + Coffee Bar</t>
        </is>
      </c>
      <c r="E40" s="224" t="inlineStr">
        <is>
          <t>Natural</t>
        </is>
      </c>
      <c r="F40" s="224" t="inlineStr">
        <is>
          <t>First Uganda · Scott Labs selection outside Kenya — Natural process suppressed the SL28 phosphoric spine</t>
        </is>
      </c>
    </row>
    <row r="41" ht="12.75" customHeight="1" s="130">
      <c r="B41" s="225" t="inlineStr">
        <is>
          <t>Batian &amp; Ruiru 11 (with SL28/SL34)</t>
        </is>
      </c>
      <c r="C41" s="226" t="inlineStr">
        <is>
          <t>✅ CAPTURED</t>
        </is>
      </c>
      <c r="D41" s="226" t="inlineStr">
        <is>
          <t>Entry #084 — Sweet Blossom Coffee Roasters</t>
        </is>
      </c>
      <c r="E41" s="226" t="inlineStr">
        <is>
          <t>Washed</t>
        </is>
      </c>
      <c r="F41" s="226" t="inlineStr">
        <is>
          <t>First modern disease-resistant Kenyan cultivars in the archive · blended with SL28 &amp; SL34 in an AB-grade lot · rounds the linear phosphoric-malic attack of pure SL selections</t>
        </is>
      </c>
    </row>
    <row r="42" ht="15" customHeight="1" s="130">
      <c r="B42" s="227" t="inlineStr">
        <is>
          <t>Maragogipe</t>
        </is>
      </c>
      <c r="C42" s="228" t="inlineStr">
        <is>
          <t>❌ MISSING</t>
        </is>
      </c>
      <c r="D42" s="228" t="inlineStr">
        <is>
          <t>—</t>
        </is>
      </c>
      <c r="E42" s="228" t="inlineStr">
        <is>
          <t>—</t>
        </is>
      </c>
      <c r="F42" s="228" t="inlineStr">
        <is>
          <t>Large-bean ancestor of Pacamara — watchlist</t>
        </is>
      </c>
    </row>
    <row r="43" ht="20.25" customHeight="1" s="130">
      <c r="B43" s="227" t="inlineStr">
        <is>
          <t>Eugenioides</t>
        </is>
      </c>
      <c r="C43" s="228" t="inlineStr">
        <is>
          <t>❌ MISSING</t>
        </is>
      </c>
      <c r="D43" s="228" t="inlineStr">
        <is>
          <t>—</t>
        </is>
      </c>
      <c r="E43" s="228" t="inlineStr">
        <is>
          <t>—</t>
        </is>
      </c>
      <c r="F43" s="228" t="inlineStr">
        <is>
          <t>HIGHEST PRIORITY MISSING VARIETAL</t>
        </is>
      </c>
    </row>
    <row r="44" ht="15" customHeight="1" s="130">
      <c r="B44" s="227" t="inlineStr">
        <is>
          <t>Sidra</t>
        </is>
      </c>
      <c r="C44" s="228" t="inlineStr">
        <is>
          <t>❌ MISSING</t>
        </is>
      </c>
      <c r="D44" s="228" t="inlineStr">
        <is>
          <t>—</t>
        </is>
      </c>
      <c r="E44" s="228" t="inlineStr">
        <is>
          <t>—</t>
        </is>
      </c>
      <c r="F44" s="228" t="inlineStr">
        <is>
          <t>Watchlist — Fahrenheit Coffee target</t>
        </is>
      </c>
    </row>
  </sheetData>
  <mergeCells count="4">
    <mergeCell ref="B2:L2"/>
    <mergeCell ref="B4:G4"/>
    <mergeCell ref="H4:L4"/>
    <mergeCell ref="B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565C0"/>
    <outlinePr summaryBelow="1" summaryRight="1"/>
    <pageSetUpPr fitToPage="0"/>
  </sheetPr>
  <dimension ref="B1:K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129" min="1" max="1"/>
    <col width="26" customWidth="1" style="129" min="2" max="2"/>
    <col width="8" customWidth="1" style="129" min="3" max="3"/>
    <col width="11" customWidth="1" style="129" min="4" max="4"/>
    <col width="13" customWidth="1" style="129" min="5" max="5"/>
    <col width="42" customWidth="1" style="129" min="6" max="6"/>
    <col width="5" customWidth="1" style="129" min="7" max="11"/>
  </cols>
  <sheetData>
    <row r="1" ht="21.75" customHeight="1" s="130">
      <c r="B1" s="198" t="inlineStr">
        <is>
          <t>⚙️  HARDWARE &amp; EXTRACTION PHYSICS</t>
        </is>
      </c>
    </row>
    <row r="2" ht="13.5" customHeight="1" s="130">
      <c r="B2" s="199">
        <f>"Flat burrs · flat beds · the physics of clarity   ·   measured live across "&amp;COUNTA('Coffee Audit'!A2:A2000)&amp;" field audits"</f>
        <v/>
      </c>
    </row>
    <row r="3" ht="6" customHeight="1" s="130"/>
    <row r="4" ht="15.75" customHeight="1" s="130">
      <c r="B4" s="200" t="inlineStr">
        <is>
          <t xml:space="preserve">  🔩  GRINDER PLATFORM REGISTER  —  flat burr platforms deliver the archive's best cups</t>
        </is>
      </c>
    </row>
    <row r="5" ht="15.75" customHeight="1" s="130">
      <c r="B5" s="204" t="inlineStr">
        <is>
          <t>Platform</t>
        </is>
      </c>
      <c r="C5" s="204" t="inlineStr">
        <is>
          <t>Entries</t>
        </is>
      </c>
      <c r="D5" s="204" t="inlineStr">
        <is>
          <t>Burr Size</t>
        </is>
      </c>
      <c r="E5" s="204" t="inlineStr">
        <is>
          <t>Palate Impact</t>
        </is>
      </c>
      <c r="F5" s="204" t="inlineStr">
        <is>
          <t>Archive Entries</t>
        </is>
      </c>
    </row>
    <row r="6" ht="12.75" customHeight="1" s="130">
      <c r="B6" s="209" t="inlineStr">
        <is>
          <t>Option-O Lagom P80</t>
        </is>
      </c>
      <c r="C6" s="210">
        <f>COUNTIF('Coffee Audit'!P2:P2000,"*P80*")</f>
        <v/>
      </c>
      <c r="D6" s="210" t="inlineStr">
        <is>
          <t>80mm flat</t>
        </is>
      </c>
      <c r="E6" s="210" t="inlineStr">
        <is>
          <t>First P80 in archive — Entry #049 Oaks. Unimodal PSD on oversized Pacamara beans.</t>
        </is>
      </c>
      <c r="F6" s="210" t="inlineStr">
        <is>
          <t>Oaks Coffee Co. ×2</t>
        </is>
      </c>
    </row>
    <row r="7" ht="12.75" customHeight="1" s="130">
      <c r="B7" s="215" t="inlineStr">
        <is>
          <t>Option-O Lagom P64</t>
        </is>
      </c>
      <c r="C7" s="216">
        <f>COUNTIF('Coffee Audit'!P2:P2000,"*P64*")</f>
        <v/>
      </c>
      <c r="D7" s="216" t="inlineStr">
        <is>
          <t>64mm flat</t>
        </is>
      </c>
      <c r="E7" s="216" t="inlineStr">
        <is>
          <t>Preferred precision platform — Fluid, Asylum, Abseil. Minimal fines.</t>
        </is>
      </c>
      <c r="F7" s="216" t="inlineStr">
        <is>
          <t>Fluid · Asylum · Zerah · Abseil</t>
        </is>
      </c>
    </row>
    <row r="8" ht="12.75" customHeight="1" s="130">
      <c r="B8" s="209" t="inlineStr">
        <is>
          <t>Mahlkönig EK43/EK43S</t>
        </is>
      </c>
      <c r="C8" s="210">
        <f>COUNTIF('Coffee Audit'!P2:P2000,"*EK43*")</f>
        <v/>
      </c>
      <c r="D8" s="210" t="inlineStr">
        <is>
          <t>98mm flat</t>
        </is>
      </c>
      <c r="E8" s="210" t="inlineStr">
        <is>
          <t>Café workhorse — widest flat burr in archive. High throughput, competition heritage.</t>
        </is>
      </c>
      <c r="F8" s="210" t="inlineStr">
        <is>
          <t>Homeground · Lume · Keryi · Agora · Sweet Blossom · August Drip</t>
        </is>
      </c>
    </row>
    <row r="9" ht="12.75" customHeight="1" s="130">
      <c r="B9" s="215" t="inlineStr">
        <is>
          <t>Mahlkönig EK Omnia</t>
        </is>
      </c>
      <c r="C9" s="216">
        <f>COUNTIF('Coffee Audit'!P2:P2000,"*Omnia*")</f>
        <v/>
      </c>
      <c r="D9" s="216" t="inlineStr">
        <is>
          <t>98mm flat</t>
        </is>
      </c>
      <c r="E9" s="216" t="inlineStr">
        <is>
          <t>EK43 successor — Nylon standard grinder across all 6 visits.</t>
        </is>
      </c>
      <c r="F9" s="216" t="inlineStr">
        <is>
          <t>Nylon Coffee Roasters ×4</t>
        </is>
      </c>
    </row>
    <row r="10" ht="12.75" customHeight="1" s="130">
      <c r="B10" s="209" t="inlineStr">
        <is>
          <t>Ditting (63.5/98mm)</t>
        </is>
      </c>
      <c r="C10" s="210">
        <f>COUNTIF('Coffee Audit'!P2:P2000,"*Ditting*")</f>
        <v/>
      </c>
      <c r="D10" s="210" t="inlineStr">
        <is>
          <t>63.5–98mm flat</t>
        </is>
      </c>
      <c r="E10" s="210" t="inlineStr">
        <is>
          <t>Lab-grade narrow PSD — Double Shot + Keryi. Licensed aggressive ratios.</t>
        </is>
      </c>
      <c r="F10" s="210" t="inlineStr">
        <is>
          <t>Double Shot · Keryi Coffee</t>
        </is>
      </c>
    </row>
    <row r="11" ht="12.75" customHeight="1" s="130">
      <c r="B11" s="215" t="inlineStr">
        <is>
          <t>DF83V (83mm flat)</t>
        </is>
      </c>
      <c r="C11" s="216">
        <f>COUNTIF('Coffee Audit'!P2:P2000,"*DF83*")</f>
        <v/>
      </c>
      <c r="D11" s="216" t="inlineStr">
        <is>
          <t>83mm flat</t>
        </is>
      </c>
      <c r="E11" s="216" t="inlineStr">
        <is>
          <t>First DF83 in archive — Zerah Pink Bourbon. Zero fines at 83mm.</t>
        </is>
      </c>
      <c r="F11" s="216" t="inlineStr">
        <is>
          <t>Zerah Roasters</t>
        </is>
      </c>
    </row>
    <row r="12" ht="12.75" customHeight="1" s="130">
      <c r="B12" s="209" t="inlineStr">
        <is>
          <t>Timemore Sculptor 078</t>
        </is>
      </c>
      <c r="C12" s="210">
        <f>COUNTIF('Coffee Audit'!P2:P2000,"*Sculptor*")</f>
        <v/>
      </c>
      <c r="D12" s="210" t="inlineStr">
        <is>
          <t>78mm flat</t>
        </is>
      </c>
      <c r="E12" s="210" t="inlineStr">
        <is>
          <t>Compact 78mm — Maxi Coffee Bar · mid-range precision tier.</t>
        </is>
      </c>
      <c r="F12" s="210" t="inlineStr">
        <is>
          <t>Maxi Coffee Bar ×2</t>
        </is>
      </c>
    </row>
    <row r="13" ht="12.75" customHeight="1" s="130">
      <c r="B13" s="215" t="inlineStr">
        <is>
          <t>FM 120mm Hybrid</t>
        </is>
      </c>
      <c r="C13" s="216">
        <f>COUNTIF('Coffee Audit'!P2:P2000,"*FM 120*")</f>
        <v/>
      </c>
      <c r="D13" s="216" t="inlineStr">
        <is>
          <t>120mm hybrid</t>
        </is>
      </c>
      <c r="E13" s="216" t="inlineStr">
        <is>
          <t>Largest burr in archive — extreme fines reduction for SL28/SL34 Kenya.</t>
        </is>
      </c>
      <c r="F13" s="216" t="inlineStr">
        <is>
          <t>Kyuukei Coffee × 2</t>
        </is>
      </c>
    </row>
    <row r="14" ht="12.75" customHeight="1" s="130">
      <c r="B14" s="209" t="inlineStr">
        <is>
          <t>Mazzer MM (83mm)</t>
        </is>
      </c>
      <c r="C14" s="210">
        <f>COUNTIF('Coffee Audit'!P2:P2000,"*Mazzer*")</f>
        <v/>
      </c>
      <c r="D14" s="210" t="inlineStr">
        <is>
          <t>83mm flat</t>
        </is>
      </c>
      <c r="E14" s="210" t="inlineStr">
        <is>
          <t>PPP Funan — wider fines than 98mm reference. Over-extraction documented.</t>
        </is>
      </c>
      <c r="F14" s="210" t="inlineStr">
        <is>
          <t>PPP Coffee (Funan)</t>
        </is>
      </c>
    </row>
    <row r="15" ht="12.75" customHeight="1" s="130">
      <c r="B15" s="215" t="inlineStr">
        <is>
          <t>Timemore Conical Gold</t>
        </is>
      </c>
      <c r="C15" s="216">
        <f>COUNTIF('Coffee Audit'!P2:P2000,"*Conical Gold*")</f>
        <v/>
      </c>
      <c r="D15" s="216" t="inlineStr">
        <is>
          <t>Conical</t>
        </is>
      </c>
      <c r="E15" s="216" t="inlineStr">
        <is>
          <t>Corner Corner — Liberica. Only conical burr in archive. Softer extraction.</t>
        </is>
      </c>
      <c r="F15" s="216" t="inlineStr">
        <is>
          <t>Corner Corner</t>
        </is>
      </c>
    </row>
    <row r="16" ht="7.5" customHeight="1" s="130"/>
    <row r="17" ht="15.75" customHeight="1" s="130">
      <c r="B17" s="200" t="inlineStr">
        <is>
          <t xml:space="preserve">  ☕  BREWER GEOMETRY ANALYSIS  —  flat-bottom wins every documented comparison</t>
        </is>
      </c>
    </row>
    <row r="18" ht="15.75" customHeight="1" s="130">
      <c r="B18" s="204" t="inlineStr">
        <is>
          <t>Geometry</t>
        </is>
      </c>
      <c r="C18" s="204" t="inlineStr">
        <is>
          <t>Entries</t>
        </is>
      </c>
      <c r="D18" s="204" t="inlineStr">
        <is>
          <t>Archive Status</t>
        </is>
      </c>
      <c r="E18" s="204" t="inlineStr">
        <is>
          <t>Chemistry Note</t>
        </is>
      </c>
    </row>
    <row r="19" ht="15.75" customHeight="1" s="130">
      <c r="B19" s="223" t="inlineStr">
        <is>
          <t>Flat-Bottom (Origami/OREA/April/xBloom/Alpha/Switch)</t>
        </is>
      </c>
      <c r="C19" s="224">
        <f>SUMPRODUCT(--ISNUMBER(SEARCH("Flat-Bottom",'Coffee Audit'!J2:J2000)))</f>
        <v/>
      </c>
      <c r="D19" s="224" t="inlineStr">
        <is>
          <t>✅ PRIMARY PREFERENCE</t>
        </is>
      </c>
      <c r="E19" s="224" t="inlineStr">
        <is>
          <t>Even bed saturation · zero bypass · full contact geometry. Delivers archive's highest-rated cups consistently.</t>
        </is>
      </c>
    </row>
    <row r="20" ht="15.75" customHeight="1" s="130">
      <c r="B20" s="223" t="inlineStr">
        <is>
          <t>CT62 (Engineered Conical — 24-groove flow compensation)</t>
        </is>
      </c>
      <c r="C20" s="224">
        <f>COUNTIF('Coffee Audit'!J2:J2000,"*CT62*")</f>
        <v/>
      </c>
      <c r="D20" s="224" t="inlineStr">
        <is>
          <t>✅ EXEMPTED</t>
        </is>
      </c>
      <c r="E20" s="224" t="inlineStr">
        <is>
          <t>Entry #057 Abseil. 12 long + 12 short grooves regulate flow rate = flat-bottom equivalent extraction consistency.</t>
        </is>
      </c>
    </row>
    <row r="21" ht="15.75" customHeight="1" s="130">
      <c r="B21" s="229" t="inlineStr">
        <is>
          <t>Standard Conical (V60)</t>
        </is>
      </c>
      <c r="C21" s="230">
        <f>COUNTIF('Coffee Audit'!J2:J2000,"*V60*")</f>
        <v/>
      </c>
      <c r="D21" s="230" t="inlineStr">
        <is>
          <t>⚠️ OVER-EXTRACTION FLAG</t>
        </is>
      </c>
      <c r="E21" s="230" t="inlineStr">
        <is>
          <t>Documented over-extraction pattern at Agora (Beloya), Kurasu (Rwanda), PPP (Sukun) — fines migrate to the cone apex and over-extract.  ⚠️ EXEMPTION ESTABLISHED 15 Aug 2026 (Entries #082–#083, Suzuki): with EK43S 98mm flat burrs at 1:15 / 92°C, the failure mode did NOT activate on two consecutive extended-ferment lots. The conical flag is conditional on burr quality and ratio, not on geometry alone.</t>
        </is>
      </c>
    </row>
    <row r="22" ht="15.75" customHeight="1" s="130">
      <c r="B22" s="229" t="inlineStr">
        <is>
          <t>Automated (xBloom batch)</t>
        </is>
      </c>
      <c r="C22" s="230">
        <f>COUNTIF('Coffee Audit'!J2:J2000,"*xBloom*")</f>
        <v/>
      </c>
      <c r="D22" s="230" t="inlineStr">
        <is>
          <t>⚠️ METHODOLOGY NOTE</t>
        </is>
      </c>
      <c r="E22" s="230" t="inlineStr">
        <is>
          <t>xBloom at Nylon — flat-bottom geometry, but automation removes barista pour adjustment. Clips thermal arc expressiveness.</t>
        </is>
      </c>
    </row>
    <row r="23" ht="15.75" customHeight="1" s="130">
      <c r="B23" s="223" t="inlineStr">
        <is>
          <t>Immersion-assist (Hario Switch/Deep27)</t>
        </is>
      </c>
      <c r="C23" s="224">
        <f>COUNTIF('Coffee Audit'!J2:J2000,"*Switch*")</f>
        <v/>
      </c>
      <c r="D23" s="224" t="inlineStr">
        <is>
          <t>✅ SECONDARY PREFERENCE</t>
        </is>
      </c>
      <c r="E23" s="224" t="inlineStr">
        <is>
          <t>Full bed saturation in immersion phase before drawdown. Strong on honey process (Keryi). Deep27 flat-bed. Entry #086 (August Drip) is the archive's first FULL-immersion switch protocol: valve closed, single 20-second charge, undisturbed steep to 2:50, single release.</t>
        </is>
      </c>
    </row>
    <row r="24" ht="15.75" customHeight="1" s="130">
      <c r="B24" s="227" t="inlineStr">
        <is>
          <t>Automated Tap Dispenser</t>
        </is>
      </c>
      <c r="C24" s="228">
        <f>COUNTIF('Coffee Audit'!J2:J2000,"*Tap Dispenser*")</f>
        <v/>
      </c>
      <c r="D24" s="228" t="inlineStr">
        <is>
          <t>❌ REJECTED CONCEPT</t>
        </is>
      </c>
      <c r="E24" s="228" t="inlineStr">
        <is>
          <t>Entry #045 — 2050 Coffee. Hari's verdict: automation and pourover are philosophically incompatible. Not a return target.</t>
        </is>
      </c>
    </row>
    <row r="25" ht="15.75" customHeight="1" s="130">
      <c r="B25" s="227" t="inlineStr">
        <is>
          <t xml:space="preserve">  └ Solo Dripper (Mazelab — 40° wall, flat wave bed) — subset of the flat-bottom row above</t>
        </is>
      </c>
      <c r="C25" s="228">
        <f>COUNTIF('Coffee Audit'!J2:J2000,"*Solo Dripper*")</f>
        <v/>
      </c>
      <c r="D25" s="228" t="inlineStr">
        <is>
          <t>✅ FLAT-BED CLASS</t>
        </is>
      </c>
      <c r="E25" s="228" t="inlineStr">
        <is>
          <t>Entries #062, #067 (Pour.traits) and #081 (Grey Area) — all three on EK43S 98mm flats. Hybrid geometry: steep 40° conical walls but a FLAT wave-filter bed, so uniform path length and no apex convergence. Large central hole gives a fast drain, which is what licenses concentrate ratios without over-extraction — #081 ran 1:13.3 through-bed plus in-cup bypass with no cool-phase bitterness, vs straight 1:15 at #062/#067. PCTG plastic is thermally near-neutral (cf. Law 7). Already counted within the flat-bottom cohort above; shown here as a breakout, not an additional geometry class.</t>
        </is>
      </c>
    </row>
    <row r="26" ht="15.75" customHeight="1" s="130">
      <c r="B26" s="225" t="inlineStr">
        <is>
          <t xml:space="preserve">  └ Restricted Multi-Aperture Cone (conical wall + flat FOUR-HOLE base plate)</t>
        </is>
      </c>
      <c r="C26" s="226">
        <f>COUNTIF('Coffee Audit'!J2:J2000,"*FOUR-HOLE*")</f>
        <v/>
      </c>
      <c r="D26" s="226" t="inlineStr">
        <is>
          <t>✅ CHOKE-IMMUNE</t>
        </is>
      </c>
      <c r="E26" s="226" t="inlineStr">
        <is>
          <t>Entries #084–#085 (Sweet Blossom). Four separated exits cap maximum flow rate independent of grind size, so the V60 apex-choke failure mode is structurally unavailable. Conical wall but flat-bottom drawdown behaviour — contact-time dominant. Model unidentified; logged Unknown.</t>
        </is>
      </c>
    </row>
    <row r="27" ht="15.75" customHeight="1" s="130"/>
    <row r="28" ht="19.5" customHeight="1" s="130">
      <c r="B28" s="200">
        <f>"  📜  TEN EXTRACTION LAWS  —  empirically proven across "&amp;COUNTA('Coffee Audit'!A2:A2000)&amp;" audited cups"</f>
        <v/>
      </c>
    </row>
    <row r="29" ht="19.5" customHeight="1" s="130">
      <c r="B29" s="231" t="inlineStr">
        <is>
          <t>Law 1:  Flat-bottom geometry outperforms conical for this palate. Every conical V60 entry carries a standing over-extraction risk flag in this archive.</t>
        </is>
      </c>
      <c r="C29" s="219" t="n"/>
      <c r="D29" s="219" t="n"/>
      <c r="E29" s="219" t="n"/>
      <c r="F29" s="219" t="n"/>
      <c r="G29" s="219" t="n"/>
      <c r="H29" s="219" t="n"/>
      <c r="I29" s="219" t="n"/>
      <c r="J29" s="219" t="n"/>
    </row>
    <row r="30" ht="19.5" customHeight="1" s="130">
      <c r="B30" s="232" t="inlineStr">
        <is>
          <t>Law 2:  1:13–1:14 concentration amplifies polyphenolic bitterness at cool phase and suppresses sucrose emergence. Documented at Double Shot (Entry #055) and Equate (Entry #039).</t>
        </is>
      </c>
      <c r="C30" s="219" t="n"/>
      <c r="D30" s="219" t="n"/>
      <c r="E30" s="219" t="n"/>
      <c r="F30" s="219" t="n"/>
      <c r="G30" s="219" t="n"/>
      <c r="H30" s="219" t="n"/>
      <c r="I30" s="219" t="n"/>
      <c r="J30" s="219" t="n"/>
    </row>
    <row r="31" ht="19.5" customHeight="1" s="130">
      <c r="B31" s="233" t="inlineStr">
        <is>
          <t>Law 3:  1:17 lean on Natural-process coffees risks CGA lactone bitterness at cool phase by failing to build adequate sucrose-ester mass. Confirmed at Nylon (Entry #056).</t>
        </is>
      </c>
      <c r="C31" s="219" t="n"/>
      <c r="D31" s="219" t="n"/>
      <c r="E31" s="219" t="n"/>
      <c r="F31" s="219" t="n"/>
      <c r="G31" s="219" t="n"/>
      <c r="H31" s="219" t="n"/>
      <c r="I31" s="219" t="n"/>
      <c r="J31" s="219" t="n"/>
    </row>
    <row r="32" ht="19.5" customHeight="1" s="130">
      <c r="B32" s="232" t="inlineStr">
        <is>
          <t>Law 4:  Barista confirmation overrides visual inference for hardware identification — always. This is the archive's primary source hierarchy rule.</t>
        </is>
      </c>
      <c r="C32" s="219" t="n"/>
      <c r="D32" s="219" t="n"/>
      <c r="E32" s="219" t="n"/>
      <c r="F32" s="219" t="n"/>
      <c r="G32" s="219" t="n"/>
      <c r="H32" s="219" t="n"/>
      <c r="I32" s="219" t="n"/>
      <c r="J32" s="219" t="n"/>
    </row>
    <row r="33" ht="19.5" customHeight="1" s="130">
      <c r="B33" s="233" t="inlineStr">
        <is>
          <t>Law 5:  Large flat burrs (63–98mm) are non-negotiable for oversized varietals (Pacamara, Maragogipe-lineage). P80 80mm confirmed at Oaks Entry #049.</t>
        </is>
      </c>
      <c r="C33" s="219" t="n"/>
      <c r="D33" s="219" t="n"/>
      <c r="E33" s="219" t="n"/>
      <c r="F33" s="219" t="n"/>
      <c r="G33" s="219" t="n"/>
      <c r="H33" s="219" t="n"/>
      <c r="I33" s="219" t="n"/>
      <c r="J33" s="219" t="n"/>
    </row>
    <row r="34" ht="24" customHeight="1" s="130">
      <c r="B34" s="232" t="inlineStr">
        <is>
          <t>Law 6:  Thermal Shock Anaerobic Natural (Finca El Diviso, Entry #059) confirmed the archive's upper intensity threshold. Fermentation signal dominated all three thermal phases without evolution — process-preference misalignment ceiling established.</t>
        </is>
      </c>
      <c r="C34" s="219" t="n"/>
      <c r="D34" s="219" t="n"/>
      <c r="E34" s="219" t="n"/>
      <c r="F34" s="219" t="n"/>
      <c r="G34" s="219" t="n"/>
      <c r="H34" s="219" t="n"/>
      <c r="I34" s="219" t="n"/>
      <c r="J34" s="219" t="n"/>
    </row>
    <row r="35" ht="24" customHeight="1" s="130">
      <c r="B35" s="234" t="inlineStr">
        <is>
          <t>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is>
      </c>
    </row>
    <row r="36" ht="30" customHeight="1" s="130">
      <c r="B36" s="234" t="inlineStr">
        <is>
          <t>Law 8:  A DUAL-PURPOSE ROAST carries a structural bitter-citrus floor onto the filter cup. When one lot is roasted light-to-mid so it serves espresso as well as filter (Kōhī, Uganda Rwenzori Kisinga, Entry #078, 07 Aug 2026), the extra development builds a naringin-type bitter-orange / pomelo layer that is ROAST INTENT, not extraction fault. Distinguish it by stability: roast-intent bitterness holds constant across all three thermal phases, while over-extraction bitterness sharpens as the cup cools. Ask the barista whether a filter lot is also on espresso before attributing a bitter finish to hardware.</t>
        </is>
      </c>
    </row>
    <row r="37" ht="30" customHeight="1" s="130">
      <c r="B37" s="234" t="inlineStr">
        <is>
          <t>Law 9:  FERMENTATION ARCHITECTURE, NOT FERMENTATION LENGTH, GOVERNS VARIETAL EXPRESSION. Isolated at Suzuki 15 Aug 2026 on identical hardware, ratio, temperature and day — sealed ANAEROBIC fermentation (Entry #082, Jairo Arcila Gesha EF2) masked varietal and floral expression beneath berry esters, while open AEROBIC extended drying (Entry #083, Gargari Gutity Supernatural) preserved florals, citrus and tea structure. Corollary to Law 2: at 1:15 with light roast development, both architectures ran clean through cool phase — brew ratio outranks brewer geometry as the controlling variable for polyphenolic bitterness (cf. Entry #058 failing at 1:13.3 on superior flat-bottom geometry).</t>
        </is>
      </c>
    </row>
    <row r="38" ht="30" customHeight="1" s="130">
      <c r="B38" s="235" t="inlineStr">
        <is>
          <t>Law 10: IMMERSION DECOUPLES GRIND SIZE FROM FLOW RATE. In percolation, grind governs surface area and drawdown rate simultaneously — extraction yield cannot be pursued without paying in flow, the mechanism behind the V60 apex-choke flag. With a switch valve closed there is no flow to choke: the bed cannot compact, fines cannot migrate, and colloids stay in suspension until a single release. Fineness that would be reckless in a cone (EK43S #7) is unremarkable in immersion. Proven at Entry #086, August Drip Coffee — protocol confirmed by co-owner Pei.</t>
        </is>
      </c>
    </row>
  </sheetData>
  <mergeCells count="15">
    <mergeCell ref="B29:J29"/>
    <mergeCell ref="B33:J33"/>
    <mergeCell ref="B1:K1"/>
    <mergeCell ref="B34:J34"/>
    <mergeCell ref="B4:K4"/>
    <mergeCell ref="B17:K17"/>
    <mergeCell ref="B32:J32"/>
    <mergeCell ref="B35:K35"/>
    <mergeCell ref="B31:J31"/>
    <mergeCell ref="B38:K38"/>
    <mergeCell ref="B2:K2"/>
    <mergeCell ref="B28:K28"/>
    <mergeCell ref="B30:J30"/>
    <mergeCell ref="B36:K36"/>
    <mergeCell ref="B37:K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4E342E"/>
    <outlinePr summaryBelow="1" summaryRight="1"/>
    <pageSetUpPr fitToPage="0"/>
  </sheetPr>
  <dimension ref="B1:L6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129" min="1" max="1"/>
    <col width="32" customWidth="1" style="129" min="2" max="2"/>
    <col width="11" customWidth="1" style="129" min="3" max="3"/>
    <col width="7" customWidth="1" style="129" min="4" max="4"/>
    <col width="6" customWidth="1" style="129" min="5" max="5"/>
    <col width="7" customWidth="1" style="129" min="6" max="6"/>
    <col width="44" customWidth="1" style="129" min="7" max="7"/>
    <col width="22" customWidth="1" style="129" min="8" max="9"/>
    <col width="9" customWidth="1" style="129" min="10" max="10"/>
    <col width="36" customWidth="1" style="129" min="11" max="11"/>
  </cols>
  <sheetData>
    <row r="1" ht="21.75" customHeight="1" s="130">
      <c r="B1" s="198">
        <f>"🏙️  CAFÉ DIRECTORY   —   "&amp;SUMPRODUCT(('Coffee Audit'!C2:C2000&lt;&gt;"")/COUNTIF('Coffee Audit'!C2:C2000,'Coffee Audit'!C2:C2000&amp;""))&amp;" VENUES · 4 CITIES"</f>
        <v/>
      </c>
    </row>
    <row r="2" ht="13.5" customHeight="1" s="130">
      <c r="B2" s="236">
        <f>"Live-verified July 2026  ·  four-tier confidence rating  ·  entry counts and averages are live formulas across "&amp;COUNTA('Coffee Audit'!A2:A2000)&amp;" audits"</f>
        <v/>
      </c>
    </row>
    <row r="3" ht="6" customHeight="1" s="130"/>
    <row r="4" ht="15.75" customHeight="1" s="130">
      <c r="B4" s="200" t="inlineStr">
        <is>
          <t xml:space="preserve">  🌏  CITY COVERAGE OVERVIEW</t>
        </is>
      </c>
    </row>
    <row r="5" ht="15.75" customHeight="1" s="130">
      <c r="B5" s="204" t="inlineStr">
        <is>
          <t>City</t>
        </is>
      </c>
      <c r="C5" s="204" t="inlineStr">
        <is>
          <t>Entries</t>
        </is>
      </c>
      <c r="D5" s="204" t="inlineStr">
        <is>
          <t>Cafés</t>
        </is>
      </c>
      <c r="E5" s="204" t="inlineStr">
        <is>
          <t>Coverage</t>
        </is>
      </c>
      <c r="F5" s="204" t="inlineStr">
        <is>
          <t>Character</t>
        </is>
      </c>
    </row>
    <row r="6" ht="12.75" customHeight="1" s="130">
      <c r="B6" s="209" t="inlineStr">
        <is>
          <t>Singapore</t>
        </is>
      </c>
      <c r="C6" s="210">
        <f>COUNTIF('Coffee Audit'!B2:B2000,"*Singapore*")</f>
        <v/>
      </c>
      <c r="D6" s="210">
        <f>SUMPRODUCT((ISNUMBER(SEARCH("Singapore",'Coffee Audit'!B2:B2000)))*('Coffee Audit'!C2:C2000&lt;&gt;"")/COUNTIF('Coffee Audit'!C2:C2000,'Coffee Audit'!C2:C2000&amp;""))</f>
        <v/>
      </c>
      <c r="E6" s="210">
        <f>TEXT(COUNTIF('Coffee Audit'!B2:B2000,"*Singapore*")/COUNTA('Coffee Audit'!A2:A2000),"0%")</f>
        <v/>
      </c>
      <c r="F6" s="210" t="inlineStr">
        <is>
          <t>Roaster-owned specialty scene · transparent parameters · competition hardware standard</t>
        </is>
      </c>
    </row>
    <row r="7" ht="12.75" customHeight="1" s="130">
      <c r="B7" s="215" t="inlineStr">
        <is>
          <t>Ubud, Bali</t>
        </is>
      </c>
      <c r="C7" s="216">
        <f>COUNTIF('Coffee Audit'!B2:B2000,"*Bali*")</f>
        <v/>
      </c>
      <c r="D7" s="216">
        <f>SUMPRODUCT((ISNUMBER(SEARCH("Bali",'Coffee Audit'!B2:B2000)))*('Coffee Audit'!C2:C2000&lt;&gt;"")/COUNTIF('Coffee Audit'!C2:C2000,'Coffee Audit'!C2:C2000&amp;""))</f>
        <v/>
      </c>
      <c r="E7" s="216">
        <f>TEXT(COUNTIF('Coffee Audit'!B2:B2000,"*Bali*")/COUNTA('Coffee Audit'!A2:A2000),"0%")</f>
        <v/>
      </c>
      <c r="F7" s="216" t="inlineStr">
        <is>
          <t>Archive origin chapter — Seniman Coffee Studio</t>
        </is>
      </c>
    </row>
    <row r="8" ht="12.75" customHeight="1" s="130">
      <c r="B8" s="209" t="inlineStr">
        <is>
          <t>Mumbai</t>
        </is>
      </c>
      <c r="C8" s="210">
        <f>COUNTIF('Coffee Audit'!B2:B2000,"*Mumbai*")</f>
        <v/>
      </c>
      <c r="D8" s="210">
        <f>SUMPRODUCT((ISNUMBER(SEARCH("Mumbai",'Coffee Audit'!B2:B2000)))*('Coffee Audit'!C2:C2000&lt;&gt;"")/COUNTIF('Coffee Audit'!C2:C2000,'Coffee Audit'!C2:C2000&amp;""))</f>
        <v/>
      </c>
      <c r="E8" s="210">
        <f>TEXT(COUNTIF('Coffee Audit'!B2:B2000,"*Mumbai*")/COUNTA('Coffee Audit'!A2:A2000),"0%")</f>
        <v/>
      </c>
      <c r="F8" s="210" t="inlineStr">
        <is>
          <t>India frontier chapter — Subko + Grey Soul</t>
        </is>
      </c>
    </row>
    <row r="9" ht="12.75" customHeight="1" s="130">
      <c r="B9" s="215" t="inlineStr">
        <is>
          <t>Johor Bahru</t>
        </is>
      </c>
      <c r="C9" s="216">
        <f>COUNTIF('Coffee Audit'!B2:B2000,"*Johor*")</f>
        <v/>
      </c>
      <c r="D9" s="216">
        <f>SUMPRODUCT((ISNUMBER(SEARCH("Johor",'Coffee Audit'!B2:B2000)))*('Coffee Audit'!C2:C2000&lt;&gt;"")/COUNTIF('Coffee Audit'!C2:C2000,'Coffee Audit'!C2:C2000&amp;""))</f>
        <v/>
      </c>
      <c r="E9" s="216">
        <f>TEXT(COUNTIF('Coffee Audit'!B2:B2000,"*Johor*")/COUNTA('Coffee Audit'!A2:A2000),"0%")</f>
        <v/>
      </c>
      <c r="F9" s="216" t="inlineStr">
        <is>
          <t>Cross-border audit — Clod · Sweet Blossom (coffee-only) · August Drip (10+ Gesha, Pei protocol)</t>
        </is>
      </c>
    </row>
    <row r="10" ht="7.5" customHeight="1" s="130"/>
    <row r="11" ht="15.75" customHeight="1" s="130">
      <c r="B11" s="200" t="inlineStr">
        <is>
          <t xml:space="preserve">  ☕  COMPLETE VERIFIED DIRECTORY  —  44 venues (43 visited + 1 pending)</t>
        </is>
      </c>
    </row>
    <row r="12" ht="15.75" customHeight="1" s="130">
      <c r="B12" s="204" t="inlineStr">
        <is>
          <t>Café</t>
        </is>
      </c>
      <c r="C12" s="204" t="inlineStr">
        <is>
          <t>City</t>
        </is>
      </c>
      <c r="D12" s="204" t="inlineStr">
        <is>
          <t>Entries</t>
        </is>
      </c>
      <c r="E12" s="204" t="inlineStr">
        <is>
          <t>Gesha</t>
        </is>
      </c>
      <c r="F12" s="204" t="inlineStr">
        <is>
          <t>Avg</t>
        </is>
      </c>
      <c r="G12" s="204" t="inlineStr">
        <is>
          <t>Verified Address</t>
        </is>
      </c>
      <c r="H12" s="204" t="inlineStr">
        <is>
          <t>Instagram</t>
        </is>
      </c>
      <c r="I12" s="204" t="inlineStr">
        <is>
          <t>Website</t>
        </is>
      </c>
      <c r="J12" s="204" t="inlineStr">
        <is>
          <t>Conf.</t>
        </is>
      </c>
      <c r="K12" s="204" t="inlineStr">
        <is>
          <t>Notes</t>
        </is>
      </c>
    </row>
    <row r="13" ht="13.5" customHeight="1" s="130">
      <c r="B13" s="237" t="inlineStr">
        <is>
          <t>Nylon Coffee Roasters</t>
        </is>
      </c>
      <c r="C13" s="238" t="inlineStr">
        <is>
          <t>Singapore</t>
        </is>
      </c>
      <c r="D13" s="238">
        <f>COUNTIF('Coffee Audit'!C2:C2000,B13)</f>
        <v/>
      </c>
      <c r="E13" s="238">
        <f>SUMPRODUCT(('Coffee Audit'!C2:C2000=B13)*('Coffee Audit'!W2:W2000="⭐ GESHA"))</f>
        <v/>
      </c>
      <c r="F13" s="238">
        <f>IFERROR("S$"&amp;TEXT(AVERAGEIFS('Coffee Audit'!Q2:Q2000,'Coffee Audit'!C2:C2000,B13,'Coffee Audit'!Q2:Q2000,"&gt;0"),"0.00"),"—")</f>
        <v/>
      </c>
      <c r="G13" s="238" t="inlineStr">
        <is>
          <t>4 Everton Park, #01-40</t>
        </is>
      </c>
      <c r="H13" s="238" t="inlineStr">
        <is>
          <t>@nyloncoffeeroasters</t>
        </is>
      </c>
      <c r="I13" s="238" t="inlineStr">
        <is>
          <t>nyloncoffee.sg</t>
        </is>
      </c>
      <c r="J13" s="238" t="inlineStr">
        <is>
          <t>✅ HIGH</t>
        </is>
      </c>
      <c r="K13" s="238" t="inlineStr">
        <is>
          <t>Reliability anchor · 6 visits</t>
        </is>
      </c>
    </row>
    <row r="14" ht="13.5" customHeight="1" s="130">
      <c r="B14" s="239" t="inlineStr">
        <is>
          <t>Fluid Collective</t>
        </is>
      </c>
      <c r="C14" s="240" t="inlineStr">
        <is>
          <t>Singapore</t>
        </is>
      </c>
      <c r="D14" s="240">
        <f>COUNTIF('Coffee Audit'!C2:C2000,B14)</f>
        <v/>
      </c>
      <c r="E14" s="240">
        <f>SUMPRODUCT(('Coffee Audit'!C2:C2000=B14)*('Coffee Audit'!W2:W2000="⭐ GESHA"))</f>
        <v/>
      </c>
      <c r="F14" s="240">
        <f>IFERROR("S$"&amp;TEXT(AVERAGEIFS('Coffee Audit'!Q2:Q2000,'Coffee Audit'!C2:C2000,B14,'Coffee Audit'!Q2:Q2000,"&gt;0"),"0.00"),"—")</f>
        <v/>
      </c>
      <c r="G14" s="240" t="inlineStr">
        <is>
          <t>24 Opal Crescent, Singapore</t>
        </is>
      </c>
      <c r="H14" s="240" t="inlineStr">
        <is>
          <t>@fluidcollective</t>
        </is>
      </c>
      <c r="I14" s="240" t="inlineStr">
        <is>
          <t>—</t>
        </is>
      </c>
      <c r="J14" s="240" t="inlineStr">
        <is>
          <t>✅ HIGH</t>
        </is>
      </c>
      <c r="K14" s="240" t="inlineStr">
        <is>
          <t>Cup of Year · 2025 Brewers Cup champion</t>
        </is>
      </c>
    </row>
    <row r="15" ht="13.5" customHeight="1" s="130">
      <c r="B15" s="237" t="inlineStr">
        <is>
          <t>Asylum Coffeehouse</t>
        </is>
      </c>
      <c r="C15" s="238" t="inlineStr">
        <is>
          <t>Singapore</t>
        </is>
      </c>
      <c r="D15" s="238">
        <f>COUNTIF('Coffee Audit'!C2:C2000,B15)</f>
        <v/>
      </c>
      <c r="E15" s="238">
        <f>SUMPRODUCT(('Coffee Audit'!C2:C2000=B15)*('Coffee Audit'!W2:W2000="⭐ GESHA"))</f>
        <v/>
      </c>
      <c r="F15" s="238">
        <f>IFERROR("S$"&amp;TEXT(AVERAGEIFS('Coffee Audit'!Q2:Q2000,'Coffee Audit'!C2:C2000,B15,'Coffee Audit'!Q2:Q2000,"&gt;0"),"0.00"),"—")</f>
        <v/>
      </c>
      <c r="G15" s="238" t="inlineStr">
        <is>
          <t>311 Jalan Besar, S208970</t>
        </is>
      </c>
      <c r="H15" s="238" t="inlineStr">
        <is>
          <t>—</t>
        </is>
      </c>
      <c r="I15" s="238" t="inlineStr">
        <is>
          <t>—</t>
        </is>
      </c>
      <c r="J15" s="238" t="inlineStr">
        <is>
          <t>✅ HIGH</t>
        </is>
      </c>
      <c r="K15" s="238" t="inlineStr">
        <is>
          <t>4 visits · 2 Gesha entries</t>
        </is>
      </c>
    </row>
    <row r="16" ht="13.5" customHeight="1" s="130">
      <c r="B16" s="239" t="inlineStr">
        <is>
          <t>Zerah Roasters</t>
        </is>
      </c>
      <c r="C16" s="240" t="inlineStr">
        <is>
          <t>Singapore</t>
        </is>
      </c>
      <c r="D16" s="240">
        <f>COUNTIF('Coffee Audit'!C2:C2000,B16)</f>
        <v/>
      </c>
      <c r="E16" s="240">
        <f>SUMPRODUCT(('Coffee Audit'!C2:C2000=B16)*('Coffee Audit'!W2:W2000="⭐ GESHA"))</f>
        <v/>
      </c>
      <c r="F16" s="240">
        <f>IFERROR("S$"&amp;TEXT(AVERAGEIFS('Coffee Audit'!Q2:Q2000,'Coffee Audit'!C2:C2000,B16,'Coffee Audit'!Q2:Q2000,"&gt;0"),"0.00"),"—")</f>
        <v/>
      </c>
      <c r="G16" s="240" t="inlineStr">
        <is>
          <t>465 North Bridge Road, #02-5063</t>
        </is>
      </c>
      <c r="H16" s="240" t="inlineStr">
        <is>
          <t>@zerahroasters</t>
        </is>
      </c>
      <c r="I16" s="240" t="inlineStr">
        <is>
          <t>zerahcoffeeroasters.com</t>
        </is>
      </c>
      <c r="J16" s="240" t="inlineStr">
        <is>
          <t>✅ HIGH</t>
        </is>
      </c>
      <c r="K16" s="240" t="inlineStr">
        <is>
          <t>Barista Aqil — joint #2</t>
        </is>
      </c>
    </row>
    <row r="17" ht="13.5" customHeight="1" s="130">
      <c r="B17" s="237" t="inlineStr">
        <is>
          <t>Kyuukei Coffee</t>
        </is>
      </c>
      <c r="C17" s="238" t="inlineStr">
        <is>
          <t>Singapore</t>
        </is>
      </c>
      <c r="D17" s="238">
        <f>COUNTIF('Coffee Audit'!C2:C2000,B17)</f>
        <v/>
      </c>
      <c r="E17" s="238">
        <f>SUMPRODUCT(('Coffee Audit'!C2:C2000=B17)*('Coffee Audit'!W2:W2000="⭐ GESHA"))</f>
        <v/>
      </c>
      <c r="F17" s="238">
        <f>IFERROR("S$"&amp;TEXT(AVERAGEIFS('Coffee Audit'!Q2:Q2000,'Coffee Audit'!C2:C2000,B17,'Coffee Audit'!Q2:Q2000,"&gt;0"),"0.00"),"—")</f>
        <v/>
      </c>
      <c r="G17" s="238" t="inlineStr">
        <is>
          <t>121 Bukit Merah Ln 1 #01-06 · 5 Kadayanallur St #01-04</t>
        </is>
      </c>
      <c r="H17" s="238" t="inlineStr">
        <is>
          <t>@kyuukeicoffee</t>
        </is>
      </c>
      <c r="I17" s="238" t="inlineStr">
        <is>
          <t>kyuukeicoffee.com</t>
        </is>
      </c>
      <c r="J17" s="238" t="inlineStr">
        <is>
          <t>✅ HIGH</t>
        </is>
      </c>
      <c r="K17" s="238" t="inlineStr">
        <is>
          <t>Two outlets · 3 archive visits</t>
        </is>
      </c>
    </row>
    <row r="18" ht="13.5" customHeight="1" s="130">
      <c r="B18" s="239" t="inlineStr">
        <is>
          <t>Abseil</t>
        </is>
      </c>
      <c r="C18" s="240" t="inlineStr">
        <is>
          <t>Singapore</t>
        </is>
      </c>
      <c r="D18" s="240">
        <f>COUNTIF('Coffee Audit'!C2:C2000,B18)</f>
        <v/>
      </c>
      <c r="E18" s="240">
        <f>SUMPRODUCT(('Coffee Audit'!C2:C2000=B18)*('Coffee Audit'!W2:W2000="⭐ GESHA"))</f>
        <v/>
      </c>
      <c r="F18" s="240">
        <f>IFERROR("S$"&amp;TEXT(AVERAGEIFS('Coffee Audit'!Q2:Q2000,'Coffee Audit'!C2:C2000,B18,'Coffee Audit'!Q2:Q2000,"&gt;0"),"0.00"),"—")</f>
        <v/>
      </c>
      <c r="G18" s="240" t="inlineStr">
        <is>
          <t>70 Shenton Way, #01-14, Eon Shenton, S079118</t>
        </is>
      </c>
      <c r="H18" s="240" t="inlineStr">
        <is>
          <t>@abseil.coffee</t>
        </is>
      </c>
      <c r="I18" s="240" t="inlineStr">
        <is>
          <t>abseilcoffee.com</t>
        </is>
      </c>
      <c r="J18" s="240" t="inlineStr">
        <is>
          <t>✅ HIGH</t>
        </is>
      </c>
      <c r="K18" s="240" t="inlineStr">
        <is>
          <t>Barista Glenda — joint #2 · CT62 + P64</t>
        </is>
      </c>
    </row>
    <row r="19" ht="13.5" customHeight="1" s="130">
      <c r="B19" s="241" t="inlineStr">
        <is>
          <t>Oaks Coffee Co.</t>
        </is>
      </c>
      <c r="C19" s="242" t="inlineStr">
        <is>
          <t>Singapore</t>
        </is>
      </c>
      <c r="D19" s="242">
        <f>COUNTIF('Coffee Audit'!C2:C2000,B19)</f>
        <v/>
      </c>
      <c r="E19" s="242">
        <f>SUMPRODUCT(('Coffee Audit'!C2:C2000=B19)*('Coffee Audit'!W2:W2000="⭐ GESHA"))</f>
        <v/>
      </c>
      <c r="F19" s="242">
        <f>IFERROR("S$"&amp;TEXT(AVERAGEIFS('Coffee Audit'!Q2:Q2000,'Coffee Audit'!C2:C2000,B19,'Coffee Audit'!Q2:Q2000,"&gt;0"),"0.00"),"—")</f>
        <v/>
      </c>
      <c r="G19" s="242" t="inlineStr">
        <is>
          <t>619H Bukit Timah Road, S269728</t>
        </is>
      </c>
      <c r="H19" s="242" t="inlineStr">
        <is>
          <t>@oakscoffeeco</t>
        </is>
      </c>
      <c r="I19" s="242" t="inlineStr">
        <is>
          <t>oakscoffeeco.com</t>
        </is>
      </c>
      <c r="J19" s="242" t="inlineStr">
        <is>
          <t>✅ LOCK</t>
        </is>
      </c>
      <c r="K19" s="242" t="inlineStr">
        <is>
          <t>2 visits · Day 4 at first audit · 5 archive firsts</t>
        </is>
      </c>
    </row>
    <row r="20" ht="13.5" customHeight="1" s="130">
      <c r="B20" s="239" t="inlineStr">
        <is>
          <t>Homeground Coffee Roasters</t>
        </is>
      </c>
      <c r="C20" s="240" t="inlineStr">
        <is>
          <t>Singapore</t>
        </is>
      </c>
      <c r="D20" s="240">
        <f>COUNTIF('Coffee Audit'!C2:C2000,B20)</f>
        <v/>
      </c>
      <c r="E20" s="240">
        <f>SUMPRODUCT(('Coffee Audit'!C2:C2000=B20)*('Coffee Audit'!W2:W2000="⭐ GESHA"))</f>
        <v/>
      </c>
      <c r="F20" s="240">
        <f>IFERROR("S$"&amp;TEXT(AVERAGEIFS('Coffee Audit'!Q2:Q2000,'Coffee Audit'!C2:C2000,B20,'Coffee Audit'!Q2:Q2000,"&gt;0"),"0.00"),"—")</f>
        <v/>
      </c>
      <c r="G20" s="240" t="inlineStr">
        <is>
          <t>911 Bukit Timah Road, Singapore</t>
        </is>
      </c>
      <c r="H20" s="240" t="inlineStr">
        <is>
          <t>@homegroundcoffeeroasters</t>
        </is>
      </c>
      <c r="I20" s="240" t="inlineStr">
        <is>
          <t>homegroundcoffee.sg</t>
        </is>
      </c>
      <c r="J20" s="240" t="inlineStr">
        <is>
          <t>✅ HIGH</t>
        </is>
      </c>
      <c r="K20" s="240" t="inlineStr">
        <is>
          <t>Experience Room concept</t>
        </is>
      </c>
    </row>
    <row r="21" ht="13.5" customHeight="1" s="130">
      <c r="B21" s="237" t="inlineStr">
        <is>
          <t>Pinhole Coffee Bar</t>
        </is>
      </c>
      <c r="C21" s="238" t="inlineStr">
        <is>
          <t>Singapore</t>
        </is>
      </c>
      <c r="D21" s="238">
        <f>COUNTIF('Coffee Audit'!C2:C2000,B21)</f>
        <v/>
      </c>
      <c r="E21" s="238">
        <f>SUMPRODUCT(('Coffee Audit'!C2:C2000=B21)*('Coffee Audit'!W2:W2000="⭐ GESHA"))</f>
        <v/>
      </c>
      <c r="F21" s="238">
        <f>IFERROR("S$"&amp;TEXT(AVERAGEIFS('Coffee Audit'!Q2:Q2000,'Coffee Audit'!C2:C2000,B21,'Coffee Audit'!Q2:Q2000,"&gt;0"),"0.00"),"—")</f>
        <v/>
      </c>
      <c r="G21" s="238" t="inlineStr">
        <is>
          <t>27 Purvis Street, #01-02, S188604</t>
        </is>
      </c>
      <c r="H21" s="238" t="inlineStr">
        <is>
          <t>@pinholecoffeebar</t>
        </is>
      </c>
      <c r="I21" s="238" t="inlineStr">
        <is>
          <t>pinhole.cafe</t>
        </is>
      </c>
      <c r="J21" s="238" t="inlineStr">
        <is>
          <t>✅ HIGH</t>
        </is>
      </c>
      <c r="K21" s="238" t="n"/>
    </row>
    <row r="22" ht="13.5" customHeight="1" s="130">
      <c r="B22" s="239" t="inlineStr">
        <is>
          <t>Double Shot Coffee</t>
        </is>
      </c>
      <c r="C22" s="240" t="inlineStr">
        <is>
          <t>Singapore</t>
        </is>
      </c>
      <c r="D22" s="240">
        <f>COUNTIF('Coffee Audit'!C2:C2000,B22)</f>
        <v/>
      </c>
      <c r="E22" s="240">
        <f>SUMPRODUCT(('Coffee Audit'!C2:C2000=B22)*('Coffee Audit'!W2:W2000="⭐ GESHA"))</f>
        <v/>
      </c>
      <c r="F22" s="240">
        <f>IFERROR("S$"&amp;TEXT(AVERAGEIFS('Coffee Audit'!Q2:Q2000,'Coffee Audit'!C2:C2000,B22,'Coffee Audit'!Q2:Q2000,"&gt;0"),"0.00"),"—")</f>
        <v/>
      </c>
      <c r="G22" s="240" t="inlineStr">
        <is>
          <t>19 Kampong Bahru Road, Singapore</t>
        </is>
      </c>
      <c r="H22" s="240" t="inlineStr">
        <is>
          <t>—</t>
        </is>
      </c>
      <c r="I22" s="240" t="inlineStr">
        <is>
          <t>dblshotcoffee.com</t>
        </is>
      </c>
      <c r="J22" s="240" t="inlineStr">
        <is>
          <t>✅ HIGH</t>
        </is>
      </c>
      <c r="K22" s="240" t="inlineStr">
        <is>
          <t>Concentrated 1:13.3 house ratio</t>
        </is>
      </c>
    </row>
    <row r="23" ht="13.5" customHeight="1" s="130">
      <c r="B23" s="237" t="inlineStr">
        <is>
          <t>Apartment (Selegie Rd)</t>
        </is>
      </c>
      <c r="C23" s="238" t="inlineStr">
        <is>
          <t>Singapore</t>
        </is>
      </c>
      <c r="D23" s="238">
        <f>COUNTIF('Coffee Audit'!C2:C2000,B23)</f>
        <v/>
      </c>
      <c r="E23" s="238">
        <f>SUMPRODUCT(('Coffee Audit'!C2:C2000=B23)*('Coffee Audit'!W2:W2000="⭐ GESHA"))</f>
        <v/>
      </c>
      <c r="F23" s="238">
        <f>IFERROR("S$"&amp;TEXT(AVERAGEIFS('Coffee Audit'!Q2:Q2000,'Coffee Audit'!C2:C2000,B23,'Coffee Audit'!Q2:Q2000,"&gt;0"),"0.00"),"—")</f>
        <v/>
      </c>
      <c r="G23" s="238" t="inlineStr">
        <is>
          <t>139 Selegie Road, #01-01, S188309</t>
        </is>
      </c>
      <c r="H23" s="238" t="inlineStr">
        <is>
          <t>@apartmentcoffee.co</t>
        </is>
      </c>
      <c r="I23" s="238" t="inlineStr">
        <is>
          <t>apartmentcoffee.co</t>
        </is>
      </c>
      <c r="J23" s="238" t="inlineStr">
        <is>
          <t>✅ HIGH</t>
        </is>
      </c>
      <c r="K23" s="238" t="inlineStr">
        <is>
          <t>#6 world ranked filter café</t>
        </is>
      </c>
    </row>
    <row r="24" ht="13.5" customHeight="1" s="130">
      <c r="B24" s="239" t="inlineStr">
        <is>
          <t>Apartment Roastery</t>
        </is>
      </c>
      <c r="C24" s="240" t="inlineStr">
        <is>
          <t>Singapore</t>
        </is>
      </c>
      <c r="D24" s="240">
        <f>COUNTIF('Coffee Audit'!C2:C2000,B24)</f>
        <v/>
      </c>
      <c r="E24" s="240">
        <f>SUMPRODUCT(('Coffee Audit'!C2:C2000=B24)*('Coffee Audit'!W2:W2000="⭐ GESHA"))</f>
        <v/>
      </c>
      <c r="F24" s="240">
        <f>IFERROR("S$"&amp;TEXT(AVERAGEIFS('Coffee Audit'!Q2:Q2000,'Coffee Audit'!C2:C2000,B24,'Coffee Audit'!Q2:Q2000,"&gt;0"),"0.00"),"—")</f>
        <v/>
      </c>
      <c r="G24" s="240" t="inlineStr">
        <is>
          <t>Jln Riang, #15-9, Singapore 358987</t>
        </is>
      </c>
      <c r="H24" s="240" t="inlineStr">
        <is>
          <t>@apartmentcoffee.co</t>
        </is>
      </c>
      <c r="I24" s="240" t="inlineStr">
        <is>
          <t>apartmentcoffee.co</t>
        </is>
      </c>
      <c r="J24" s="240" t="inlineStr">
        <is>
          <t>✅ LOCK</t>
        </is>
      </c>
      <c r="K24" s="240" t="inlineStr">
        <is>
          <t>Roastery branch of Apartment · 2 visits · weekends only</t>
        </is>
      </c>
    </row>
    <row r="25" ht="13.5" customHeight="1" s="130">
      <c r="B25" s="237" t="inlineStr">
        <is>
          <t>KerYi Coffee</t>
        </is>
      </c>
      <c r="C25" s="238" t="inlineStr">
        <is>
          <t>Singapore</t>
        </is>
      </c>
      <c r="D25" s="238">
        <f>COUNTIF('Coffee Audit'!C2:C2000,B25)</f>
        <v/>
      </c>
      <c r="E25" s="238">
        <f>SUMPRODUCT(('Coffee Audit'!C2:C2000=B25)*('Coffee Audit'!W2:W2000="⭐ GESHA"))</f>
        <v/>
      </c>
      <c r="F25" s="238">
        <f>IFERROR("S$"&amp;TEXT(AVERAGEIFS('Coffee Audit'!Q2:Q2000,'Coffee Audit'!C2:C2000,B25,'Coffee Audit'!Q2:Q2000,"&gt;0"),"0.00"),"—")</f>
        <v/>
      </c>
      <c r="G25" s="238" t="inlineStr">
        <is>
          <t>161 Lavender Street, #01-08, S338750</t>
        </is>
      </c>
      <c r="H25" s="238" t="inlineStr">
        <is>
          <t>@keryicoffee</t>
        </is>
      </c>
      <c r="I25" s="238" t="inlineStr">
        <is>
          <t>keryicoffee.com</t>
        </is>
      </c>
      <c r="J25" s="238" t="inlineStr">
        <is>
          <t>✅ HIGH</t>
        </is>
      </c>
      <c r="K25" s="238" t="inlineStr">
        <is>
          <t>Closed Fri for production · owners Mel &amp; You Quan · 2 visits</t>
        </is>
      </c>
    </row>
    <row r="26" ht="13.5" customHeight="1" s="130">
      <c r="B26" s="239" t="inlineStr">
        <is>
          <t>Maxi Coffee Bar</t>
        </is>
      </c>
      <c r="C26" s="240" t="inlineStr">
        <is>
          <t>Singapore</t>
        </is>
      </c>
      <c r="D26" s="240">
        <f>COUNTIF('Coffee Audit'!C2:C2000,B26)</f>
        <v/>
      </c>
      <c r="E26" s="240">
        <f>SUMPRODUCT(('Coffee Audit'!C2:C2000=B26)*('Coffee Audit'!W2:W2000="⭐ GESHA"))</f>
        <v/>
      </c>
      <c r="F26" s="240">
        <f>IFERROR("S$"&amp;TEXT(AVERAGEIFS('Coffee Audit'!Q2:Q2000,'Coffee Audit'!C2:C2000,B26,'Coffee Audit'!Q2:Q2000,"&gt;0"),"0.00"),"—")</f>
        <v/>
      </c>
      <c r="G26" s="240" t="inlineStr">
        <is>
          <t>64 Club Street (back entrance), S069438</t>
        </is>
      </c>
      <c r="H26" s="240" t="inlineStr">
        <is>
          <t>—</t>
        </is>
      </c>
      <c r="I26" s="240" t="inlineStr">
        <is>
          <t>maxicoffeebar.com</t>
        </is>
      </c>
      <c r="J26" s="240" t="inlineStr">
        <is>
          <t>✅ HIGH</t>
        </is>
      </c>
      <c r="K26" s="240" t="inlineStr">
        <is>
          <t>~4.7 Google · Ann Siang Hill</t>
        </is>
      </c>
    </row>
    <row r="27" ht="13.5" customHeight="1" s="130">
      <c r="B27" s="237" t="inlineStr">
        <is>
          <t>Pocket by Flip (Flip Coffee Roasters)</t>
        </is>
      </c>
      <c r="C27" s="238" t="inlineStr">
        <is>
          <t>Singapore</t>
        </is>
      </c>
      <c r="D27" s="238">
        <f>COUNTIF('Coffee Audit'!C2:C2000,B27)</f>
        <v/>
      </c>
      <c r="E27" s="238">
        <f>SUMPRODUCT(('Coffee Audit'!C2:C2000=B27)*('Coffee Audit'!W2:W2000="⭐ GESHA"))</f>
        <v/>
      </c>
      <c r="F27" s="238">
        <f>IFERROR("S$"&amp;TEXT(AVERAGEIFS('Coffee Audit'!Q2:Q2000,'Coffee Audit'!C2:C2000,B27,'Coffee Audit'!Q2:Q2000,"&gt;0"),"0.00"),"—")</f>
        <v/>
      </c>
      <c r="G27" s="238" t="inlineStr">
        <is>
          <t>619H Bukit Timah Road, Singapore</t>
        </is>
      </c>
      <c r="H27" s="238" t="inlineStr">
        <is>
          <t>@flipcoffeeroasters</t>
        </is>
      </c>
      <c r="I27" s="238" t="inlineStr">
        <is>
          <t>—</t>
        </is>
      </c>
      <c r="J27" s="238" t="inlineStr">
        <is>
          <t>✅ HIGH</t>
        </is>
      </c>
      <c r="K27" s="238" t="inlineStr">
        <is>
          <t>S$18 Ecuador Geisha · highest-price Gesha pre-Abseil</t>
        </is>
      </c>
    </row>
    <row r="28" ht="13.5" customHeight="1" s="130">
      <c r="B28" s="239" t="inlineStr">
        <is>
          <t>ASK Coffee Roastery</t>
        </is>
      </c>
      <c r="C28" s="240" t="inlineStr">
        <is>
          <t>Singapore</t>
        </is>
      </c>
      <c r="D28" s="240">
        <f>COUNTIF('Coffee Audit'!C2:C2000,B28)</f>
        <v/>
      </c>
      <c r="E28" s="240">
        <f>SUMPRODUCT(('Coffee Audit'!C2:C2000=B28)*('Coffee Audit'!W2:W2000="⭐ GESHA"))</f>
        <v/>
      </c>
      <c r="F28" s="240">
        <f>IFERROR("S$"&amp;TEXT(AVERAGEIFS('Coffee Audit'!Q2:Q2000,'Coffee Audit'!C2:C2000,B28,'Coffee Audit'!Q2:Q2000,"&gt;0"),"0.00"),"—")</f>
        <v/>
      </c>
      <c r="G28" s="240" t="inlineStr">
        <is>
          <t>32 Seah Street, S188388</t>
        </is>
      </c>
      <c r="H28" s="240" t="inlineStr">
        <is>
          <t>@askcoffeeroastery</t>
        </is>
      </c>
      <c r="I28" s="240" t="inlineStr">
        <is>
          <t>—</t>
        </is>
      </c>
      <c r="J28" s="240" t="inlineStr">
        <is>
          <t>✅ HIGH</t>
        </is>
      </c>
      <c r="K28" s="240" t="inlineStr">
        <is>
          <t>Experimental ferments · co-ferments</t>
        </is>
      </c>
    </row>
    <row r="29" ht="13.5" customHeight="1" s="130">
      <c r="B29" s="237" t="inlineStr">
        <is>
          <t>Agora Coffee</t>
        </is>
      </c>
      <c r="C29" s="238" t="inlineStr">
        <is>
          <t>Singapore</t>
        </is>
      </c>
      <c r="D29" s="238">
        <f>COUNTIF('Coffee Audit'!C2:C2000,B29)</f>
        <v/>
      </c>
      <c r="E29" s="238">
        <f>SUMPRODUCT(('Coffee Audit'!C2:C2000=B29)*('Coffee Audit'!W2:W2000="⭐ GESHA"))</f>
        <v/>
      </c>
      <c r="F29" s="238">
        <f>IFERROR("S$"&amp;TEXT(AVERAGEIFS('Coffee Audit'!Q2:Q2000,'Coffee Audit'!C2:C2000,B29,'Coffee Audit'!Q2:Q2000,"&gt;0"),"0.00"),"—")</f>
        <v/>
      </c>
      <c r="G29" s="238" t="inlineStr">
        <is>
          <t>31 Club Street, #01-02, S069468</t>
        </is>
      </c>
      <c r="H29" s="238" t="inlineStr">
        <is>
          <t>@agoracoffeecs</t>
        </is>
      </c>
      <c r="I29" s="238" t="inlineStr">
        <is>
          <t>—</t>
        </is>
      </c>
      <c r="J29" s="238" t="inlineStr">
        <is>
          <t>✅ HIGH</t>
        </is>
      </c>
      <c r="K29" s="238" t="inlineStr">
        <is>
          <t>3 visits · V60 over-extraction flag</t>
        </is>
      </c>
    </row>
    <row r="30" ht="13.5" customHeight="1" s="130">
      <c r="B30" s="239" t="inlineStr">
        <is>
          <t>Equate Coffee</t>
        </is>
      </c>
      <c r="C30" s="240" t="inlineStr">
        <is>
          <t>Singapore</t>
        </is>
      </c>
      <c r="D30" s="240">
        <f>COUNTIF('Coffee Audit'!C2:C2000,B30)</f>
        <v/>
      </c>
      <c r="E30" s="240">
        <f>SUMPRODUCT(('Coffee Audit'!C2:C2000=B30)*('Coffee Audit'!W2:W2000="⭐ GESHA"))</f>
        <v/>
      </c>
      <c r="F30" s="240">
        <f>IFERROR("S$"&amp;TEXT(AVERAGEIFS('Coffee Audit'!Q2:Q2000,'Coffee Audit'!C2:C2000,B30,'Coffee Audit'!Q2:Q2000,"&gt;0"),"0.00"),"—")</f>
        <v/>
      </c>
      <c r="G30" s="240" t="inlineStr">
        <is>
          <t>1 Tanjong Pagar Plaza, #02-25, S082001</t>
        </is>
      </c>
      <c r="H30" s="240" t="inlineStr">
        <is>
          <t>@equatecoffee</t>
        </is>
      </c>
      <c r="I30" s="240" t="inlineStr">
        <is>
          <t>equate.sg</t>
        </is>
      </c>
      <c r="J30" s="240" t="inlineStr">
        <is>
          <t>✅ HIGH</t>
        </is>
      </c>
      <c r="K30" s="240" t="inlineStr">
        <is>
          <t>2 visits · 1 Gesha (Peru Cajamarca Washed)</t>
        </is>
      </c>
    </row>
    <row r="31" ht="13.5" customHeight="1" s="130">
      <c r="B31" s="237" t="inlineStr">
        <is>
          <t>Cowpresso Coffee Roasters</t>
        </is>
      </c>
      <c r="C31" s="238" t="inlineStr">
        <is>
          <t>Singapore</t>
        </is>
      </c>
      <c r="D31" s="238">
        <f>COUNTIF('Coffee Audit'!C2:C2000,B31)</f>
        <v/>
      </c>
      <c r="E31" s="238">
        <f>SUMPRODUCT(('Coffee Audit'!C2:C2000=B31)*('Coffee Audit'!W2:W2000="⭐ GESHA"))</f>
        <v/>
      </c>
      <c r="F31" s="238">
        <f>IFERROR("S$"&amp;TEXT(AVERAGEIFS('Coffee Audit'!Q2:Q2000,'Coffee Audit'!C2:C2000,B31,'Coffee Audit'!Q2:Q2000,"&gt;0"),"0.00"),"—")</f>
        <v/>
      </c>
      <c r="G31" s="238" t="inlineStr">
        <is>
          <t>21 Lor Kilat, #01-07, S598123</t>
        </is>
      </c>
      <c r="H31" s="238" t="inlineStr">
        <is>
          <t>@cowpressocoffee</t>
        </is>
      </c>
      <c r="I31" s="238" t="inlineStr">
        <is>
          <t>cowpressocoffee.sg</t>
        </is>
      </c>
      <c r="J31" s="238" t="inlineStr">
        <is>
          <t>✅ HIGH</t>
        </is>
      </c>
      <c r="K31" s="238" t="inlineStr">
        <is>
          <t>Barista Aung · complimentary sea salt latte</t>
        </is>
      </c>
    </row>
    <row r="32" ht="13.5" customHeight="1" s="130">
      <c r="B32" s="239" t="inlineStr">
        <is>
          <t>Alchemist (Ocean Financial Centre)</t>
        </is>
      </c>
      <c r="C32" s="240" t="inlineStr">
        <is>
          <t>Singapore</t>
        </is>
      </c>
      <c r="D32" s="240">
        <f>COUNTIF('Coffee Audit'!C2:C2000,B32)</f>
        <v/>
      </c>
      <c r="E32" s="240">
        <f>SUMPRODUCT(('Coffee Audit'!C2:C2000=B32)*('Coffee Audit'!W2:W2000="⭐ GESHA"))</f>
        <v/>
      </c>
      <c r="F32" s="240">
        <f>IFERROR("S$"&amp;TEXT(AVERAGEIFS('Coffee Audit'!Q2:Q2000,'Coffee Audit'!C2:C2000,B32,'Coffee Audit'!Q2:Q2000,"&gt;0"),"0.00"),"—")</f>
        <v/>
      </c>
      <c r="G32" s="240" t="inlineStr">
        <is>
          <t>10 Collyer Quay, #01-K1, S049315</t>
        </is>
      </c>
      <c r="H32" s="240" t="inlineStr">
        <is>
          <t>@alchemist.sg</t>
        </is>
      </c>
      <c r="I32" s="240" t="inlineStr">
        <is>
          <t>alchemist.global</t>
        </is>
      </c>
      <c r="J32" s="240" t="inlineStr">
        <is>
          <t>✅ HIGH</t>
        </is>
      </c>
      <c r="K32" s="240" t="inlineStr">
        <is>
          <t>Laurina Anaerobic entry</t>
        </is>
      </c>
    </row>
    <row r="33" ht="13.5" customHeight="1" s="130">
      <c r="B33" s="237" t="inlineStr">
        <is>
          <t>Alchemist (Raffles Place)</t>
        </is>
      </c>
      <c r="C33" s="238" t="inlineStr">
        <is>
          <t>Singapore</t>
        </is>
      </c>
      <c r="D33" s="238">
        <f>COUNTIF('Coffee Audit'!C2:C2000,B33)</f>
        <v/>
      </c>
      <c r="E33" s="238">
        <f>SUMPRODUCT(('Coffee Audit'!C2:C2000=B33)*('Coffee Audit'!W2:W2000="⭐ GESHA"))</f>
        <v/>
      </c>
      <c r="F33" s="238">
        <f>IFERROR("S$"&amp;TEXT(AVERAGEIFS('Coffee Audit'!Q2:Q2000,'Coffee Audit'!C2:C2000,B33,'Coffee Audit'!Q2:Q2000,"&gt;0"),"0.00"),"—")</f>
        <v/>
      </c>
      <c r="G33" s="238" t="inlineStr">
        <is>
          <t>16 Raffles Quay, #01-08, Hong Leong Bldg, S048581</t>
        </is>
      </c>
      <c r="H33" s="238" t="inlineStr">
        <is>
          <t>@alchemist.sg</t>
        </is>
      </c>
      <c r="I33" s="238" t="inlineStr">
        <is>
          <t>alchemist.global</t>
        </is>
      </c>
      <c r="J33" s="238" t="inlineStr">
        <is>
          <t>✅ HIGH</t>
        </is>
      </c>
      <c r="K33" s="238" t="inlineStr">
        <is>
          <t>El Morito Marshell Washed</t>
        </is>
      </c>
    </row>
    <row r="34" ht="13.5" customHeight="1" s="130">
      <c r="B34" s="239" t="inlineStr">
        <is>
          <t>Lume Café</t>
        </is>
      </c>
      <c r="C34" s="240" t="inlineStr">
        <is>
          <t>Singapore</t>
        </is>
      </c>
      <c r="D34" s="240">
        <f>COUNTIF('Coffee Audit'!C2:C2000,B34)</f>
        <v/>
      </c>
      <c r="E34" s="240">
        <f>SUMPRODUCT(('Coffee Audit'!C2:C2000=B34)*('Coffee Audit'!W2:W2000="⭐ GESHA"))</f>
        <v/>
      </c>
      <c r="F34" s="240">
        <f>IFERROR("S$"&amp;TEXT(AVERAGEIFS('Coffee Audit'!Q2:Q2000,'Coffee Audit'!C2:C2000,B34,'Coffee Audit'!Q2:Q2000,"&gt;0"),"0.00"),"—")</f>
        <v/>
      </c>
      <c r="G34" s="240" t="inlineStr">
        <is>
          <t>108 Robinson Road, #01-01, S068900</t>
        </is>
      </c>
      <c r="H34" s="240" t="inlineStr">
        <is>
          <t>@lume_sg</t>
        </is>
      </c>
      <c r="I34" s="240" t="inlineStr">
        <is>
          <t>lume.sg</t>
        </is>
      </c>
      <c r="J34" s="240" t="inlineStr">
        <is>
          <t>✅ HIGH</t>
        </is>
      </c>
      <c r="K34" s="240" t="inlineStr">
        <is>
          <t>Panama Geisha Red Honey</t>
        </is>
      </c>
    </row>
    <row r="35" ht="13.5" customHeight="1" s="130">
      <c r="B35" s="237" t="inlineStr">
        <is>
          <t>Tiong Hoe Specialty Coffee</t>
        </is>
      </c>
      <c r="C35" s="238" t="inlineStr">
        <is>
          <t>Singapore</t>
        </is>
      </c>
      <c r="D35" s="238">
        <f>COUNTIF('Coffee Audit'!C2:C2000,B35)</f>
        <v/>
      </c>
      <c r="E35" s="238">
        <f>SUMPRODUCT(('Coffee Audit'!C2:C2000=B35)*('Coffee Audit'!W2:W2000="⭐ GESHA"))</f>
        <v/>
      </c>
      <c r="F35" s="238">
        <f>IFERROR("S$"&amp;TEXT(AVERAGEIFS('Coffee Audit'!Q2:Q2000,'Coffee Audit'!C2:C2000,B35,'Coffee Audit'!Q2:Q2000,"&gt;0"),"0.00"),"—")</f>
        <v/>
      </c>
      <c r="G35" s="238" t="inlineStr">
        <is>
          <t>170 Stirling Road, #01-1133, S140170 (flagship)</t>
        </is>
      </c>
      <c r="H35" s="238" t="inlineStr">
        <is>
          <t>—</t>
        </is>
      </c>
      <c r="I35" s="238" t="inlineStr">
        <is>
          <t>tionghoe.com</t>
        </is>
      </c>
      <c r="J35" s="238" t="inlineStr">
        <is>
          <t>✅ HIGH</t>
        </is>
      </c>
      <c r="K35" s="238" t="inlineStr">
        <is>
          <t>10 outlets islandwide</t>
        </is>
      </c>
    </row>
    <row r="36" ht="13.5" customHeight="1" s="130">
      <c r="B36" s="239" t="inlineStr">
        <is>
          <t>Kurasu</t>
        </is>
      </c>
      <c r="C36" s="240" t="inlineStr">
        <is>
          <t>Singapore</t>
        </is>
      </c>
      <c r="D36" s="240">
        <f>COUNTIF('Coffee Audit'!C2:C2000,B36)</f>
        <v/>
      </c>
      <c r="E36" s="240">
        <f>SUMPRODUCT(('Coffee Audit'!C2:C2000=B36)*('Coffee Audit'!W2:W2000="⭐ GESHA"))</f>
        <v/>
      </c>
      <c r="F36" s="240">
        <f>IFERROR("S$"&amp;TEXT(AVERAGEIFS('Coffee Audit'!Q2:Q2000,'Coffee Audit'!C2:C2000,B36,'Coffee Audit'!Q2:Q2000,"&gt;0"),"0.00"),"—")</f>
        <v/>
      </c>
      <c r="G36" s="240" t="inlineStr">
        <is>
          <t>261 Waterloo Street, #01-24, S180261</t>
        </is>
      </c>
      <c r="H36" s="240" t="inlineStr">
        <is>
          <t>@kurasu.sg</t>
        </is>
      </c>
      <c r="I36" s="240" t="inlineStr">
        <is>
          <t>kurasu.sg</t>
        </is>
      </c>
      <c r="J36" s="240" t="inlineStr">
        <is>
          <t>✅ HIGH</t>
        </is>
      </c>
      <c r="K36" s="240" t="inlineStr">
        <is>
          <t>Japanese origin · honey process lots</t>
        </is>
      </c>
    </row>
    <row r="37" ht="13.5" customHeight="1" s="130">
      <c r="B37" s="237" t="inlineStr">
        <is>
          <t>Corner Corner</t>
        </is>
      </c>
      <c r="C37" s="238" t="inlineStr">
        <is>
          <t>Singapore</t>
        </is>
      </c>
      <c r="D37" s="238">
        <f>COUNTIF('Coffee Audit'!C2:C2000,B37)</f>
        <v/>
      </c>
      <c r="E37" s="238">
        <f>SUMPRODUCT(('Coffee Audit'!C2:C2000=B37)*('Coffee Audit'!W2:W2000="⭐ GESHA"))</f>
        <v/>
      </c>
      <c r="F37" s="238">
        <f>IFERROR("S$"&amp;TEXT(AVERAGEIFS('Coffee Audit'!Q2:Q2000,'Coffee Audit'!C2:C2000,B37,'Coffee Audit'!Q2:Q2000,"&gt;0"),"0.00"),"—")</f>
        <v/>
      </c>
      <c r="G37" s="238" t="inlineStr">
        <is>
          <t>16 Duxton Road, S089482 (daytime inside RPM)</t>
        </is>
      </c>
      <c r="H37" s="238" t="inlineStr">
        <is>
          <t>@corner___corner</t>
        </is>
      </c>
      <c r="I37" s="238" t="inlineStr">
        <is>
          <t>—</t>
        </is>
      </c>
      <c r="J37" s="238" t="inlineStr">
        <is>
          <t>✅ HIGH</t>
        </is>
      </c>
      <c r="K37" s="238" t="inlineStr">
        <is>
          <t>Vinyl/kissaten · Liberica · daytime only</t>
        </is>
      </c>
    </row>
    <row r="38" ht="13.5" customHeight="1" s="130">
      <c r="B38" s="239" t="inlineStr">
        <is>
          <t>2050 Coffee</t>
        </is>
      </c>
      <c r="C38" s="240" t="inlineStr">
        <is>
          <t>Singapore</t>
        </is>
      </c>
      <c r="D38" s="240">
        <f>COUNTIF('Coffee Audit'!C2:C2000,B38)</f>
        <v/>
      </c>
      <c r="E38" s="240">
        <f>SUMPRODUCT(('Coffee Audit'!C2:C2000=B38)*('Coffee Audit'!W2:W2000="⭐ GESHA"))</f>
        <v/>
      </c>
      <c r="F38" s="240">
        <f>IFERROR("S$"&amp;TEXT(AVERAGEIFS('Coffee Audit'!Q2:Q2000,'Coffee Audit'!C2:C2000,B38,'Coffee Audit'!Q2:Q2000,"&gt;0"),"0.00"),"—")</f>
        <v/>
      </c>
      <c r="G38" s="240" t="inlineStr">
        <is>
          <t>267 Beach Road, #01-01, S199545</t>
        </is>
      </c>
      <c r="H38" s="240" t="inlineStr">
        <is>
          <t>@2050.coffee</t>
        </is>
      </c>
      <c r="I38" s="240" t="inlineStr">
        <is>
          <t>—</t>
        </is>
      </c>
      <c r="J38" s="240" t="inlineStr">
        <is>
          <t>✅ HIGH</t>
        </is>
      </c>
      <c r="K38" s="240" t="inlineStr">
        <is>
          <t>Automated tap dispenser · rejected format</t>
        </is>
      </c>
    </row>
    <row r="39" ht="13.5" customHeight="1" s="130">
      <c r="B39" s="237" t="inlineStr">
        <is>
          <t>PPP Coffee (Funan)</t>
        </is>
      </c>
      <c r="C39" s="238" t="inlineStr">
        <is>
          <t>Singapore</t>
        </is>
      </c>
      <c r="D39" s="238">
        <f>COUNTIF('Coffee Audit'!C2:C2000,B39)</f>
        <v/>
      </c>
      <c r="E39" s="238">
        <f>SUMPRODUCT(('Coffee Audit'!C2:C2000=B39)*('Coffee Audit'!W2:W2000="⭐ GESHA"))</f>
        <v/>
      </c>
      <c r="F39" s="238">
        <f>IFERROR("S$"&amp;TEXT(AVERAGEIFS('Coffee Audit'!Q2:Q2000,'Coffee Audit'!C2:C2000,B39,'Coffee Audit'!Q2:Q2000,"&gt;0"),"0.00"),"—")</f>
        <v/>
      </c>
      <c r="G39" s="238" t="inlineStr">
        <is>
          <t>Funan Mall, 107 North Bridge Road</t>
        </is>
      </c>
      <c r="H39" s="238" t="inlineStr">
        <is>
          <t>—</t>
        </is>
      </c>
      <c r="I39" s="238" t="inlineStr">
        <is>
          <t>—</t>
        </is>
      </c>
      <c r="J39" s="238" t="inlineStr">
        <is>
          <t>✅ HIGH</t>
        </is>
      </c>
      <c r="K39" s="238" t="inlineStr">
        <is>
          <t>Over-extraction documented on EK Omnia+V60</t>
        </is>
      </c>
    </row>
    <row r="40" ht="13.5" customHeight="1" s="130">
      <c r="B40" s="243" t="inlineStr">
        <is>
          <t>The Community Coffee (Hamilton)</t>
        </is>
      </c>
      <c r="C40" s="244" t="inlineStr">
        <is>
          <t>Singapore</t>
        </is>
      </c>
      <c r="D40" s="244">
        <f>COUNTIF('Coffee Audit'!C2:C2000,B40)</f>
        <v/>
      </c>
      <c r="E40" s="244">
        <f>SUMPRODUCT(('Coffee Audit'!C2:C2000=B40)*('Coffee Audit'!W2:W2000="⭐ GESHA"))</f>
        <v/>
      </c>
      <c r="F40" s="244">
        <f>IFERROR("S$"&amp;TEXT(AVERAGEIFS('Coffee Audit'!Q2:Q2000,'Coffee Audit'!C2:C2000,B40,'Coffee Audit'!Q2:Q2000,"&gt;0"),"0.00"),"—")</f>
        <v/>
      </c>
      <c r="G40" s="244" t="inlineStr">
        <is>
          <t>Hamilton Road, Singapore</t>
        </is>
      </c>
      <c r="H40" s="244" t="inlineStr">
        <is>
          <t>—</t>
        </is>
      </c>
      <c r="I40" s="244" t="inlineStr">
        <is>
          <t>—</t>
        </is>
      </c>
      <c r="J40" s="244" t="inlineStr">
        <is>
          <t>⚠️ LOW</t>
        </is>
      </c>
      <c r="K40" s="244" t="inlineStr">
        <is>
          <t>Area confirmed · exact unit unverified</t>
        </is>
      </c>
    </row>
    <row r="41" ht="13.5" customHeight="1" s="130">
      <c r="B41" s="243" t="inlineStr">
        <is>
          <t>Narrative Coffee Stand</t>
        </is>
      </c>
      <c r="C41" s="244" t="inlineStr">
        <is>
          <t>Singapore</t>
        </is>
      </c>
      <c r="D41" s="244">
        <f>COUNTIF('Coffee Audit'!C2:C2000,B41)</f>
        <v/>
      </c>
      <c r="E41" s="244">
        <f>SUMPRODUCT(('Coffee Audit'!C2:C2000=B41)*('Coffee Audit'!W2:W2000="⭐ GESHA"))</f>
        <v/>
      </c>
      <c r="F41" s="244">
        <f>IFERROR("S$"&amp;TEXT(AVERAGEIFS('Coffee Audit'!Q2:Q2000,'Coffee Audit'!C2:C2000,B41,'Coffee Audit'!Q2:Q2000,"&gt;0"),"0.00"),"—")</f>
        <v/>
      </c>
      <c r="G41" s="244" t="inlineStr">
        <is>
          <t>No fixed address (pop-up/stand format)</t>
        </is>
      </c>
      <c r="H41" s="244" t="inlineStr">
        <is>
          <t>—</t>
        </is>
      </c>
      <c r="I41" s="244" t="inlineStr">
        <is>
          <t>—</t>
        </is>
      </c>
      <c r="J41" s="244" t="inlineStr">
        <is>
          <t>⚠️ LOW</t>
        </is>
      </c>
      <c r="K41" s="244" t="inlineStr">
        <is>
          <t>Small independent · 2 visits</t>
        </is>
      </c>
    </row>
    <row r="42" ht="13.5" customHeight="1" s="130">
      <c r="B42" s="237" t="inlineStr">
        <is>
          <t>Seniman Coffee Studio</t>
        </is>
      </c>
      <c r="C42" s="238" t="inlineStr">
        <is>
          <t>Ubud, Bali</t>
        </is>
      </c>
      <c r="D42" s="238">
        <f>COUNTIF('Coffee Audit'!C2:C2000,B42)</f>
        <v/>
      </c>
      <c r="E42" s="238">
        <f>SUMPRODUCT(('Coffee Audit'!C2:C2000=B42)*('Coffee Audit'!W2:W2000="⭐ GESHA"))</f>
        <v/>
      </c>
      <c r="F42" s="238">
        <f>IFERROR("S$"&amp;TEXT(AVERAGEIFS('Coffee Audit'!Q2:Q2000,'Coffee Audit'!C2:C2000,B42,'Coffee Audit'!Q2:Q2000,"&gt;0"),"0.00"),"—")</f>
        <v/>
      </c>
      <c r="G42" s="238" t="inlineStr">
        <is>
          <t>Jl. Sriwedari, Ubud, Bali</t>
        </is>
      </c>
      <c r="H42" s="238" t="inlineStr">
        <is>
          <t>@senimancoffee</t>
        </is>
      </c>
      <c r="I42" s="238" t="inlineStr">
        <is>
          <t>senimancoffee.com</t>
        </is>
      </c>
      <c r="J42" s="238" t="inlineStr">
        <is>
          <t>◐ MED</t>
        </is>
      </c>
      <c r="K42" s="238" t="inlineStr">
        <is>
          <t>Archive origin venue · 3 entries</t>
        </is>
      </c>
    </row>
    <row r="43" ht="13.5" customHeight="1" s="130">
      <c r="B43" s="237" t="inlineStr">
        <is>
          <t>Subko Coffee Roasters</t>
        </is>
      </c>
      <c r="C43" s="238" t="inlineStr">
        <is>
          <t>Mumbai</t>
        </is>
      </c>
      <c r="D43" s="238">
        <f>COUNTIF('Coffee Audit'!C2:C2000,B43)</f>
        <v/>
      </c>
      <c r="E43" s="238">
        <f>SUMPRODUCT(('Coffee Audit'!C2:C2000=B43)*('Coffee Audit'!W2:W2000="⭐ GESHA"))</f>
        <v/>
      </c>
      <c r="F43" s="238">
        <f>IFERROR("S$"&amp;TEXT(AVERAGEIFS('Coffee Audit'!Q2:Q2000,'Coffee Audit'!C2:C2000,B43,'Coffee Audit'!Q2:Q2000,"&gt;0"),"0.00"),"—")</f>
        <v/>
      </c>
      <c r="G43" s="238" t="inlineStr">
        <is>
          <t>Bandra/Khar area, Mumbai, India</t>
        </is>
      </c>
      <c r="H43" s="238" t="inlineStr">
        <is>
          <t>@subkocoffee</t>
        </is>
      </c>
      <c r="I43" s="238" t="inlineStr">
        <is>
          <t>subko.coffee</t>
        </is>
      </c>
      <c r="J43" s="238" t="inlineStr">
        <is>
          <t>◐ MED</t>
        </is>
      </c>
      <c r="K43" s="238" t="inlineStr">
        <is>
          <t>City-level verified</t>
        </is>
      </c>
    </row>
    <row r="44" ht="13.5" customHeight="1" s="130">
      <c r="B44" s="237" t="inlineStr">
        <is>
          <t>Grey Soul Coffee Roasters</t>
        </is>
      </c>
      <c r="C44" s="238" t="inlineStr">
        <is>
          <t>Mumbai</t>
        </is>
      </c>
      <c r="D44" s="238">
        <f>COUNTIF('Coffee Audit'!C2:C2000,B44)</f>
        <v/>
      </c>
      <c r="E44" s="238">
        <f>SUMPRODUCT(('Coffee Audit'!C2:C2000=B44)*('Coffee Audit'!W2:W2000="⭐ GESHA"))</f>
        <v/>
      </c>
      <c r="F44" s="238">
        <f>IFERROR("S$"&amp;TEXT(AVERAGEIFS('Coffee Audit'!Q2:Q2000,'Coffee Audit'!C2:C2000,B44,'Coffee Audit'!Q2:Q2000,"&gt;0"),"0.00"),"—")</f>
        <v/>
      </c>
      <c r="G44" s="238" t="inlineStr">
        <is>
          <t>Mumbai, India</t>
        </is>
      </c>
      <c r="H44" s="238" t="inlineStr">
        <is>
          <t>@greysoulcoffee</t>
        </is>
      </c>
      <c r="I44" s="238" t="inlineStr">
        <is>
          <t>—</t>
        </is>
      </c>
      <c r="J44" s="238" t="inlineStr">
        <is>
          <t>◐ MED</t>
        </is>
      </c>
      <c r="K44" s="238" t="inlineStr">
        <is>
          <t>City-level verified</t>
        </is>
      </c>
    </row>
    <row r="45" ht="13.5" customHeight="1" s="130">
      <c r="B45" s="241" t="inlineStr">
        <is>
          <t>Clod Coffee Bar &amp; Roasters</t>
        </is>
      </c>
      <c r="C45" s="242" t="inlineStr">
        <is>
          <t>Johor Bahru</t>
        </is>
      </c>
      <c r="D45" s="242">
        <f>COUNTIF('Coffee Audit'!C2:C2000,B45)</f>
        <v/>
      </c>
      <c r="E45" s="242">
        <f>SUMPRODUCT(('Coffee Audit'!C2:C2000=B45)*('Coffee Audit'!W2:W2000="⭐ GESHA"))</f>
        <v/>
      </c>
      <c r="F45" s="242">
        <f>IFERROR("S$"&amp;TEXT(AVERAGEIFS('Coffee Audit'!Q2:Q2000,'Coffee Audit'!C2:C2000,B45,'Coffee Audit'!Q2:Q2000,"&gt;0"),"0.00"),"—")</f>
        <v/>
      </c>
      <c r="G45" s="242" t="inlineStr">
        <is>
          <t>123, Jln Beringin, Taman Melodies, 80250 JB, Malaysia</t>
        </is>
      </c>
      <c r="H45" s="242" t="inlineStr">
        <is>
          <t>—</t>
        </is>
      </c>
      <c r="I45" s="242" t="inlineStr">
        <is>
          <t>—</t>
        </is>
      </c>
      <c r="J45" s="242" t="inlineStr">
        <is>
          <t>✅ LOCK</t>
        </is>
      </c>
      <c r="K45" s="242" t="inlineStr">
        <is>
          <t>Direct confirmation · cross-border audit</t>
        </is>
      </c>
    </row>
    <row r="46" ht="7.5" customHeight="1" s="130">
      <c r="B46" s="241" t="inlineStr">
        <is>
          <t>Prodigal Roasters</t>
        </is>
      </c>
      <c r="C46" s="242" t="inlineStr">
        <is>
          <t>Singapore</t>
        </is>
      </c>
      <c r="D46" s="242">
        <f>COUNTIF('Coffee Audit'!C2:C2000,B46)</f>
        <v/>
      </c>
      <c r="E46" s="242">
        <f>SUMPRODUCT(('Coffee Audit'!C2:C2000=B46)*('Coffee Audit'!W2:W2000="⭐ GESHA"))</f>
        <v/>
      </c>
      <c r="F46" s="242">
        <f>IFERROR("S$"&amp;TEXT(AVERAGEIFS('Coffee Audit'!Q2:Q2000,'Coffee Audit'!C2:C2000,B46,'Coffee Audit'!Q2:Q2000,"&gt;0"),"0.00"),"—")</f>
        <v/>
      </c>
      <c r="G46" s="242" t="inlineStr">
        <is>
          <t>1 MacTaggart Rd, #02-02, Singapore 368089</t>
        </is>
      </c>
      <c r="H46" s="242" t="inlineStr">
        <is>
          <t>@prodigalroasters</t>
        </is>
      </c>
      <c r="I46" s="242" t="inlineStr">
        <is>
          <t>prodigalroasters.com</t>
        </is>
      </c>
      <c r="J46" s="242" t="inlineStr">
        <is>
          <t>✅ LOCK</t>
        </is>
      </c>
      <c r="K46" s="242" t="inlineStr">
        <is>
          <t>Roastery, not a standalone café — serves visitors by arrangement, no public seating yet. Barista/roaster Jason — 'great conversations' recognition. Same street as Alchemist (Khong Guan Building).</t>
        </is>
      </c>
    </row>
    <row r="47" ht="15.75" customHeight="1" s="130">
      <c r="B47" s="241" t="inlineStr">
        <is>
          <t>Alchemist (Khong Guan Building)</t>
        </is>
      </c>
      <c r="C47" s="242" t="inlineStr">
        <is>
          <t>Singapore</t>
        </is>
      </c>
      <c r="D47" s="242">
        <f>COUNTIF('Coffee Audit'!C2:C2000,B47)</f>
        <v/>
      </c>
      <c r="E47" s="242">
        <f>SUMPRODUCT(('Coffee Audit'!C2:C2000=B47)*('Coffee Audit'!W2:W2000="⭐ GESHA"))</f>
        <v/>
      </c>
      <c r="F47" s="242">
        <f>IFERROR("S$"&amp;TEXT(AVERAGEIFS('Coffee Audit'!Q2:Q2000,'Coffee Audit'!C2:C2000,B47,'Coffee Audit'!Q2:Q2000,"&gt;0"),"0.00"),"—")</f>
        <v/>
      </c>
      <c r="G47" s="242" t="inlineStr">
        <is>
          <t>2 MacTaggart Rd, #01-01 Khong Guan Building, Singapore 368078</t>
        </is>
      </c>
      <c r="H47" s="242" t="inlineStr">
        <is>
          <t>@alchemist.sg</t>
        </is>
      </c>
      <c r="I47" s="242" t="inlineStr">
        <is>
          <t>alchemist.global</t>
        </is>
      </c>
      <c r="J47" s="242" t="inlineStr">
        <is>
          <t>✅ HIGH</t>
        </is>
      </c>
      <c r="K47" s="242" t="inlineStr">
        <is>
          <t>2 visits (24–25 Jul 2026) · full sit-down format with bar seating facing brew station, unlike smaller takeaway Alchemist branches · same street as Prodigal Roasters (MacTaggart Rd)</t>
        </is>
      </c>
    </row>
    <row r="48" ht="13.5" customHeight="1" s="130">
      <c r="B48" s="241" t="inlineStr">
        <is>
          <t>Pour.traits Roasters</t>
        </is>
      </c>
      <c r="C48" s="242" t="inlineStr">
        <is>
          <t>Singapore</t>
        </is>
      </c>
      <c r="D48" s="242">
        <f>COUNTIF('Coffee Audit'!C2:C2000,B48)</f>
        <v/>
      </c>
      <c r="E48" s="242">
        <f>SUMPRODUCT(('Coffee Audit'!C2:C2000=B48)*('Coffee Audit'!W2:W2000="⭐ GESHA"))</f>
        <v/>
      </c>
      <c r="F48" s="242">
        <f>IFERROR("S$"&amp;TEXT(AVERAGEIFS('Coffee Audit'!Q2:Q2000,'Coffee Audit'!C2:C2000,B48,'Coffee Audit'!Q2:Q2000,"&gt;0"),"0.00"),"—")</f>
        <v/>
      </c>
      <c r="G48" s="242" t="inlineStr">
        <is>
          <t>No fixed address (pop-up / roaster residency format)</t>
        </is>
      </c>
      <c r="H48" s="242" t="inlineStr">
        <is>
          <t>@pour.traits</t>
        </is>
      </c>
      <c r="I48" s="242" t="inlineStr">
        <is>
          <t>—</t>
        </is>
      </c>
      <c r="J48" s="242" t="inlineStr">
        <is>
          <t>⚠️ LOW</t>
        </is>
      </c>
      <c r="K48" s="242" t="inlineStr">
        <is>
          <t>🏆 Cup of the Year venue · 3 visits · 2 Gesha · TaoTao (Thailand Brewers Cup Champion, WBRC #7) guest pop-up</t>
        </is>
      </c>
    </row>
    <row r="49" ht="13.5" customHeight="1" s="130">
      <c r="B49" s="241" t="inlineStr">
        <is>
          <t>20 Grams Coffee Roastery</t>
        </is>
      </c>
      <c r="C49" s="242" t="inlineStr">
        <is>
          <t>Singapore</t>
        </is>
      </c>
      <c r="D49" s="242">
        <f>COUNTIF('Coffee Audit'!C2:C2000,B49)</f>
        <v/>
      </c>
      <c r="E49" s="242">
        <f>SUMPRODUCT(('Coffee Audit'!C2:C2000=B49)*('Coffee Audit'!W2:W2000="⭐ GESHA"))</f>
        <v/>
      </c>
      <c r="F49" s="242">
        <f>IFERROR("S$"&amp;TEXT(AVERAGEIFS('Coffee Audit'!Q2:Q2000,'Coffee Audit'!C2:C2000,B49,'Coffee Audit'!Q2:Q2000,"&gt;0"),"0.00"),"—")</f>
        <v/>
      </c>
      <c r="G49" s="242" t="inlineStr">
        <is>
          <t>Unknown — pending confirmation</t>
        </is>
      </c>
      <c r="H49" s="242" t="inlineStr">
        <is>
          <t>@20gramsroastery</t>
        </is>
      </c>
      <c r="I49" s="242" t="inlineStr">
        <is>
          <t>—</t>
        </is>
      </c>
      <c r="J49" s="242" t="inlineStr">
        <is>
          <t>◐ MED</t>
        </is>
      </c>
      <c r="K49" s="242" t="inlineStr">
        <is>
          <t>2 visits · pour-over menu format · relationship to Alchemist pending Hari confirmation</t>
        </is>
      </c>
    </row>
    <row r="50" ht="13.5" customHeight="1" s="130">
      <c r="B50" s="241" t="inlineStr">
        <is>
          <t>Mame (SIGEP Asia booth)</t>
        </is>
      </c>
      <c r="C50" s="242" t="inlineStr">
        <is>
          <t>Singapore</t>
        </is>
      </c>
      <c r="D50" s="242">
        <f>COUNTIF('Coffee Audit'!C2:C2000,B50)</f>
        <v/>
      </c>
      <c r="E50" s="242">
        <f>SUMPRODUCT(('Coffee Audit'!C2:C2000=B50)*('Coffee Audit'!W2:W2000="⭐ GESHA"))</f>
        <v/>
      </c>
      <c r="F50" s="242">
        <f>IFERROR("S$"&amp;TEXT(AVERAGEIFS('Coffee Audit'!Q2:Q2000,'Coffee Audit'!C2:C2000,B50,'Coffee Audit'!Q2:Q2000,"&gt;0"),"0.00"),"—")</f>
        <v/>
      </c>
      <c r="G50" s="242" t="inlineStr">
        <is>
          <t>Sands Expo &amp; Convention Centre (SIGEP Asia 2026 — event booth, not permanent)</t>
        </is>
      </c>
      <c r="H50" s="242" t="inlineStr">
        <is>
          <t>@mame.coffee</t>
        </is>
      </c>
      <c r="I50" s="242" t="inlineStr">
        <is>
          <t>—</t>
        </is>
      </c>
      <c r="J50" s="242" t="inlineStr">
        <is>
          <t>✅ LOCK</t>
        </is>
      </c>
      <c r="K50" s="242" t="inlineStr">
        <is>
          <t>Festival booth · Bambito Estate Panama Geisha Washed S$16 · Entry #066 · event format, not a standing venue</t>
        </is>
      </c>
    </row>
    <row r="51" ht="13.5" customHeight="1" s="130">
      <c r="B51" s="241" t="inlineStr">
        <is>
          <t>Alchemist (Funan)</t>
        </is>
      </c>
      <c r="C51" s="242" t="inlineStr">
        <is>
          <t>Singapore</t>
        </is>
      </c>
      <c r="D51" s="242">
        <f>COUNTIF('Coffee Audit'!C2:C2000,B51)</f>
        <v/>
      </c>
      <c r="E51" s="242">
        <f>SUMPRODUCT(('Coffee Audit'!C2:C2000=B51)*('Coffee Audit'!W2:W2000="⭐ GESHA"))</f>
        <v/>
      </c>
      <c r="F51" s="242">
        <f>IFERROR("S$"&amp;TEXT(AVERAGEIFS('Coffee Audit'!Q2:Q2000,'Coffee Audit'!C2:C2000,B51,'Coffee Audit'!Q2:Q2000,"&gt;0"),"0.00"),"—")</f>
        <v/>
      </c>
      <c r="G51" s="242" t="inlineStr">
        <is>
          <t>107 N Bridge Rd, #01-01, Singapore 179105</t>
        </is>
      </c>
      <c r="H51" s="242" t="inlineStr">
        <is>
          <t>@alchemist.sg</t>
        </is>
      </c>
      <c r="I51" s="242" t="inlineStr">
        <is>
          <t>alchemist.global</t>
        </is>
      </c>
      <c r="J51" s="242" t="inlineStr">
        <is>
          <t>✅ LOCK</t>
        </is>
      </c>
      <c r="K51" s="242" t="inlineStr">
        <is>
          <t>10th-anniversary Las Margaritas Geisha (Entry #074) · Funan Mall · stainless steel V60 debut · plastic takeaway cup at S$10.50 price point</t>
        </is>
      </c>
    </row>
    <row r="52" ht="13.5" customHeight="1" s="130">
      <c r="B52" s="241" t="inlineStr">
        <is>
          <t>Double Shot Coffee (Shenton Way)</t>
        </is>
      </c>
      <c r="C52" s="242" t="inlineStr">
        <is>
          <t>Singapore</t>
        </is>
      </c>
      <c r="D52" s="242">
        <f>COUNTIF('Coffee Audit'!C2:C2000,B52)</f>
        <v/>
      </c>
      <c r="E52" s="242">
        <f>SUMPRODUCT(('Coffee Audit'!C2:C2000=B52)*('Coffee Audit'!W2:W2000="⭐ GESHA"))</f>
        <v/>
      </c>
      <c r="F52" s="242">
        <f>IFERROR("S$"&amp;TEXT(AVERAGEIFS('Coffee Audit'!Q2:Q2000,'Coffee Audit'!C2:C2000,B52,'Coffee Audit'!Q2:Q2000,"&gt;0"),"0.00"),"—")</f>
        <v/>
      </c>
      <c r="G52" s="242" t="inlineStr">
        <is>
          <t>70 Shenton Way, #01-05, Eon Shenton, Singapore 079118</t>
        </is>
      </c>
      <c r="H52" s="242" t="inlineStr">
        <is>
          <t>—</t>
        </is>
      </c>
      <c r="I52" s="242" t="inlineStr">
        <is>
          <t>dblshotcoffee.com</t>
        </is>
      </c>
      <c r="J52" s="242" t="inlineStr">
        <is>
          <t>✅ HIGH</t>
        </is>
      </c>
      <c r="K52" s="242" t="inlineStr">
        <is>
          <t>Second Double Shot branch in archive · Kampong Bahru logged separately · concentrated 1:13.x house ratio confirmed chain-wide · EK43 S + OREA flat-bottom · same building as Abseil (#01-14) · food-free, small unit, mostly outdoor bench seating</t>
        </is>
      </c>
    </row>
    <row r="53" ht="13.5" customHeight="1" s="130">
      <c r="B53" s="241" t="inlineStr">
        <is>
          <t>Kōhī Roastery + Coffee Bar</t>
        </is>
      </c>
      <c r="C53" s="242" t="inlineStr">
        <is>
          <t>Singapore</t>
        </is>
      </c>
      <c r="D53" s="242">
        <f>COUNTIF('Coffee Audit'!C2:C2000,B53)</f>
        <v/>
      </c>
      <c r="E53" s="242">
        <f>SUMPRODUCT(('Coffee Audit'!C2:C2000=B53)*('Coffee Audit'!W2:W2000="⭐ GESHA"))</f>
        <v/>
      </c>
      <c r="F53" s="242">
        <f>IFERROR("S$"&amp;TEXT(AVERAGEIFS('Coffee Audit'!Q2:Q2000,'Coffee Audit'!C2:C2000,B53,'Coffee Audit'!Q2:Q2000,"&gt;0"),"0.00"),"—")</f>
        <v/>
      </c>
      <c r="G53" s="242" t="inlineStr">
        <is>
          <t>Unknown — outlet not confirmed (5 Shenton Way #01-01 UIC Bldg S068808 · 432 Joo Chiat Rd S427647)</t>
        </is>
      </c>
      <c r="H53" s="242" t="inlineStr">
        <is>
          <t>@kohi_sg</t>
        </is>
      </c>
      <c r="I53" s="242" t="inlineStr">
        <is>
          <t>kohi-roastery.com</t>
        </is>
      </c>
      <c r="J53" s="242" t="inlineStr">
        <is>
          <t>◐ MED</t>
        </is>
      </c>
      <c r="K53" s="242" t="inlineStr">
        <is>
          <t>Bangkok-origin roaster · first visit 07 Aug 2026 (Uganda Rwenzori Kisinga, Entry #078) · Monday morning Gesha pop-up flagged · outlet pending Hari confirmation</t>
        </is>
      </c>
    </row>
    <row r="54" ht="13.5" customHeight="1" s="130">
      <c r="B54" s="241" t="inlineStr">
        <is>
          <t>Grey Area Coffee Roasters</t>
        </is>
      </c>
      <c r="C54" s="242" t="inlineStr">
        <is>
          <t>Singapore</t>
        </is>
      </c>
      <c r="D54" s="242">
        <f>COUNTIF('Coffee Audit'!C2:C2000,B54)</f>
        <v/>
      </c>
      <c r="E54" s="242">
        <f>SUMPRODUCT(('Coffee Audit'!C2:C2000=B54)*('Coffee Audit'!W2:W2000="⭐ GESHA"))</f>
        <v/>
      </c>
      <c r="F54" s="242">
        <f>IFERROR("S$"&amp;TEXT(AVERAGEIFS('Coffee Audit'!Q2:Q2000,'Coffee Audit'!C2:C2000,B54,'Coffee Audit'!Q2:Q2000,"&gt;0"),"0.00"),"—")</f>
        <v/>
      </c>
      <c r="G54" s="242" t="inlineStr">
        <is>
          <t>13 Kampong Bahru Rd, Singapore 169345</t>
        </is>
      </c>
      <c r="H54" s="242" t="inlineStr">
        <is>
          <t>@greyarea.sg</t>
        </is>
      </c>
      <c r="I54" s="242" t="inlineStr">
        <is>
          <t>— (Facebook page only)</t>
        </is>
      </c>
      <c r="J54" s="242" t="inlineStr">
        <is>
          <t>✅ HIGH</t>
        </is>
      </c>
      <c r="K54" s="242" t="inlineStr">
        <is>
          <t>First visit 12 Aug 2026 (La Papaya TM, Entry #081) · founded by Xiang Sheng &amp; Luke, both ex-Alchemist Coffee · roasts in-house · Solo Dripper house brewer, V60 reserved for iced · closed Tuesdays</t>
        </is>
      </c>
    </row>
    <row r="55" ht="13.5" customHeight="1" s="130">
      <c r="B55" s="241" t="inlineStr">
        <is>
          <t>Suzuki Cafe &amp; Roastery</t>
        </is>
      </c>
      <c r="C55" s="242" t="inlineStr">
        <is>
          <t>Singapore</t>
        </is>
      </c>
      <c r="D55" s="242">
        <f>COUNTIF('Coffee Audit'!C2:C2000,B55)</f>
        <v/>
      </c>
      <c r="E55" s="242">
        <f>SUMPRODUCT(('Coffee Audit'!C2:C2000=B55)*('Coffee Audit'!W2:W2000="⭐ GESHA"))</f>
        <v/>
      </c>
      <c r="F55" s="242">
        <f>IFERROR("S$"&amp;TEXT(AVERAGEIFS('Coffee Audit'!Q2:Q2000,'Coffee Audit'!C2:C2000,B55,'Coffee Audit'!Q2:Q2000,"&gt;0"),"0.00"),"—")</f>
        <v/>
      </c>
      <c r="G55" s="242" t="inlineStr">
        <is>
          <t>8 Chin Bee Ave, Singapore 619932</t>
        </is>
      </c>
      <c r="H55" s="242" t="inlineStr">
        <is>
          <t>@suzukicoffee</t>
        </is>
      </c>
      <c r="I55" s="242" t="inlineStr">
        <is>
          <t>suzukicoffee.com.sg</t>
        </is>
      </c>
      <c r="J55" s="242" t="inlineStr">
        <is>
          <t>✅ HIGH</t>
        </is>
      </c>
      <c r="K55" s="242" t="inlineStr">
        <is>
          <t>First visit 15 Aug 2026 (Entries #082–#083) · Boon Lay industrial estate, Kyoto-teahouse interior · roasting since 1979, Sumiyaki charcoal lineage traced to Kiyoshi Suzuki's 1944 Tokyo kissaten · numbered filter selection with bean cards + house flavour map · EK43S + Hario V60 Glass at 1:15 / 92°C · two cups clean back-to-back at peak rush</t>
        </is>
      </c>
    </row>
    <row r="56" ht="13.5" customHeight="1" s="130">
      <c r="B56" s="245" t="inlineStr">
        <is>
          <t>Sweet Blossom Coffee Roasters</t>
        </is>
      </c>
      <c r="C56" s="246" t="inlineStr">
        <is>
          <t>Johor Bahru</t>
        </is>
      </c>
      <c r="D56" s="246">
        <f>COUNTIF('Coffee Audit'!C2:C2000,B56)</f>
        <v/>
      </c>
      <c r="E56" s="246">
        <f>SUMPRODUCT(('Coffee Audit'!C2:C2000=B56)*('Coffee Audit'!W2:W2000="⭐ GESHA"))</f>
        <v/>
      </c>
      <c r="F56" s="246">
        <f>IFERROR("S$"&amp;TEXT(AVERAGEIFS('Coffee Audit'!Q2:Q2000,'Coffee Audit'!C2:C2000,B56,'Coffee Audit'!Q2:Q2000,"&gt;0"),"0.00"),"—")</f>
        <v/>
      </c>
      <c r="G56" s="246" t="inlineStr">
        <is>
          <t>28 Jalan Maju, Taman Pelangi, 80400 Johor Bahru, Malaysia</t>
        </is>
      </c>
      <c r="H56" s="246" t="inlineStr">
        <is>
          <t>@sweetblossomcoffee</t>
        </is>
      </c>
      <c r="I56" s="246" t="inlineStr">
        <is>
          <t>—</t>
        </is>
      </c>
      <c r="J56" s="246" t="inlineStr">
        <is>
          <t>✅ LOCK</t>
        </is>
      </c>
      <c r="K56" s="246" t="inlineStr">
        <is>
          <t>First visit 22 Aug 2026 (Entries #084–#085) · coffee-only, no food · EK43 98mm · four-hole restricted-base cone · baristas Grace + one unnamed</t>
        </is>
      </c>
    </row>
    <row r="57" ht="13.5" customHeight="1" s="130">
      <c r="B57" s="245" t="inlineStr">
        <is>
          <t>August Drip Coffee</t>
        </is>
      </c>
      <c r="C57" s="246" t="inlineStr">
        <is>
          <t>Johor Bahru</t>
        </is>
      </c>
      <c r="D57" s="246">
        <f>COUNTIF('Coffee Audit'!C2:C2000,B57)</f>
        <v/>
      </c>
      <c r="E57" s="246">
        <f>SUMPRODUCT(('Coffee Audit'!C2:C2000=B57)*('Coffee Audit'!W2:W2000="⭐ GESHA"))</f>
        <v/>
      </c>
      <c r="F57" s="246">
        <f>IFERROR("S$"&amp;TEXT(AVERAGEIFS('Coffee Audit'!Q2:Q2000,'Coffee Audit'!C2:C2000,B57,'Coffee Audit'!Q2:Q2000,"&gt;0"),"0.00"),"—")</f>
        <v/>
      </c>
      <c r="G57" s="246" t="inlineStr">
        <is>
          <t>211 Jalan Dato Sulaiman, Taman Abad, 80250 Johor Bahru, Malaysia</t>
        </is>
      </c>
      <c r="H57" s="246" t="inlineStr">
        <is>
          <t>@augustdripcoffee</t>
        </is>
      </c>
      <c r="I57" s="246" t="inlineStr">
        <is>
          <t>—</t>
        </is>
      </c>
      <c r="J57" s="246" t="inlineStr">
        <is>
          <t>✅ LOCK</t>
        </is>
      </c>
      <c r="K57" s="246" t="inlineStr">
        <is>
          <t>First visit 22 Aug 2026 (Entry #086) · JIA Coffee House Sdn Bhd · 10+ Gesha lots on bar · co-owner Pei — full-immersion switch protocol · default JB venue</t>
        </is>
      </c>
    </row>
    <row r="58" ht="59.25" customHeight="1" s="130">
      <c r="B58" s="129" t="n"/>
    </row>
    <row r="59" ht="39.75" customHeight="1" s="130">
      <c r="B59" s="200" t="inlineStr">
        <is>
          <t xml:space="preserve">  🔑  ADDRESS VERIFICATION LEGEND</t>
        </is>
      </c>
    </row>
    <row r="60" ht="39.75" customHeight="1" s="130">
      <c r="B60" s="204" t="inlineStr">
        <is>
          <t>Badge</t>
        </is>
      </c>
      <c r="C60" s="204" t="inlineStr">
        <is>
          <t>Meaning</t>
        </is>
      </c>
      <c r="D60" s="204" t="inlineStr">
        <is>
          <t>Sources used</t>
        </is>
      </c>
    </row>
    <row r="61" ht="39.75" customHeight="1" s="130">
      <c r="B61" s="223" t="inlineStr">
        <is>
          <t>✅ LOCK</t>
        </is>
      </c>
      <c r="C61" s="224" t="inlineStr">
        <is>
          <t>Direct confirmation by Hari — overrides all AI sources</t>
        </is>
      </c>
      <c r="D61" s="224" t="inlineStr">
        <is>
          <t>Personal visit + direct recall</t>
        </is>
      </c>
    </row>
    <row r="62" ht="39.75" customHeight="1" s="130">
      <c r="B62" s="209" t="inlineStr">
        <is>
          <t>✅ HIGH</t>
        </is>
      </c>
      <c r="C62" s="210" t="inlineStr">
        <is>
          <t>2+ independent sources agree</t>
        </is>
      </c>
      <c r="D62" s="210" t="inlineStr">
        <is>
          <t>SuperGrok + ChatGPT / Gemini / Project Knowledge</t>
        </is>
      </c>
    </row>
    <row r="63" ht="39.75" customHeight="1" s="130">
      <c r="B63" s="215" t="inlineStr">
        <is>
          <t>◐ MED</t>
        </is>
      </c>
      <c r="C63" s="216" t="inlineStr">
        <is>
          <t>1 source only or area-level verified</t>
        </is>
      </c>
      <c r="D63" s="216" t="inlineStr">
        <is>
          <t>Single source or archive observation primary</t>
        </is>
      </c>
    </row>
    <row r="64" ht="40.25" customHeight="1" s="130">
      <c r="B64" s="229" t="inlineStr">
        <is>
          <t>⚠️ LOW</t>
        </is>
      </c>
      <c r="C64" s="230" t="inlineStr">
        <is>
          <t>No fixed address — pop-up or micro-independent</t>
        </is>
      </c>
      <c r="D64" s="230" t="inlineStr">
        <is>
          <t>Archive visit record only</t>
        </is>
      </c>
    </row>
  </sheetData>
  <mergeCells count="5">
    <mergeCell ref="B4:L4"/>
    <mergeCell ref="B58:L58"/>
    <mergeCell ref="B11:L11"/>
    <mergeCell ref="B2:L2"/>
    <mergeCell ref="B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546E7A"/>
    <outlinePr summaryBelow="1" summaryRight="1"/>
    <pageSetUpPr fitToPage="0"/>
  </sheetPr>
  <dimension ref="B1:J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129" min="1" max="1"/>
    <col width="5" customWidth="1" style="129" min="2" max="2"/>
    <col width="65" customWidth="1" style="129" min="3" max="3"/>
  </cols>
  <sheetData>
    <row r="1" ht="21.75" customHeight="1" s="130">
      <c r="B1" s="198" t="inlineStr">
        <is>
          <t>📖  LEGEND &amp; MAINTENANCE GUIDE</t>
        </is>
      </c>
    </row>
    <row r="2" ht="13.5" customHeight="1" s="130">
      <c r="B2" s="236" t="inlineStr">
        <is>
          <t>How to read, how to maintain, and how to grow this archive</t>
        </is>
      </c>
    </row>
    <row r="3" ht="6" customHeight="1" s="130"/>
    <row r="4" ht="15.75" customHeight="1" s="130">
      <c r="B4" s="200" t="inlineStr">
        <is>
          <t xml:space="preserve">  🎨  COLOUR LEGEND  —  Coffee Audit sheet</t>
        </is>
      </c>
    </row>
    <row r="5" ht="15.75" customHeight="1" s="130">
      <c r="B5" s="204" t="inlineStr">
        <is>
          <t>Colour</t>
        </is>
      </c>
      <c r="C5" s="204" t="inlineStr">
        <is>
          <t>Meaning</t>
        </is>
      </c>
    </row>
    <row r="6" ht="12.75" customHeight="1" s="130">
      <c r="B6" s="247" t="n"/>
      <c r="C6" s="248" t="inlineStr">
        <is>
          <t>Even-row banding — auto conditional formatting</t>
        </is>
      </c>
    </row>
    <row r="7" ht="12.75" customHeight="1" s="130">
      <c r="B7" s="249" t="n"/>
      <c r="C7" s="248" t="inlineStr">
        <is>
          <t>Odd-row banding — auto conditional formatting</t>
        </is>
      </c>
    </row>
    <row r="8" ht="12.75" customHeight="1" s="130">
      <c r="B8" s="250" t="n"/>
      <c r="C8" s="248" t="inlineStr">
        <is>
          <t>⭐ GESHA row — auto-applied when Varietal contains Gesha or Geisha</t>
        </is>
      </c>
    </row>
    <row r="9" ht="12.75" customHeight="1" s="130">
      <c r="B9" s="251" t="n"/>
      <c r="C9" s="248" t="inlineStr">
        <is>
          <t>Header row — dark espresso with cream text</t>
        </is>
      </c>
    </row>
    <row r="10" ht="7.5" customHeight="1" s="130"/>
    <row r="11" ht="15.75" customHeight="1" s="130">
      <c r="B11" s="200" t="inlineStr">
        <is>
          <t xml:space="preserve">  🛠️  HOW TO ADD A NEW ENTRY  —  7 steps, keeps everything live</t>
        </is>
      </c>
    </row>
    <row r="12" ht="19.5" customHeight="1" s="130">
      <c r="B12" s="232" t="inlineStr">
        <is>
          <t>1.  Add the new row directly below the last entry on the Coffee Audit sheet — columns A through V (22 data columns).</t>
        </is>
      </c>
      <c r="C12" s="219" t="n"/>
      <c r="D12" s="219" t="n"/>
      <c r="E12" s="219" t="n"/>
      <c r="F12" s="219" t="n"/>
      <c r="G12" s="219" t="n"/>
      <c r="H12" s="219" t="n"/>
      <c r="I12" s="219" t="n"/>
    </row>
    <row r="13" ht="19.5" customHeight="1" s="130">
      <c r="B13" s="233" t="inlineStr">
        <is>
          <t>2.  Copy the Gesha_Alert formula (column W) down from the row above — it self-detects any Gesha or Geisha variant spelling.</t>
        </is>
      </c>
      <c r="C13" s="219" t="n"/>
      <c r="D13" s="219" t="n"/>
      <c r="E13" s="219" t="n"/>
      <c r="F13" s="219" t="n"/>
      <c r="G13" s="219" t="n"/>
      <c r="H13" s="219" t="n"/>
      <c r="I13" s="219" t="n"/>
    </row>
    <row r="14" ht="19.5" customHeight="1" s="130">
      <c r="B14" s="232" t="inlineStr">
        <is>
          <t>3.  Row colours (blue/yellow banding and Gesha purple) apply automatically via conditional formatting — no manual fill needed.</t>
        </is>
      </c>
      <c r="C14" s="219" t="n"/>
      <c r="D14" s="219" t="n"/>
      <c r="E14" s="219" t="n"/>
      <c r="F14" s="219" t="n"/>
      <c r="G14" s="219" t="n"/>
      <c r="H14" s="219" t="n"/>
      <c r="I14" s="219" t="n"/>
    </row>
    <row r="15" ht="19.5" customHeight="1" s="130">
      <c r="B15" s="233" t="inlineStr">
        <is>
          <t>4.  The Dashboard KPI tiles, all formula tables, Café Directory counts, Price &amp; Value stats, and Origin league tables all scan to row 2000 and update instantly.</t>
        </is>
      </c>
      <c r="C15" s="219" t="n"/>
      <c r="D15" s="219" t="n"/>
      <c r="E15" s="219" t="n"/>
      <c r="F15" s="219" t="n"/>
      <c r="G15" s="219" t="n"/>
      <c r="H15" s="219" t="n"/>
      <c r="I15" s="219" t="n"/>
    </row>
    <row r="16" ht="19.5" customHeight="1" s="130">
      <c r="B16" s="232" t="inlineStr">
        <is>
          <t>5.  Enter Price, Dose and Yield as plain numbers where known. Text "Unknown" is safely ignored by all statistical formulas.</t>
        </is>
      </c>
      <c r="C16" s="219" t="n"/>
      <c r="D16" s="219" t="n"/>
      <c r="E16" s="219" t="n"/>
      <c r="F16" s="219" t="n"/>
      <c r="G16" s="219" t="n"/>
      <c r="H16" s="219" t="n"/>
      <c r="I16" s="219" t="n"/>
    </row>
    <row r="17" ht="19.5" customHeight="1" s="130">
      <c r="B17" s="233" t="inlineStr">
        <is>
          <t>6.  New café not in the Directory? Add one row to the Café Directory table with the exact café name matching column C of the Coffee Audit sheet — live counts update immediately.</t>
        </is>
      </c>
      <c r="C17" s="219" t="n"/>
      <c r="D17" s="219" t="n"/>
      <c r="E17" s="219" t="n"/>
      <c r="F17" s="219" t="n"/>
      <c r="G17" s="219" t="n"/>
      <c r="H17" s="219" t="n"/>
      <c r="I17" s="219" t="n"/>
    </row>
    <row r="18" ht="19.5" customHeight="1" s="130">
      <c r="B18" s="232" t="inlineStr">
        <is>
          <t>7.  Editorial panels (Archive Thesis, Honours Board, Gesha Hall of Fame, Extraction Laws) are curated by hand — update these after milestone visits or at each month's end.</t>
        </is>
      </c>
      <c r="C18" s="219" t="n"/>
      <c r="D18" s="219" t="n"/>
      <c r="E18" s="219" t="n"/>
      <c r="F18" s="219" t="n"/>
      <c r="G18" s="219" t="n"/>
      <c r="H18" s="219" t="n"/>
      <c r="I18" s="219" t="n"/>
    </row>
    <row r="19" ht="7.5" customHeight="1" s="130"/>
    <row r="20" ht="15.75" customHeight="1" s="130">
      <c r="B20" s="200" t="inlineStr">
        <is>
          <t xml:space="preserve">  📜  ARCHIVE INTEGRITY RULES</t>
        </is>
      </c>
    </row>
    <row r="21" ht="18" customHeight="1" s="130">
      <c r="B21" s="252" t="inlineStr">
        <is>
          <t>Uploaded files are the authoritative baseline — entries are appended, never reconstructed from memory.</t>
        </is>
      </c>
      <c r="C21" s="219" t="n"/>
      <c r="D21" s="219" t="n"/>
      <c r="E21" s="219" t="n"/>
      <c r="F21" s="219" t="n"/>
      <c r="G21" s="219" t="n"/>
      <c r="H21" s="219" t="n"/>
      <c r="I21" s="219" t="n"/>
    </row>
    <row r="22" ht="18" customHeight="1" s="130">
      <c r="B22" s="253" t="inlineStr">
        <is>
          <t>Source hierarchy: receipts + bean card photos &gt; barista confirmation &gt; café DM response &gt; direct observation &gt; AI reconstruction.</t>
        </is>
      </c>
      <c r="C22" s="219" t="n"/>
      <c r="D22" s="219" t="n"/>
      <c r="E22" s="219" t="n"/>
      <c r="F22" s="219" t="n"/>
      <c r="G22" s="219" t="n"/>
      <c r="H22" s="219" t="n"/>
      <c r="I22" s="219" t="n"/>
    </row>
    <row r="23" ht="18" customHeight="1" s="130">
      <c r="B23" s="252" t="inlineStr">
        <is>
          <t>No silent corrections — all data discrepancies must be flagged explicitly before any correction is applied.</t>
        </is>
      </c>
      <c r="C23" s="219" t="n"/>
      <c r="D23" s="219" t="n"/>
      <c r="E23" s="219" t="n"/>
      <c r="F23" s="219" t="n"/>
      <c r="G23" s="219" t="n"/>
      <c r="H23" s="219" t="n"/>
      <c r="I23" s="219" t="n"/>
    </row>
    <row r="24" ht="18" customHeight="1" s="130">
      <c r="B24" s="253" t="inlineStr">
        <is>
          <t>Barista confirmation overrides visual inference for hardware identification.</t>
        </is>
      </c>
      <c r="C24" s="219" t="n"/>
      <c r="D24" s="219" t="n"/>
      <c r="E24" s="219" t="n"/>
      <c r="F24" s="219" t="n"/>
      <c r="G24" s="219" t="n"/>
      <c r="H24" s="219" t="n"/>
      <c r="I24" s="219" t="n"/>
    </row>
    <row r="25" ht="18" customHeight="1" s="130">
      <c r="B25" s="252" t="inlineStr">
        <is>
          <t>Gesha spelling: "Gesha" (botanically accurate) and "Geisha" (Panamanian commercial) — archive uses whichever appears on the bean card as authoritative.</t>
        </is>
      </c>
      <c r="C25" s="219" t="n"/>
      <c r="D25" s="219" t="n"/>
      <c r="E25" s="219" t="n"/>
      <c r="F25" s="219" t="n"/>
      <c r="G25" s="219" t="n"/>
      <c r="H25" s="219" t="n"/>
      <c r="I25" s="219" t="n"/>
    </row>
    <row r="26" ht="18" customHeight="1" s="130">
      <c r="B26" s="253" t="inlineStr">
        <is>
          <t>Primary sensory record from Entry #031 onward: sensory notes are the archive record; brew parameters logged only when barista offers or they are observable.</t>
        </is>
      </c>
      <c r="C26" s="219" t="n"/>
      <c r="D26" s="219" t="n"/>
      <c r="E26" s="219" t="n"/>
      <c r="F26" s="219" t="n"/>
      <c r="G26" s="219" t="n"/>
      <c r="H26" s="219" t="n"/>
      <c r="I26" s="219" t="n"/>
    </row>
    <row r="27" ht="18" customHeight="1" s="130">
      <c r="B27" s="252" t="inlineStr">
        <is>
          <t>The archive records one palate only — external roaster or barista tasting notes are reference, never overwrite Hari's direct observation.</t>
        </is>
      </c>
      <c r="C27" s="219" t="n"/>
      <c r="D27" s="219" t="n"/>
      <c r="E27" s="219" t="n"/>
      <c r="F27" s="219" t="n"/>
      <c r="G27" s="219" t="n"/>
      <c r="H27" s="219" t="n"/>
      <c r="I27" s="219" t="n"/>
    </row>
    <row r="28" ht="18" customHeight="1" s="130">
      <c r="B28" s="253" t="inlineStr">
        <is>
          <t>N/A vs Unknown: "Unknown" = data exists but was not captured; "N/A" with reason = structurally inapplicable (e.g. batch-dispensed format).</t>
        </is>
      </c>
      <c r="C28" s="219" t="n"/>
      <c r="D28" s="219" t="n"/>
      <c r="E28" s="219" t="n"/>
      <c r="F28" s="219" t="n"/>
      <c r="G28" s="219" t="n"/>
      <c r="H28" s="219" t="n"/>
      <c r="I28" s="219" t="n"/>
    </row>
    <row r="29" ht="18" customHeight="1" s="130">
      <c r="B29" s="252" t="inlineStr">
        <is>
          <t>Address verification tiers: ✅ LOCK (direct confirmation) &gt; ✅ HIGH (2+ sources) &gt; ◐ MED (area-level) &gt; ⚠️ LOW (archive only).</t>
        </is>
      </c>
      <c r="C29" s="219" t="n"/>
      <c r="D29" s="219" t="n"/>
      <c r="E29" s="219" t="n"/>
      <c r="F29" s="219" t="n"/>
      <c r="G29" s="219" t="n"/>
      <c r="H29" s="219" t="n"/>
      <c r="I29" s="219" t="n"/>
    </row>
  </sheetData>
  <mergeCells count="21">
    <mergeCell ref="B11:J11"/>
    <mergeCell ref="B25:I25"/>
    <mergeCell ref="B16:I16"/>
    <mergeCell ref="B22:I22"/>
    <mergeCell ref="B1:J1"/>
    <mergeCell ref="B27:I27"/>
    <mergeCell ref="B12:I12"/>
    <mergeCell ref="B18:I18"/>
    <mergeCell ref="B21:I21"/>
    <mergeCell ref="B14:I14"/>
    <mergeCell ref="B23:I23"/>
    <mergeCell ref="B17:I17"/>
    <mergeCell ref="B13:I13"/>
    <mergeCell ref="B20:J20"/>
    <mergeCell ref="B29:I29"/>
    <mergeCell ref="B28:I28"/>
    <mergeCell ref="B4:J4"/>
    <mergeCell ref="B15:I15"/>
    <mergeCell ref="B24:I24"/>
    <mergeCell ref="B2:J2"/>
    <mergeCell ref="B26:I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9E9E9E"/>
    <outlinePr summaryBelow="1" summaryRight="1"/>
    <pageSetUpPr fitToPage="0"/>
  </sheetPr>
  <dimension ref="A2:F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29" min="1" max="2"/>
    <col width="14" customWidth="1" style="129" min="3" max="3"/>
    <col width="16" customWidth="1" style="129" min="4" max="4"/>
    <col width="58" customWidth="1" style="129" min="5" max="5"/>
  </cols>
  <sheetData>
    <row r="2" ht="15" customHeight="1" s="130">
      <c r="A2" s="254" t="inlineStr">
        <is>
          <t>Consolidation Summary</t>
        </is>
      </c>
    </row>
    <row r="3" ht="15" customHeight="1" s="130">
      <c r="A3" s="254" t="inlineStr">
        <is>
          <t>Total unique entries</t>
        </is>
      </c>
      <c r="B3" s="255">
        <f>COUNTA('Coffee Audit'!A2:A2000)</f>
        <v/>
      </c>
    </row>
    <row r="4" ht="15" customHeight="1" s="130">
      <c r="A4" s="254" t="inlineStr">
        <is>
          <t>Merged (both sources)</t>
        </is>
      </c>
      <c r="B4" s="255" t="n">
        <v>15</v>
      </c>
    </row>
    <row r="5" ht="15" customHeight="1" s="130">
      <c r="A5" s="254" t="inlineStr">
        <is>
          <t>ChatGPT-only (new)</t>
        </is>
      </c>
      <c r="B5" s="255" t="n">
        <v>8</v>
      </c>
    </row>
    <row r="6" ht="15" customHeight="1" s="130">
      <c r="A6" s="254" t="inlineStr">
        <is>
          <t>Gemini-only (retained)</t>
        </is>
      </c>
      <c r="B6" s="255" t="n">
        <v>5</v>
      </c>
    </row>
    <row r="7" ht="15" customHeight="1" s="130">
      <c r="A7" s="254" t="inlineStr">
        <is>
          <t>Cities covered</t>
        </is>
      </c>
      <c r="B7" s="255">
        <f>SUMPRODUCT(('Coffee Audit'!B2:B2000&lt;&gt;"")/COUNTIF('Coffee Audit'!B2:B2000,'Coffee Audit'!B2:B2000&amp;""))</f>
        <v/>
      </c>
    </row>
    <row r="8" ht="15" customHeight="1" s="130">
      <c r="A8" s="254" t="inlineStr">
        <is>
          <t>Unique cafes</t>
        </is>
      </c>
      <c r="B8" s="255">
        <f>SUMPRODUCT(('Coffee Audit'!C2:C2000&lt;&gt;"")/COUNTIF('Coffee Audit'!C2:C2000,'Coffee Audit'!C2:C2000&amp;""))</f>
        <v/>
      </c>
    </row>
    <row r="9" ht="15" customHeight="1" s="130">
      <c r="A9" s="254" t="inlineStr">
        <is>
          <t>Date range</t>
        </is>
      </c>
      <c r="B9" s="255">
        <f>TEXT(MIN('Coffee Audit'!A2:A2000),"YYYY-MM-DD")&amp;"  →  "&amp;TEXT(MAX('Coffee Audit'!A2:A2000),"YYYY-MM-DD")</f>
        <v/>
      </c>
    </row>
    <row r="11" ht="16.5" customHeight="1" s="130">
      <c r="B11" s="256" t="inlineStr">
        <is>
          <t xml:space="preserve">  🛡️  ARCHIVE INTEGRITY MONITOR  —  self-auditing; re-evaluates on every open</t>
        </is>
      </c>
    </row>
    <row r="12" ht="15" customHeight="1" s="130">
      <c r="B12" s="158" t="inlineStr">
        <is>
          <t>Check</t>
        </is>
      </c>
      <c r="C12" s="158" t="inlineStr">
        <is>
          <t>Result</t>
        </is>
      </c>
      <c r="D12" s="158" t="inlineStr">
        <is>
          <t>Status</t>
        </is>
      </c>
      <c r="E12" s="158" t="inlineStr">
        <is>
          <t>What it protects against</t>
        </is>
      </c>
    </row>
    <row r="13" ht="12.75" customHeight="1" s="130">
      <c r="B13" s="185" t="inlineStr">
        <is>
          <t>Row count</t>
        </is>
      </c>
      <c r="C13" s="171">
        <f>COUNTA('Coffee Audit'!A2:A2000)</f>
        <v/>
      </c>
      <c r="D13" s="169">
        <f>IF(COUNTA('Coffee Audit'!A2:A2000)&gt;0,"✅ OK","🚨 EMPTY")</f>
        <v/>
      </c>
      <c r="E13" s="222" t="inlineStr">
        <is>
          <t>Blank or truncated data block</t>
        </is>
      </c>
    </row>
    <row r="14" ht="12.75" customHeight="1" s="130">
      <c r="B14" s="188" t="inlineStr">
        <is>
          <t>Gesha flag integrity</t>
        </is>
      </c>
      <c r="C14" s="166">
        <f>SUMPRODUCT((('Coffee Audit'!W2:W2000="⭐ GESHA")&lt;&gt;(ISNUMBER(SEARCH("gesha",'Coffee Audit'!G2:G2000&amp;""))+ISNUMBER(SEARCH("geisha",'Coffee Audit'!G2:G2000&amp;""))&gt;0))*('Coffee Audit'!A2:A2000&lt;&gt;""))</f>
        <v/>
      </c>
      <c r="D14" s="164">
        <f>IF(SUMPRODUCT((('Coffee Audit'!W2:W2000="⭐ GESHA")&lt;&gt;(ISNUMBER(SEARCH("gesha",'Coffee Audit'!G2:G2000&amp;""))+ISNUMBER(SEARCH("geisha",'Coffee Audit'!G2:G2000&amp;""))&gt;0))*('Coffee Audit'!A2:A2000&lt;&gt;""))=0,"✅ OK","🚨 MISMATCH")</f>
        <v/>
      </c>
      <c r="E14" s="257" t="inlineStr">
        <is>
          <t>Stale Gesha_Alert formulas after insert_rows (the 21 Jul bug)</t>
        </is>
      </c>
    </row>
    <row r="15" ht="12.75" customHeight="1" s="130">
      <c r="B15" s="185" t="inlineStr">
        <is>
          <t>Missing dates</t>
        </is>
      </c>
      <c r="C15" s="171">
        <f>SUMPRODUCT(--('Coffee Audit'!A2:A2000=""))-COUNTBLANK('Coffee Audit'!A2:A2000)+COUNTBLANK('Coffee Audit'!A2:A2000)-(2000-1-COUNTA('Coffee Audit'!A2:A2000))</f>
        <v/>
      </c>
      <c r="D15" s="169">
        <f>IF(COUNT('Coffee Audit'!A2:A2000)=COUNTA('Coffee Audit'!A2:A2000),"✅ OK","⚠️ CHECK")</f>
        <v/>
      </c>
      <c r="E15" s="222" t="inlineStr">
        <is>
          <t>Text dates or blank date cells breaking chronology</t>
        </is>
      </c>
    </row>
    <row r="16" ht="12.75" customHeight="1" s="130">
      <c r="B16" s="188" t="inlineStr">
        <is>
          <t>Café name blanks</t>
        </is>
      </c>
      <c r="C16" s="166">
        <f>SUMPRODUCT(('Coffee Audit'!A2:A2000&lt;&gt;"")*('Coffee Audit'!C2:C2000=""))</f>
        <v/>
      </c>
      <c r="D16" s="164">
        <f>IF(SUMPRODUCT(('Coffee Audit'!A2:A2000&lt;&gt;"")*('Coffee Audit'!C2:C2000=""))=0,"✅ OK","🚨 BLANK")</f>
        <v/>
      </c>
      <c r="E16" s="257" t="inlineStr">
        <is>
          <t>Entries logged without a venue</t>
        </is>
      </c>
    </row>
    <row r="17" ht="12.75" customHeight="1" s="130">
      <c r="B17" s="185" t="inlineStr">
        <is>
          <t>Price sanity</t>
        </is>
      </c>
      <c r="C17" s="171">
        <f>SUMPRODUCT(('Coffee Audit'!A2:A2000&lt;&gt;"")*('Coffee Audit'!Q2:Q2000&lt;0))</f>
        <v/>
      </c>
      <c r="D17" s="169">
        <f>IF(SUMPRODUCT(('Coffee Audit'!A2:A2000&lt;&gt;"")*('Coffee Audit'!Q2:Q2000&lt;0))=0,"✅ OK","🚨 NEGATIVE")</f>
        <v/>
      </c>
      <c r="E17" s="222" t="inlineStr">
        <is>
          <t>Negative or corrupted price values</t>
        </is>
      </c>
    </row>
    <row r="18" ht="12.75" customHeight="1" s="130">
      <c r="B18" s="188" t="inlineStr">
        <is>
          <t>Directory reconciliation</t>
        </is>
      </c>
      <c r="C18" s="166">
        <f>SUM('🏙️ Café Directory'!D13:D57)</f>
        <v/>
      </c>
      <c r="D18" s="164">
        <f>IF(SUM('🏙️ Café Directory'!D13:D57)=COUNTA('Coffee Audit'!A2:A2000),"✅ BALANCED","⚠️ DRIFT")</f>
        <v/>
      </c>
      <c r="E18" s="257" t="inlineStr">
        <is>
          <t>Venue counts not summing to total entries</t>
        </is>
      </c>
    </row>
    <row r="19" ht="12.75" customHeight="1" s="130">
      <c r="B19" s="185" t="inlineStr">
        <is>
          <t>Latest entry date</t>
        </is>
      </c>
      <c r="C19" s="258">
        <f>MAX('Coffee Audit'!A2:A2000)</f>
        <v/>
      </c>
      <c r="D19" s="169">
        <f>IF(MAX('Coffee Audit'!A2:A2000)&gt;=DATE(2026,7,29),"✅ CURRENT","⚠️ STALE")</f>
        <v/>
      </c>
      <c r="E19" s="222" t="inlineStr">
        <is>
          <t>Archive not updated with newest visit</t>
        </is>
      </c>
    </row>
  </sheetData>
  <mergeCells count="1">
    <mergeCell ref="B11:F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2026-07-11T00:12:35Z</dcterms:created>
  <dcterms:modified xmlns:dcterms="http://purl.org/dc/terms/" xmlns:xsi="http://www.w3.org/2001/XMLSchema-instance" xsi:type="dcterms:W3CDTF">2026-08-23T17:43:39Z</dcterms:modified>
  <cp:revision>0</cp:revision>
</cp:coreProperties>
</file>