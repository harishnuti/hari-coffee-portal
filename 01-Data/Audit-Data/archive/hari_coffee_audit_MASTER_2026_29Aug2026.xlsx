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ffee Audit" sheetId="1" state="visible" r:id="rId3"/>
    <sheet name="☕ Dashboard" sheetId="2" state="visible" r:id="rId4"/>
    <sheet name="🧬 Palate DNA" sheetId="3" state="visible" r:id="rId5"/>
    <sheet name="🌍 Origin &amp; Terroir" sheetId="4" state="visible" r:id="rId6"/>
    <sheet name="⚙️ Hardware" sheetId="5" state="visible" r:id="rId7"/>
    <sheet name="🏙️ Café Directory" sheetId="6" state="visible" r:id="rId8"/>
    <sheet name="📖 Legend" sheetId="7" state="visible" r:id="rId9"/>
    <sheet name="Stats" sheetId="8" state="visible" r:id="rId10"/>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30" authorId="0">
      <text>
        <r>
          <rPr>
            <sz val="10"/>
            <rFont val="Arial"/>
            <family val="2"/>
          </rPr>
          <t xml:space="preserve">Corrected: user confirms only ever visited the OFC outlet. 'Raffles Place' was a mislabel. Now matches row 32/34 (same venue). 11Jul2026 audit.</t>
        </r>
      </text>
    </comment>
    <comment ref="C41" authorId="0">
      <text>
        <r>
          <rPr>
            <sz val="10"/>
            <rFont val="Arial"/>
            <family val="2"/>
          </rPr>
          <t xml:space="preserve">Capitalization standardized to Google's canonical listing. 11Jul2026 audit.</t>
        </r>
      </text>
    </comment>
    <comment ref="C44" authorId="0">
      <text>
        <r>
          <rPr>
            <sz val="10"/>
            <rFont val="Arial"/>
            <family val="2"/>
          </rPr>
          <t xml:space="preserve">Renamed per user instruction to distinguish from Apartment (Selegie Rd). 11Jul2026 audit.</t>
        </r>
      </text>
    </comment>
    <comment ref="C46" authorId="0">
      <text>
        <r>
          <rPr>
            <sz val="10"/>
            <rFont val="Arial"/>
            <family val="2"/>
          </rPr>
          <t xml:space="preserve">Renamed per user instruction to distinguish from Apartment (Selegie Rd). 11Jul2026 audit.</t>
        </r>
      </text>
    </comment>
    <comment ref="C47" authorId="0">
      <text>
        <r>
          <rPr>
            <sz val="10"/>
            <rFont val="Arial"/>
            <family val="2"/>
          </rPr>
          <t xml:space="preserve">Capitalization standardized to Google's canonical listing. 11Jul2026 audit.</t>
        </r>
      </text>
    </comment>
  </commentList>
</comments>
</file>

<file path=xl/sharedStrings.xml><?xml version="1.0" encoding="utf-8"?>
<sst xmlns="http://schemas.openxmlformats.org/spreadsheetml/2006/main" count="2735" uniqueCount="1562">
  <si>
    <t xml:space="preserve">Date</t>
  </si>
  <si>
    <t xml:space="preserve">City</t>
  </si>
  <si>
    <t xml:space="preserve">Cafe_Name</t>
  </si>
  <si>
    <t xml:space="preserve">Coffee_Name</t>
  </si>
  <si>
    <t xml:space="preserve">Producer_Farm</t>
  </si>
  <si>
    <t xml:space="preserve">Origin</t>
  </si>
  <si>
    <t xml:space="preserve">Varietal</t>
  </si>
  <si>
    <t xml:space="preserve">Process</t>
  </si>
  <si>
    <t xml:space="preserve">Roast_Level</t>
  </si>
  <si>
    <t xml:space="preserve">Brew_Method</t>
  </si>
  <si>
    <t xml:space="preserve">Dose_g</t>
  </si>
  <si>
    <t xml:space="preserve">Yield_g</t>
  </si>
  <si>
    <t xml:space="preserve">Ratio</t>
  </si>
  <si>
    <t xml:space="preserve">Water_Temp_C</t>
  </si>
  <si>
    <t xml:space="preserve">Bloom</t>
  </si>
  <si>
    <t xml:space="preserve">Grinder</t>
  </si>
  <si>
    <t xml:space="preserve">Price_SGD</t>
  </si>
  <si>
    <t xml:space="preserve">Official_Notes</t>
  </si>
  <si>
    <t xml:space="preserve">Your_Verdict</t>
  </si>
  <si>
    <t xml:space="preserve">Technical_Enrichment</t>
  </si>
  <si>
    <t xml:space="preserve">Visit_Context</t>
  </si>
  <si>
    <t xml:space="preserve">Source</t>
  </si>
  <si>
    <t xml:space="preserve">Gesha_Alert</t>
  </si>
  <si>
    <t xml:space="preserve">Address</t>
  </si>
  <si>
    <t xml:space="preserve">Ubud, Bali</t>
  </si>
  <si>
    <t xml:space="preserve">Seniman Coffee Studio</t>
  </si>
  <si>
    <t xml:space="preserve">Bali Karana Kintamanis</t>
  </si>
  <si>
    <t xml:space="preserve">Unknown</t>
  </si>
  <si>
    <t xml:space="preserve">Kintamani, Bali</t>
  </si>
  <si>
    <t xml:space="preserve">Natural</t>
  </si>
  <si>
    <t xml:space="preserve">Light</t>
  </si>
  <si>
    <t xml:space="preserve">Filter</t>
  </si>
  <si>
    <t xml:space="preserve">Clean citrus; floral</t>
  </si>
  <si>
    <t xml:space="preserve">Excellent clarity for a natural process; clean citrus and floral notes.</t>
  </si>
  <si>
    <t xml:space="preserve">Natural processing contributed mild fruit-forward esters with relatively clean finish; foundational exposure to local Indonesian origins.</t>
  </si>
  <si>
    <t xml:space="preserve">Bali family trip</t>
  </si>
  <si>
    <t xml:space="preserve">Merged (Gemini + ChatGPT)</t>
  </si>
  <si>
    <t xml:space="preserve">Jl. Sri Wedari No.5, Ubud, Gianyar, Bali 80571, Indonesia</t>
  </si>
  <si>
    <t xml:space="preserve">Sulawesi Toraja</t>
  </si>
  <si>
    <t xml:space="preserve">Sulawesi, Indonesia</t>
  </si>
  <si>
    <t xml:space="preserve">Wet-Hulled</t>
  </si>
  <si>
    <t xml:space="preserve">Medium</t>
  </si>
  <si>
    <t xml:space="preserve">Pour-over</t>
  </si>
  <si>
    <t xml:space="preserve">Cocoa; earthy structures</t>
  </si>
  <si>
    <t xml:space="preserve">Heavy body with rich cocoa and earthy notes; low acidity; dense mouthfeel.</t>
  </si>
  <si>
    <t xml:space="preserve">Classic Giling Basah wet-hulled process emphasized earthy compounds and syrupy mouthfeel; structural density confirmed.</t>
  </si>
  <si>
    <t xml:space="preserve">House Blend</t>
  </si>
  <si>
    <t xml:space="preserve">Espresso Roast</t>
  </si>
  <si>
    <t xml:space="preserve">Piccolo</t>
  </si>
  <si>
    <t xml:space="preserve">Balanced</t>
  </si>
  <si>
    <t xml:space="preserve">Great milk integration; standard espresso + milk calibration.</t>
  </si>
  <si>
    <t xml:space="preserve">Baseline milk pairing; milk fats softened acidity and amplified sweetness and body.</t>
  </si>
  <si>
    <t xml:space="preserve">Singapore</t>
  </si>
  <si>
    <t xml:space="preserve">Kyuukei Coffee</t>
  </si>
  <si>
    <t xml:space="preserve">Kenya Kiamugumo AA</t>
  </si>
  <si>
    <t xml:space="preserve">New Ngariama Farmer's Cooperative Society</t>
  </si>
  <si>
    <t xml:space="preserve">Kiamugumo, Murang'a County, Kenya</t>
  </si>
  <si>
    <t xml:space="preserve">SL28 / SL34</t>
  </si>
  <si>
    <t xml:space="preserve">Washed</t>
  </si>
  <si>
    <t xml:space="preserve">Pour-over (Flat-Bottom)</t>
  </si>
  <si>
    <t xml:space="preserve">1:16</t>
  </si>
  <si>
    <t xml:space="preserve">93</t>
  </si>
  <si>
    <t xml:space="preserve">120mm Hybrid Burr</t>
  </si>
  <si>
    <t xml:space="preserve">Blackcurrant, Lemon, Citrus Zest, Mineral Finish</t>
  </si>
  <si>
    <t xml:space="preserve">Extremely clean and structured — classic Kenyan profile. Bright blackcurrant acidity layered with lemon and light white grape sweetness. Clarity was the standout: no fermentation noise, no muddiness — precise, well-executed extraction. Compelling demonstration of how a well-processed washed coffee performs when roasted and brewed correctly. Phosphoric acid signature fully confirmed across all phases.</t>
  </si>
  <si>
    <t xml:space="preserve">120mm hybrid burr grinder delivered uniform particle distribution; flat-bottom pour-over geometry ensured even extraction across the full puck. 93°C water temp and 1:16 lean ratio preserved SL28/SL34 phosphoric acid clarity without over-extracting into bitterness. Brew time 2:45 consistent with controlled drawdown on flat-bottom geometry. Kenyan phosphoric acid and anthocyanin-driven blackcurrant notes are varietal signatures of Scott Laboratories SL28/SL34 genetics.</t>
  </si>
  <si>
    <t xml:space="preserve">Solo visit — early archive period, first Kyūkei filter audit</t>
  </si>
  <si>
    <t xml:space="preserve">Direct observation + infographic + Google review (10 Feb 2026)</t>
  </si>
  <si>
    <t xml:space="preserve">121 Bukit Merah Lane 1, #01-06, Singapore 150121</t>
  </si>
  <si>
    <t xml:space="preserve">Mumbai</t>
  </si>
  <si>
    <t xml:space="preserve">Subko Coffee Roasters</t>
  </si>
  <si>
    <t xml:space="preserve">Project Pearl Ratnagiri</t>
  </si>
  <si>
    <t xml:space="preserve">Ratnagiri Estate</t>
  </si>
  <si>
    <t xml:space="preserve">India</t>
  </si>
  <si>
    <t xml:space="preserve">Anaerobic Natural</t>
  </si>
  <si>
    <t xml:space="preserve">Light (Agtron 89)</t>
  </si>
  <si>
    <t xml:space="preserve">Clean and balanced; interesting but restrained anaerobic expression.</t>
  </si>
  <si>
    <t xml:space="preserve">Very light roast (Agtron 89) suppressed ester development despite anaerobic process; muted expected fermented intensity.</t>
  </si>
  <si>
    <t xml:space="preserve">Mumbai café exploration</t>
  </si>
  <si>
    <t xml:space="preserve">Mary Lodge, 21A Chapel Rd, Ranwar, Bandra West, Mumbai 400050, India</t>
  </si>
  <si>
    <t xml:space="preserve">Grey Soul Coffee Roasters</t>
  </si>
  <si>
    <t xml:space="preserve">Raspberry in Loop - Zoya Estate</t>
  </si>
  <si>
    <t xml:space="preserve">Zoya Estate</t>
  </si>
  <si>
    <t xml:space="preserve">Multi-stage Anaerobic</t>
  </si>
  <si>
    <t xml:space="preserve">Chocolate</t>
  </si>
  <si>
    <t xml:space="preserve">Heavy body; over-smoothed expression muted brightness and terroir.</t>
  </si>
  <si>
    <t xml:space="preserve">Higher development in medium roast reduced aggressive fruit acidity; heavy multi-stage fermentation suppressed terroir expression.</t>
  </si>
  <si>
    <t xml:space="preserve">Dr Ambedkar Rd, Pali Village, Bandra West, Mumbai 400050, India</t>
  </si>
  <si>
    <t xml:space="preserve">Narrative Coffee Stand</t>
  </si>
  <si>
    <t xml:space="preserve">Finca La Siberia</t>
  </si>
  <si>
    <t xml:space="preserve">El Salvador</t>
  </si>
  <si>
    <t xml:space="preserve">Pacamara</t>
  </si>
  <si>
    <t xml:space="preserve">Stewed apples; Apricot; Pu'er tea — Aanya's first specialty filter experience.</t>
  </si>
  <si>
    <t xml:space="preserve">Natural Pacamara generated beginner-friendly fruit esters and approachable sweetness; large Pacamara bean size aided even extraction.</t>
  </si>
  <si>
    <t xml:space="preserve">Father-daughter coffee exploration</t>
  </si>
  <si>
    <t xml:space="preserve">ChatGPT only</t>
  </si>
  <si>
    <t xml:space="preserve">Blk 231 Bain St, #01-05, Singapore 180231</t>
  </si>
  <si>
    <t xml:space="preserve">El Puente</t>
  </si>
  <si>
    <t xml:space="preserve">Honduras</t>
  </si>
  <si>
    <t xml:space="preserve">Catuai</t>
  </si>
  <si>
    <t xml:space="preserve">Medium-Light</t>
  </si>
  <si>
    <t xml:space="preserve">Espresso</t>
  </si>
  <si>
    <t xml:space="preserve">Black cherry; Apricot; Pecan — ordered for espresso contrast.</t>
  </si>
  <si>
    <t xml:space="preserve">Washed Central American espresso balanced nutty sweetness and fruit acidity; Catuai's consistent cell structure aided uniform extraction.</t>
  </si>
  <si>
    <t xml:space="preserve">ASK Coffee Roastery</t>
  </si>
  <si>
    <t xml:space="preserve">Honduras Masaguara (S13)</t>
  </si>
  <si>
    <t xml:space="preserve">Catuai / Caturra</t>
  </si>
  <si>
    <t xml:space="preserve">Washed Co-Ferment</t>
  </si>
  <si>
    <t xml:space="preserve">Lychee; Brandy; Honeydew; Milk Chocolate</t>
  </si>
  <si>
    <t xml:space="preserve">Premium but memorable; highly complex tropical profile.</t>
  </si>
  <si>
    <t xml:space="preserve">Co-fermentation amplified tropical ester complexity; co-ferment substrates introduced lychee lactones and brandy-like ethyl esters.</t>
  </si>
  <si>
    <t xml:space="preserve">32 Seah St, Singapore 188388</t>
  </si>
  <si>
    <t xml:space="preserve">Magic (Ristretto Milk)</t>
  </si>
  <si>
    <t xml:space="preserve">Contrast milk calibration; excellent concentrated cocoa expression.</t>
  </si>
  <si>
    <t xml:space="preserve">Ristretto milk extraction increased sweetness density and concentrated cocoa compounds through reduced water content.</t>
  </si>
  <si>
    <t xml:space="preserve">Apartment (Selegie Rd)</t>
  </si>
  <si>
    <t xml:space="preserve">Colombia Don Gallego - Wush Wush</t>
  </si>
  <si>
    <t xml:space="preserve">Don Gallego</t>
  </si>
  <si>
    <t xml:space="preserve">Colombia</t>
  </si>
  <si>
    <t xml:space="preserve">Wush Wush</t>
  </si>
  <si>
    <t xml:space="preserve">1:17</t>
  </si>
  <si>
    <t xml:space="preserve">Tea-like</t>
  </si>
  <si>
    <t xml:space="preserve">Incredible tea-like clarity; transparent floral expression.</t>
  </si>
  <si>
    <t xml:space="preserve">Lean 1:17 ratio maximized aromatic separation; Wush Wush's Ethiopian-lineage genetics produced delicate phenolic and floral complexity.</t>
  </si>
  <si>
    <t xml:space="preserve">Solo specialty calibration</t>
  </si>
  <si>
    <t xml:space="preserve">139 Selegie Rd, #01-01, Singapore 188309</t>
  </si>
  <si>
    <t xml:space="preserve">Kenya Ndiaini AA</t>
  </si>
  <si>
    <t xml:space="preserve">Kenya</t>
  </si>
  <si>
    <t xml:space="preserve">SL28 / SL34 / Ruiru 11</t>
  </si>
  <si>
    <t xml:space="preserve">Redcurrant; Elderflower; Lemon; Apricot</t>
  </si>
  <si>
    <t xml:space="preserve">Acidic and interesting; well balanced; high clarity.</t>
  </si>
  <si>
    <t xml:space="preserve">Ruiru 11 introduced structural body alongside classic SL28/SL34 brightness; further Kenyan terroir depth confirmed.</t>
  </si>
  <si>
    <t xml:space="preserve">Agora Coffee</t>
  </si>
  <si>
    <t xml:space="preserve">Nicaragua Matagalpa - Finca La Virgen</t>
  </si>
  <si>
    <t xml:space="preserve">Finca La Virgen</t>
  </si>
  <si>
    <t xml:space="preserve">Nicaragua</t>
  </si>
  <si>
    <t xml:space="preserve">Fully Washed</t>
  </si>
  <si>
    <t xml:space="preserve">Flat White</t>
  </si>
  <si>
    <t xml:space="preserve">Caramel; Chocolate; Red Apple</t>
  </si>
  <si>
    <t xml:space="preserve">Solid milk beverage; clean apple acidity preserved in milk integration.</t>
  </si>
  <si>
    <t xml:space="preserve">Fully washed Central American profile preserved clean malic acidity in milk; espresso roast development amplified caramel Maillard notes.</t>
  </si>
  <si>
    <t xml:space="preserve">31 Club St, #01-02, Singapore 069468</t>
  </si>
  <si>
    <t xml:space="preserve">Ethiopia Yirgacheffe Beloya</t>
  </si>
  <si>
    <t xml:space="preserve">Beloya</t>
  </si>
  <si>
    <t xml:space="preserve">Yirgacheffe, Ethiopia</t>
  </si>
  <si>
    <t xml:space="preserve">Heirloom</t>
  </si>
  <si>
    <t xml:space="preserve">Filter Roast</t>
  </si>
  <si>
    <t xml:space="preserve">V60</t>
  </si>
  <si>
    <t xml:space="preserve">1:14.6</t>
  </si>
  <si>
    <t xml:space="preserve">Mahlkönig EK43</t>
  </si>
  <si>
    <t xml:space="preserve">Blackcurrant; Strawberry; White Floral</t>
  </si>
  <si>
    <t xml:space="preserve">Bright, floral, and distinct strawberry; classic natural Ethiopian profile.</t>
  </si>
  <si>
    <t xml:space="preserve">EK43 98mm flat burrs reduced fines and preserved clarity despite natural processing; 1:14.6 ratio retained fruity body.</t>
  </si>
  <si>
    <t xml:space="preserve">Tiong Hoe Specialty Coffee</t>
  </si>
  <si>
    <t xml:space="preserve">Brazil Mogiana</t>
  </si>
  <si>
    <t xml:space="preserve">Mogiana, Brazil</t>
  </si>
  <si>
    <t xml:space="preserve">1:15</t>
  </si>
  <si>
    <t xml:space="preserve">Red Dates; Chocolates; Honey</t>
  </si>
  <si>
    <t xml:space="preserve">Chocolate-heavy and satisfying; classic dense Brazilian profile.</t>
  </si>
  <si>
    <t xml:space="preserve">Tighter 1:15 ratio increased body and amplified Maillard-derived caramel sweetness; medium roast caramelized sugars without losing origin character.</t>
  </si>
  <si>
    <t xml:space="preserve">1 Harbourfront Walk, VivoCity Fairprice Xtra, #B2-23, Singapore 098585</t>
  </si>
  <si>
    <t xml:space="preserve">Smoky Quartz Blend</t>
  </si>
  <si>
    <t xml:space="preserve">Brazil + India</t>
  </si>
  <si>
    <t xml:space="preserve">Piccolo Latte</t>
  </si>
  <si>
    <t xml:space="preserve">Dark Chocolates; Hazelnut; Smoky</t>
  </si>
  <si>
    <t xml:space="preserve">Strong milk side calibration; excellent concentrated cocoa expression.</t>
  </si>
  <si>
    <t xml:space="preserve">Low milk volume in piccolo format concentrated cocoa and hazelnut compounds; cross-origin blend leveraged Indian robusta structural density.</t>
  </si>
  <si>
    <t xml:space="preserve">Asylum Coffeehouse</t>
  </si>
  <si>
    <t xml:space="preserve">Peru Cajamarca Gesha (Iced)</t>
  </si>
  <si>
    <t xml:space="preserve">Wilder Garcia</t>
  </si>
  <si>
    <t xml:space="preserve">Cajamarca, Peru</t>
  </si>
  <si>
    <t xml:space="preserve">Gesha</t>
  </si>
  <si>
    <t xml:space="preserve">Iced Pour-over</t>
  </si>
  <si>
    <t xml:space="preserve">92.5</t>
  </si>
  <si>
    <t xml:space="preserve">Option-O Lagom P64</t>
  </si>
  <si>
    <t xml:space="preserve">Jasmine; Caramel; Lime; Cacao Nibs</t>
  </si>
  <si>
    <t xml:space="preserve">Super floral and elegant; flash-chilled expression of Gesha purity.</t>
  </si>
  <si>
    <t xml:space="preserve">Flash-chilled extraction via Option-O Lagom P64 preserved volatile floral monoterpenes (linalool); cold dilution stabilized aromatic compounds.</t>
  </si>
  <si>
    <t xml:space="preserve">311 Jln Besar, Singapore 208970</t>
  </si>
  <si>
    <t xml:space="preserve">Maxi Coffee Bar</t>
  </si>
  <si>
    <t xml:space="preserve">La Laja</t>
  </si>
  <si>
    <t xml:space="preserve">James Fernandez</t>
  </si>
  <si>
    <t xml:space="preserve">Cauca, Colombia</t>
  </si>
  <si>
    <t xml:space="preserve">Sudan Rume</t>
  </si>
  <si>
    <t xml:space="preserve">1:15.3</t>
  </si>
  <si>
    <t xml:space="preserve">90-92</t>
  </si>
  <si>
    <t xml:space="preserve">FM Grinder 120mm Flat Burr / Timemore Sculptor 078</t>
  </si>
  <si>
    <t xml:space="preserve">Raspberry; Nectarine; Floral</t>
  </si>
  <si>
    <t xml:space="preserve">Nectarine and raspberry extremely clear; barista sophistication superb; technical milestone.</t>
  </si>
  <si>
    <t xml:space="preserve">120mm flat burr geometry maximized uniform particle distribution; flat-bottom brewer enhanced sweetness while preserving Sudan Rume's rare genetic clarity.</t>
  </si>
  <si>
    <t xml:space="preserve">CBD lunch calibration</t>
  </si>
  <si>
    <t xml:space="preserve">64 Club St, Back Entrance, Singapore 069438</t>
  </si>
  <si>
    <t xml:space="preserve">Lume Café</t>
  </si>
  <si>
    <t xml:space="preserve">Corpachi Panama Geisha</t>
  </si>
  <si>
    <t xml:space="preserve">Corpachi</t>
  </si>
  <si>
    <t xml:space="preserve">Boquerón, Chiriquí, Panama</t>
  </si>
  <si>
    <t xml:space="preserve">Geisha</t>
  </si>
  <si>
    <t xml:space="preserve">Red Honey</t>
  </si>
  <si>
    <t xml:space="preserve">90 + 70</t>
  </si>
  <si>
    <t xml:space="preserve">Mandarin Candy; Jasmine; Apricot</t>
  </si>
  <si>
    <t xml:space="preserve">Clearly perceived apricot and structured sweetness.</t>
  </si>
  <si>
    <t xml:space="preserve">Dual-temperature extraction balanced aromatics and body in honey-process Geisha; red honey partial mucilage retention amplified structured sweetness.</t>
  </si>
  <si>
    <t xml:space="preserve">Rainy CBD lunch calibration</t>
  </si>
  <si>
    <t xml:space="preserve">108 Robinson Rd, #01-01, Singapore 068900</t>
  </si>
  <si>
    <t xml:space="preserve">Castillo Watermelon (Jairo Arcila)</t>
  </si>
  <si>
    <t xml:space="preserve">Jairo Arcila</t>
  </si>
  <si>
    <t xml:space="preserve">Armenia, Quindío, Colombia</t>
  </si>
  <si>
    <t xml:space="preserve">Castillo</t>
  </si>
  <si>
    <t xml:space="preserve">Washed Co-Ferment (Watermelon Anaerobic)</t>
  </si>
  <si>
    <t xml:space="preserve">Pour-over (V60)</t>
  </si>
  <si>
    <t xml:space="preserve">Watermelon; Mint; Lime; Chocolate</t>
  </si>
  <si>
    <t xml:space="preserve">Distinct fruit-forward expression; sweetness layered rather than sharp; experimental but controlled.</t>
  </si>
  <si>
    <t xml:space="preserve">Watermelon co-fermentation enhanced volatile ester complexity; dual-temperature extraction preserved layered aromatic architecture.</t>
  </si>
  <si>
    <t xml:space="preserve">Father-daughter coffee session</t>
  </si>
  <si>
    <t xml:space="preserve">Peru Gesha (Wilder Garcia)</t>
  </si>
  <si>
    <t xml:space="preserve">Jaén, Peru</t>
  </si>
  <si>
    <t xml:space="preserve">Clean, structured, high-clarity cup; apricot-like sweetness and excellent structure.</t>
  </si>
  <si>
    <t xml:space="preserve">Dual-temperature extraction engineered aromatic separation and body control; Gesha genetics delivered intrinsic phenolic complexity with minimal processing interference.</t>
  </si>
  <si>
    <t xml:space="preserve">La Villa #1</t>
  </si>
  <si>
    <t xml:space="preserve">Eduard Gaviria</t>
  </si>
  <si>
    <t xml:space="preserve">Huila, Colombia</t>
  </si>
  <si>
    <t xml:space="preserve">Papayo</t>
  </si>
  <si>
    <t xml:space="preserve">Timemore Sculptor 078</t>
  </si>
  <si>
    <t xml:space="preserve">Stewed Forest Berries; Grape; Black Forest Cake</t>
  </si>
  <si>
    <t xml:space="preserve">Dense fruit profile with rounded sweetness.</t>
  </si>
  <si>
    <t xml:space="preserve">Flat-bottom geometry and tight 1:15 ratio emphasized body; Papayo varietal's high sugar content amplified by natural processing into rich fruit-cake profile.</t>
  </si>
  <si>
    <t xml:space="preserve">Lunch catch-up with Yichen</t>
  </si>
  <si>
    <t xml:space="preserve">Johor Bahru</t>
  </si>
  <si>
    <t xml:space="preserve">Clod Coffee Bar &amp; Roasters</t>
  </si>
  <si>
    <t xml:space="preserve">Hacienda La Florida</t>
  </si>
  <si>
    <t xml:space="preserve">Typica Mejorado</t>
  </si>
  <si>
    <t xml:space="preserve">Anaerobic Washed</t>
  </si>
  <si>
    <t xml:space="preserve">Origami (Conical)</t>
  </si>
  <si>
    <t xml:space="preserve">1:15.4</t>
  </si>
  <si>
    <t xml:space="preserve">42g / 30s (1:2.3)</t>
  </si>
  <si>
    <t xml:space="preserve">Mahlkönig EK Omnia</t>
  </si>
  <si>
    <t xml:space="preserve">Lemon verbena; Red plum; Citronella; Hibiscus</t>
  </si>
  <si>
    <t xml:space="preserve">Excellent. Lime when hot, distinct plum as it cooled.</t>
  </si>
  <si>
    <t xml:space="preserve">EK Omnia precision grind and Origami conical drove extreme clarity; thermal phase shift perfectly isolated citric-to-malic acid transition (lime → plum).</t>
  </si>
  <si>
    <t xml:space="preserve">Gemini only</t>
  </si>
  <si>
    <t xml:space="preserve">123 Jalan Beringin, Taman Melodies, 80250 Johor Bahru, Malaysia</t>
  </si>
  <si>
    <t xml:space="preserve">Brazil Santuário Sul</t>
  </si>
  <si>
    <t xml:space="preserve">Carmo de Minas, Brazil</t>
  </si>
  <si>
    <t xml:space="preserve">Natural Fermentation</t>
  </si>
  <si>
    <t xml:space="preserve">Light-Medium</t>
  </si>
  <si>
    <t xml:space="preserve">1:14</t>
  </si>
  <si>
    <t xml:space="preserve">95</t>
  </si>
  <si>
    <t xml:space="preserve">Blackcurrant; Black Cherry; Dark Chocolate</t>
  </si>
  <si>
    <t xml:space="preserve">Full body; prominent blackcurrant; clear chocolaty finish.</t>
  </si>
  <si>
    <t xml:space="preserve">Tight 1:14 ratio engineered maximum body; EK43 98mm burrs maintained clarity to keep fermented natural fruit clean and non-bitter.</t>
  </si>
  <si>
    <t xml:space="preserve">Midday specialty calibration</t>
  </si>
  <si>
    <t xml:space="preserve">Nylon Coffee Roasters</t>
  </si>
  <si>
    <t xml:space="preserve">Brazil FAF Organic</t>
  </si>
  <si>
    <t xml:space="preserve">Brazil</t>
  </si>
  <si>
    <t xml:space="preserve">Arara</t>
  </si>
  <si>
    <t xml:space="preserve">xBloom (Flat-Bottom)</t>
  </si>
  <si>
    <t xml:space="preserve">Red Apple; Cherry; Raisin; Milk Chocolate</t>
  </si>
  <si>
    <t xml:space="preserve">Solid body with crisp green apple (malic) front, resolving into smooth milk chocolate finish.</t>
  </si>
  <si>
    <t xml:space="preserve">High-quality Arara natural processing yielded excellent structural body while maintaining crisp malic acidity; xBloom flat-bottom avoided heavy fermentation mud.</t>
  </si>
  <si>
    <t xml:space="preserve">4 Everton Park, #01-40, Singapore 080004</t>
  </si>
  <si>
    <t xml:space="preserve">Brazil Serra dos Ciganos</t>
  </si>
  <si>
    <t xml:space="preserve">Catucai 24/137</t>
  </si>
  <si>
    <t xml:space="preserve">Sultana; Dried Apricot; Praline; Roasted Hazelnut</t>
  </si>
  <si>
    <t xml:space="preserve">Good cup with pleasant lingering sweet aftertaste.</t>
  </si>
  <si>
    <t xml:space="preserve">Milk fats bound perfectly with natural processed espresso; Catucai 24/137 high-density bean structure created long, comforting finish.</t>
  </si>
  <si>
    <t xml:space="preserve">Ethiopia Banko Gotiti</t>
  </si>
  <si>
    <t xml:space="preserve">Ethiopia</t>
  </si>
  <si>
    <t xml:space="preserve">Lemonade; Raspberry; Peach; Bergamot</t>
  </si>
  <si>
    <t xml:space="preserve">Lemon front, heavy melon mid-cup, fading into clean white tea finish.</t>
  </si>
  <si>
    <t xml:space="preserve">1:17 lean ratio isolated volatile citric acids; xBloom flat-bottom geometry stabilized mid-cup sugars before clean tannin-forward white tea finish.</t>
  </si>
  <si>
    <t xml:space="preserve">Nicaragua Buena Vista</t>
  </si>
  <si>
    <t xml:space="preserve">Parainema</t>
  </si>
  <si>
    <t xml:space="preserve">Natural Anaerobic</t>
  </si>
  <si>
    <t xml:space="preserve">Single Espresso</t>
  </si>
  <si>
    <t xml:space="preserve">~1:2</t>
  </si>
  <si>
    <t xml:space="preserve">Chiku; Stewed Cherry; Dried Apricot; Brazil Nut</t>
  </si>
  <si>
    <t xml:space="preserve">Thick, syrupy body. Highly fermented, savory/not sweet, very long lingering finish.</t>
  </si>
  <si>
    <t xml:space="preserve">Anaerobic fermentation metabolized sugars into complex savory esters; 9-bar pressure emulsification drove heavy oil-based viscosity and extended aftertaste.</t>
  </si>
  <si>
    <t xml:space="preserve">Alchemist (Ocean Financial Centre)</t>
  </si>
  <si>
    <t xml:space="preserve">El Morito</t>
  </si>
  <si>
    <t xml:space="preserve">Marshell</t>
  </si>
  <si>
    <t xml:space="preserve">V60 Pour-over (Conical)</t>
  </si>
  <si>
    <t xml:space="preserve">Mahlkönig EK43S (98mm Flat Burr)</t>
  </si>
  <si>
    <t xml:space="preserve">Yellow Plum; Orange; Cane Sugar</t>
  </si>
  <si>
    <t xml:space="preserve">Simultaneous citric-malic acid overlap with integrated cane sugar — smooth and refreshing with excellent mid-palate juiciness. Confirmed: I love this bean.</t>
  </si>
  <si>
    <t xml:space="preserve">EK43S 98mm flat burrs + V60 conical at 1:16 delivered perfect dual-acid integration (citric orange + malic plum) without single-note dominance. Sucrose extraction at 1:16 bridged acid structure into clean cane sugar finish. Marshell is an extremely rare Colombian varietal — natural mutation prized for simultaneous citric-malic acid duality.</t>
  </si>
  <si>
    <t xml:space="preserve">Solo visit — Alchemist Raffles Place</t>
  </si>
  <si>
    <t xml:space="preserve">Master CSV (hari_coffee_audit_master_2026)</t>
  </si>
  <si>
    <t xml:space="preserve">10 Collyer Quay, #01-K1, Singapore 049315</t>
  </si>
  <si>
    <t xml:space="preserve">Kurasu</t>
  </si>
  <si>
    <t xml:space="preserve">Indonesia Frinsa Estate</t>
  </si>
  <si>
    <t xml:space="preserve">Frinsa Estate</t>
  </si>
  <si>
    <t xml:space="preserve">West Java, Indonesia</t>
  </si>
  <si>
    <t xml:space="preserve">Local Varietals</t>
  </si>
  <si>
    <t xml:space="preserve">Extended Fermentation Honey</t>
  </si>
  <si>
    <t xml:space="preserve">Pour-over (Hario Alpha — Flat-Bottom)</t>
  </si>
  <si>
    <t xml:space="preserve">80 → 95 → 80</t>
  </si>
  <si>
    <t xml:space="preserve">Floral aroma; Stewed Strawberries; Grapefruit; Brown Sugar; Black Tea</t>
  </si>
  <si>
    <t xml:space="preserve">Floral taste with a sweet coating on the tongue that gradually sticks and fades off cleanly — sugar and tea aftertaste. Well-executed Indonesian honey with unusual clarity for the origin.</t>
  </si>
  <si>
    <t xml:space="preserve">Multi-temperature pour (80→95→80°C) with Hario Alpha flat-bottom perfectly managed heavy honey-process mucilage sugars — clear floral extraction at lower temps, dissolving jammy mucilage at peak heat, finishing cleanly. Extended fermentation honey adds structured sweetness without heavy ferment-funk. First Indonesian-mainland entry in archive (distinct from Bali entries).</t>
  </si>
  <si>
    <t xml:space="preserve">Solo visit — Kurasu Singapore</t>
  </si>
  <si>
    <t xml:space="preserve">261 Waterloo St, #01-24, Singapore 180261</t>
  </si>
  <si>
    <t xml:space="preserve">The Community Coffee (Hamilton)</t>
  </si>
  <si>
    <t xml:space="preserve">Jose Mancia Honduras</t>
  </si>
  <si>
    <t xml:space="preserve">Jose Mancia</t>
  </si>
  <si>
    <t xml:space="preserve">Typica</t>
  </si>
  <si>
    <t xml:space="preserve">Pour-over (Hario Switch — Immersion/Percolation)</t>
  </si>
  <si>
    <t xml:space="preserve">Mahlkönig EK43 (98mm Flat Burr)</t>
  </si>
  <si>
    <t xml:space="preserve">Kiwi; Oolong Tea; Chocolate Truffle</t>
  </si>
  <si>
    <t xml:space="preserve">Pretty good. Kiwi and oolong tea style — full bodied. Short finish with slight hints of chocolate. Clean and approachable natural without heavy fermentation noise.</t>
  </si>
  <si>
    <t xml:space="preserve">Typica inherent lipid clarity + raised-bed drying produced clean tea-structure body. EK43 98mm flat burrs + Hario Switch immersion phase stabilised full mouthfeel at lean 1:17. Short finish consistent with 15-days-off-roast volatile taper — kiwi and oolong top notes fade rapidly. Honduras Typica at altitude expresses tea-like clarity atypical of natural-process expectations.</t>
  </si>
  <si>
    <t xml:space="preserve">Solo visit — The Community Coffee Hamilton</t>
  </si>
  <si>
    <t xml:space="preserve">38 Hamilton Rd, Singapore 209208</t>
  </si>
  <si>
    <t xml:space="preserve">Ijen Laurina</t>
  </si>
  <si>
    <t xml:space="preserve">Ijen Plateau</t>
  </si>
  <si>
    <t xml:space="preserve">East Java, Indonesia</t>
  </si>
  <si>
    <t xml:space="preserve">Hybrid Laurina</t>
  </si>
  <si>
    <t xml:space="preserve">90</t>
  </si>
  <si>
    <t xml:space="preserve">Hibiscus; Red Apple; Hawthorn</t>
  </si>
  <si>
    <t xml:space="preserve">Felt hibiscus hot. Mid temp showed apple paste. Cooled to a honeyed character. Full bodied. Textbook style flavours — definitely a good one. Clean progressive thermal arc.</t>
  </si>
  <si>
    <t xml:space="preserve">90°C brew temp suppressed lactic ester over-extraction while preserving volatile anthocyanin hibiscus esters. Laurina low-caffeine mutation allows intrinsic sucrose to express as clean honeyed finish without alkaloid bitterness. Anaerobic Natural transformed malic acid into jammy apple paste mid-phase. First Hybrid Laurina varietal in archive — new genetic category unlocked. Hibiscus = anthocyanin; Apple paste = malic lactone; Honey = sucrose at sub-50°C.</t>
  </si>
  <si>
    <t xml:space="preserve">Solo visit — Alchemist Ocean Financial Centre</t>
  </si>
  <si>
    <t xml:space="preserve">Fluid Collective</t>
  </si>
  <si>
    <t xml:space="preserve">El Obraje</t>
  </si>
  <si>
    <t xml:space="preserve">Flatbed Dripper (Flat-Bottom)</t>
  </si>
  <si>
    <t xml:space="preserve">92</t>
  </si>
  <si>
    <t xml:space="preserve">Option-O Lagom P64 (64mm Flat Burr)</t>
  </si>
  <si>
    <t xml:space="preserve">Mango; Orange Blossom; Nectarine; Honey</t>
  </si>
  <si>
    <t xml:space="preserve">Damn the taste so nice — the orange nectarine finishing with that honey is terrific. Love this one. So far my favourite. Honey sweetness lingers and taste changes as temperature cools. Best Gesha washed in archive at time of logging.</t>
  </si>
  <si>
    <t xml:space="preserve">Lagom P64 64mm flat burrs deliver near-unimodal particle distribution — same hardware platform as Asylum Coffeehouse entries, enabling pure terroir delta comparison between Colombia Gesha (El Obraje, Huila) and Peru Gesha (Wilder Garcia, Jaén). 92°C at 1:15.3 maximised linalool floral ester retention while stabilising malic acid mango-nectarine backbone. Flat-bottom eliminated bypass and ensured even bed saturation — critical for preserving fragile Gesha aromatics. Honey finish = sucrose preserved at washed-process mucilage removal stage.</t>
  </si>
  <si>
    <t xml:space="preserve">Solo visit — FLUID Singapore</t>
  </si>
  <si>
    <t xml:space="preserve">24 Opal Cres, Singapore 328418</t>
  </si>
  <si>
    <t xml:space="preserve">Pocket by Flip (Flip Coffee Roasters)</t>
  </si>
  <si>
    <t xml:space="preserve">Ecuador La Papaya</t>
  </si>
  <si>
    <t xml:space="preserve">La Papaya Farm</t>
  </si>
  <si>
    <t xml:space="preserve">Loja, Ecuador</t>
  </si>
  <si>
    <t xml:space="preserve">Filter Hot — Flat-Bottom (Hario Alpha)</t>
  </si>
  <si>
    <t xml:space="preserve">92 → 75 → 92</t>
  </si>
  <si>
    <t xml:space="preserve">Mahlkönig CORE (54mm Flat Burr)</t>
  </si>
  <si>
    <t xml:space="preserve">Fresh Apricot; Rooibos; Lemon Thyme; Toffee Apple</t>
  </si>
  <si>
    <t xml:space="preserve">Opening: tartaric apricot + rooibos aspalathin. Mid: thymol terpene coat — lipid-binding, persistent to midway. Cooling: malic apple shift + caramelised sucrose. Clean transparent fade. No linalool/jasmine — terpene-forward character distinct from Peru Geisha entries. Highest-altitude Geisha in archive at 2,100 MASL.</t>
  </si>
  <si>
    <t xml:space="preserve">Triple-temp cascade (92→75→92°C) on CORE 54mm flat burr + Hario Alpha flat-bottom preserved heat-sensitive thymol terpenes from 2,100 MASL Loja terroir. 75°C mid-pour is the critical terpene-stabilisation variable — thymol is lipid-binding and volatile above 80°C, so mid-temp pour is the architecture delivering the persistent midpalate coat. Ecuador Geisha = terpene-forward (Thymol/Aspalathin) clearly differentiated from linalool-forward Peru Geisha (Jasmine/Citric). First Ecuador-origin entry in archive.</t>
  </si>
  <si>
    <t xml:space="preserve">Solo visit — Pocket by Flip, 30 Stevens Road</t>
  </si>
  <si>
    <t xml:space="preserve">30 Stevens Rd, #01-08, Singapore 257840</t>
  </si>
  <si>
    <t xml:space="preserve">20 Grams Coffee Roastery</t>
  </si>
  <si>
    <t xml:space="preserve">Rwanda Nyabihu — Red Bourbon</t>
  </si>
  <si>
    <t xml:space="preserve">Josue Dusengiyumva, Shyira Washing Station</t>
  </si>
  <si>
    <t xml:space="preserve">Nyabihu District, Rwanda</t>
  </si>
  <si>
    <t xml:space="preserve">Red Bourbon</t>
  </si>
  <si>
    <t xml:space="preserve">Light (Nordic Roast)</t>
  </si>
  <si>
    <t xml:space="preserve">Pourover</t>
  </si>
  <si>
    <t xml:space="preserve">Ditting 804 (Flat Burr)</t>
  </si>
  <si>
    <t xml:space="preserve">Hibiscus; Raspberry; Tropical Fruit</t>
  </si>
  <si>
    <t xml:space="preserve">Palate confirmed: peach, stone fruit, malic clarity. "Soft, peach-forward, malic clarity — light and approachable. First Rwanda origin entry. Terroir-pure expression of Nyabihu volcanic terroir." 4/5 stars.</t>
  </si>
  <si>
    <t xml:space="preserve">1:16 lean ratio (vs 1:15 standard) suppresses body/TDS to amplify volatile aromatics — deliberate strategy to showcase Rwandan terroir delicacy. Malic-acid-dominant, smooth rounded onset consistent with washed Red Bourbon genetics.</t>
  </si>
  <si>
    <t xml:space="preserve">Twenty Grams Roastery, MacPherson — first Rwanda origin entry</t>
  </si>
  <si>
    <t xml:space="preserve">Field entry (infographic-derived)</t>
  </si>
  <si>
    <t xml:space="preserve">14 Arumugam Rd, #01-05 LTC Building C, Singapore 409959</t>
  </si>
  <si>
    <t xml:space="preserve">Kenya Nyeri Hill — SL28</t>
  </si>
  <si>
    <t xml:space="preserve">Nyeri Hill Factory</t>
  </si>
  <si>
    <t xml:space="preserve">Kiambu District, Kenya</t>
  </si>
  <si>
    <t xml:space="preserve">SL28</t>
  </si>
  <si>
    <t xml:space="preserve">Cortado (Espresso-based)</t>
  </si>
  <si>
    <t xml:space="preserve">~1:1 (espresso/milk)</t>
  </si>
  <si>
    <t xml:space="preserve">N/A — espresso format</t>
  </si>
  <si>
    <t xml:space="preserve">Ditting Lab Sweet 403</t>
  </si>
  <si>
    <t xml:space="preserve">Apple; Grape; Blackcurrant</t>
  </si>
  <si>
    <t xml:space="preserve">Palate confirmed: clean, nice, excellent lingering finish. "Clean, structured, with an exceptional lingering phosphoric finish — textbook SL28 Kenyan expression perfectly delivered in cortado format." 4/5 stars.</t>
  </si>
  <si>
    <t xml:space="preserve">9-bar extraction emulsifies coffee lipids into the crema matrix; ~1:1 milk ratio softens entry while SL28's signature phosphoric acid structure dominates the finish — classic Kenyan cortado profile.</t>
  </si>
  <si>
    <t xml:space="preserve">Twenty Grams Roastery, MacPherson — same visit as Rwanda pourover</t>
  </si>
  <si>
    <t xml:space="preserve">Zerah Roasters</t>
  </si>
  <si>
    <t xml:space="preserve">El Diviso — Caturra Chiroso (Ester Bomb)</t>
  </si>
  <si>
    <t xml:space="preserve">El Diviso Farm</t>
  </si>
  <si>
    <t xml:space="preserve">Caturra Chiroso</t>
  </si>
  <si>
    <t xml:space="preserve">Yeast Anaerobic Natural</t>
  </si>
  <si>
    <t xml:space="preserve">Flat-Bottom Dripper</t>
  </si>
  <si>
    <t xml:space="preserve">38g / Unknown seconds</t>
  </si>
  <si>
    <t xml:space="preserve">DF64 Gen 2 (64mm Flat Burr — aftermarket upgrade)</t>
  </si>
  <si>
    <t xml:space="preserve">Passionfruit; Plum Wine; Mango</t>
  </si>
  <si>
    <t xml:space="preserve">Goddamn the smell is intense. Flavor burst — acid or strong flavor, super punchy. Passionfruit with enhanced fruit, funky. Plums. After cooling — sugars came out. Interesting. Strong flavor gone. Overall: funky, fermentation-driven. Processing-dominant cup. Three completely different cups in one — ester detonation hot, funk phase mid, mango sweetness cool.</t>
  </si>
  <si>
    <t xml:space="preserve">Yeast strains WLPU07 + LALVIN 71B at 96hr fermentation, pH 3.72, 100% anaerobic sealed tank (1.2 bar, 23.4°C) produced extreme ester complexity: γ-decalactone (passionfruit lactone) dominant hot, tartaric esters + acetic acid (plum wine/funk) mid, fructose ester chains (mango sweetness) cold. 1:16 lean ratio was critical safety valve — prevented cloying ester overload and enabled three-phase thermal tracking. Flat-bottom geometry amplified body and even bed saturation. DF64 Gen 2 with aftermarket 64mm flat burrs: first DF64 platform entry in archive. Caturra Chiroso = elongated cell structure, Geisha-adjacent clarity potential overridden by fermentation intensity. Yeast Anaerobic Natural distinct process category from Wild Anaerobic.</t>
  </si>
  <si>
    <t xml:space="preserve">Solo visit — Zerah Roasters, Singapore, 26 May 2026. Barista explained fermentation process, flat-bottom geometry rationale, 1:16 ratio decision in detail. Warm educational session on 2nd floor cosy space. Barista recommended Glyph Supply Co (Jurong).</t>
  </si>
  <si>
    <t xml:space="preserve">Infographic (Entry #025 Ester Bomb) + Google Maps review + Google review authored by Hari</t>
  </si>
  <si>
    <t xml:space="preserve">465 North Bridge Rd, #02-5063, Singapore 188720</t>
  </si>
  <si>
    <t xml:space="preserve">Colombia Juan Martin</t>
  </si>
  <si>
    <t xml:space="preserve">Banexport</t>
  </si>
  <si>
    <t xml:space="preserve">Red Striped Bourbon</t>
  </si>
  <si>
    <t xml:space="preserve">Mahlkönig EK Omnia (98mm Flat Burr)</t>
  </si>
  <si>
    <t xml:space="preserve">Berry, Red Plum, Nectarine, Orange Tea</t>
  </si>
  <si>
    <t xml:space="preserve">Orange-type aromatic afterfeel when hot — bright and encapsulating. Clearly fruity character throughout. Mellows cleanly as it cools; sugars emerge distinctly at mid-cool phase. Nice and light overall — 1:17 lean ratio working well on this varietal.</t>
  </si>
  <si>
    <t xml:space="preserve">EK Omnia 98mm flat burrs + xBloom flat-bottom geometry maintained body integrity at 1:17 lean ratio. Retail bag on shelf dated 10 Jun 2026 but filter batch roast date unconfirmed — cup behaviour (clean sugar emergence, well-integrated stone fruit at cool phase) is consistent with a properly rested lot of 10–21 days post-roast. Red Striped Bourbon sucrose density confirmed by clean sweetness at cool phase.</t>
  </si>
  <si>
    <t xml:space="preserve">Solo visit — office lunch break, 13:15</t>
  </si>
  <si>
    <t xml:space="preserve">Direct observation + bag photo (retail stock)</t>
  </si>
  <si>
    <t xml:space="preserve">Rwanda Nkara Soil Project Lot 1204</t>
  </si>
  <si>
    <t xml:space="preserve">Nkara Soil Project</t>
  </si>
  <si>
    <t xml:space="preserve">Rwanda</t>
  </si>
  <si>
    <t xml:space="preserve">Floral aroma, taste of mandarin orange, baked apple and grapefruit, brown sugar-like sweetness and accompanying aftertaste</t>
  </si>
  <si>
    <t xml:space="preserve">Strong aftertaste with slight bitterness noted. Baked apple taste dominates and persists across all phases. Sugars emerge clearly on cooling — brown sugar sweetness confirmed at cool phase. Rated average. Rwanda Nkara terroir pushes more citrus-floral (mandarin/grapefruit) vs prior Rwanda entry at Twenty Grams (Entry #024) which was peach/stone fruit dominant.</t>
  </si>
  <si>
    <t xml:space="preserve">EK43 98mm flat burrs paired with conical V60 geometry — key hardware distinction vs prior Kurasu Frinsa entry. V60 conical creates faster flow rate and higher bypass risk vs flat-bottom; the slight bitterness is consistent with conical geometry allowing fine particles to over-extract at the drain. Washed Red Bourbon at altitude delivers classic Rwandan citric-malic duality (mandarin + baked apple). Baked apple dominance = malic acid thermally stabilised — persists across full thermal arc unlike volatile citric top notes which fade. Brown sugar aftertaste is sucrose retention signature of Red Bourbon genetics.</t>
  </si>
  <si>
    <t xml:space="preserve">Solo visit — 13 Jun 2026</t>
  </si>
  <si>
    <t xml:space="preserve">Direct observation + bean card photo</t>
  </si>
  <si>
    <t xml:space="preserve">KerYi Coffee</t>
  </si>
  <si>
    <t xml:space="preserve">Colombia Finca La Esmaralda</t>
  </si>
  <si>
    <t xml:space="preserve">Finca La Esmaralda</t>
  </si>
  <si>
    <t xml:space="preserve">Honey</t>
  </si>
  <si>
    <t xml:space="preserve">Light Roast</t>
  </si>
  <si>
    <t xml:space="preserve">Hario Switch (Immersion/Percolation Hybrid)</t>
  </si>
  <si>
    <t xml:space="preserve">91 → 78</t>
  </si>
  <si>
    <t xml:space="preserve">60g (~4:1)</t>
  </si>
  <si>
    <t xml:space="preserve">Ditting 98mm flat burr</t>
  </si>
  <si>
    <t xml:space="preserve">Citrus, white florals, lychee, sugar-cane sweetness</t>
  </si>
  <si>
    <t xml:space="preserve">Smooth body throughout. Lychee &amp; white florals lead in the hot phase — fragile linalool terpenes survived the tight 1:14 concentration. Citrus surfaces mid-cool as perceived sweetness rises; honey-derived sweetness rounds the cool-phase finish into progressive smoothness. Rated highly — a fine, relaxing Gesha. Clarity held; upper Gesha tier (cf. El Obraje washed favourite, Hiu Los Lajones honey Panama).</t>
  </si>
  <si>
    <t xml:space="preserve">Ditting 98mm flat burrs deliver lab-grade narrow particle distribution with minimal fines — the key variable licensing an aggressive 1:14 ratio without astringency. Descending pour (91°C bloom/first pour → 78°C final) uses temperature as a brake on the extraction tail: high heat early extracts volatile terpenes, acids &amp; sugars; the cool final pour reaches target volume while suppressing late-stage chlorogenic-acid bitterness. Hario Switch valve-closed immersion develops honey-process mucilage sweetness &amp; body evenly before percolative drain adds finish definition — conical geometry runs against the flat-bottom affinity but suits this process.</t>
  </si>
  <si>
    <t xml:space="preserve">Solo relaxation visit — Sunday 14 Jun 2026, 11 AM; barista-led brew interview (grinder/ratio/temp confirmed)</t>
  </si>
  <si>
    <t xml:space="preserve">Direct observation + menu photo + barista interview</t>
  </si>
  <si>
    <t xml:space="preserve">161 Lavender St, #01-08, Singapore 338750</t>
  </si>
  <si>
    <t xml:space="preserve">Corner Corner</t>
  </si>
  <si>
    <t xml:space="preserve">Malaysia My Liberica</t>
  </si>
  <si>
    <t xml:space="preserve">My Liberica (Jason Liew), Kulai, Johor</t>
  </si>
  <si>
    <t xml:space="preserve">Malaysia, Kulai, Johor</t>
  </si>
  <si>
    <t xml:space="preserve">Liberica (Coffea liberica)</t>
  </si>
  <si>
    <t xml:space="preserve">JH Natural (Jekyll &amp; Hyde controlled fermentation - proprietary My Liberica process)</t>
  </si>
  <si>
    <t xml:space="preserve">Pour Over (filter)</t>
  </si>
  <si>
    <t xml:space="preserve">90-92 (steady throughout)</t>
  </si>
  <si>
    <t xml:space="preserve">Timemore (conical Gold burr, coarse)</t>
  </si>
  <si>
    <t xml:space="preserve">Root beer / Tropical fruit punch / Raspberry candy / Rambutan / Longan / Sarsi (roaster: One Half)</t>
  </si>
  <si>
    <t xml:space="preserve">Interesting and approachable - 'not so funky but different for sure'; picked out longan-type fruit. First non-arabica capture in the archive; landed as a positive novelty rather than rejected.</t>
  </si>
  <si>
    <t xml:space="preserve">First Liberica (Coffea liberica) and first Malaysia/Johor origin in archive; near-sea-level farm (26-30 MASL). Low 13g dose at ~1:14.6 ratio with steady 90-92C and a conical Timemore Gold burr deliberately tames Liberica's smoky-woody funk into a cleaner, longan-forward cup; the small dose + generous water dilutes intensity for legibility. NOTE: barista verbally cited ~1:16, but stated 13g:190g computes to 1:14.6.</t>
  </si>
  <si>
    <t xml:space="preserve">Roaster: One Half (light-roast filter program). Corner Corner is a vinyl-record listening bar/cafe; walls of LPs, warm low lighting, Japanese-style carafe-and-cup serve. Friday 19 June 2026, ~15:15. Rated awesome by Hari.</t>
  </si>
  <si>
    <t xml:space="preserve">Field audit (Claude)</t>
  </si>
  <si>
    <t xml:space="preserve">16 Duxton Rd, Singapore 089482</t>
  </si>
  <si>
    <t xml:space="preserve">Equate Coffee</t>
  </si>
  <si>
    <t xml:space="preserve">Colombia Huila La Pradera</t>
  </si>
  <si>
    <t xml:space="preserve">La Pradera</t>
  </si>
  <si>
    <t xml:space="preserve">Colombia, Huila</t>
  </si>
  <si>
    <t xml:space="preserve">Pour Over (Orea V4)</t>
  </si>
  <si>
    <t xml:space="preserve">90-92 (pours 1-2), 68-70 (pours 3-4)</t>
  </si>
  <si>
    <t xml:space="preserve">EK43</t>
  </si>
  <si>
    <t xml:space="preserve">Peach Jam / Orange / Honey Sweetness</t>
  </si>
  <si>
    <t xml:space="preserve">Average - strong isolated peach note but jam/honey sweetness underdeveloped; suspects 1:15 ratio would have balanced acid/sweetness better</t>
  </si>
  <si>
    <t xml:space="preserve">Flat-burr EK43 (98mm) paired with flat-bottom Orea V4 geometry and a descending 90-92C to 68-70C thermal pulse profile; the 1:14 ratio (tighter than Hari's 1:15-1:17 default) front-loaded malic acid extraction (strong peach) while leaving honey/sweetness underdeveloped due to reduced dilution and low back-half temperature.</t>
  </si>
  <si>
    <t xml:space="preserve">2nd-floor minimalist cafe; pastel interiors, spacious, dog-friendly; cakes-only food menu (banana cake); benchmark ambience per Hari.</t>
  </si>
  <si>
    <t xml:space="preserve">1 Tanjong Pagar Plaza, #02-25, Singapore 082001</t>
  </si>
  <si>
    <t xml:space="preserve">Apartment Roastery</t>
  </si>
  <si>
    <t xml:space="preserve">Colombia Javier Quintero</t>
  </si>
  <si>
    <t xml:space="preserve">Javier Quintero, Buena Vista Farm</t>
  </si>
  <si>
    <t xml:space="preserve">Inza, Cauca, Colombia</t>
  </si>
  <si>
    <t xml:space="preserve">Bourbon Aruzi</t>
  </si>
  <si>
    <t xml:space="preserve">Light (Filter Roast)</t>
  </si>
  <si>
    <t xml:space="preserve">Pour-over (Hand Brew)</t>
  </si>
  <si>
    <t xml:space="preserve">1:16.9</t>
  </si>
  <si>
    <t xml:space="preserve">White peach; blackberry; jasmine</t>
  </si>
  <si>
    <t xml:space="preserve">White peach dominant, well-balanced; clean washed expression, very enjoyable</t>
  </si>
  <si>
    <t xml:space="preserve">High-temp (95C) and 1:16.9 ratio on EK43 flat burr favored extraction of volatile floral/peach esters (linalool, lactones) over heavier blackberry polyphenolics, producing a peach-forward, high-clarity cup. 200g bag roasted 15 June 2026 (6 days post-roast at time of visit).</t>
  </si>
  <si>
    <t xml:space="preserve">Sister branch of Apartment (Selegie Rd), located Jalan Riang, Serangoon Gardens. First visit to this branch.</t>
  </si>
  <si>
    <t xml:space="preserve">Jln Riang, #15-9, Singapore 358987</t>
  </si>
  <si>
    <t xml:space="preserve">PPP Coffee (Funan)</t>
  </si>
  <si>
    <t xml:space="preserve">Ethiopia Suke Quto</t>
  </si>
  <si>
    <t xml:space="preserve">Suke Quto Farm (Tesfaye Bekele)</t>
  </si>
  <si>
    <t xml:space="preserve">Welicho &amp; Kurume (blend)</t>
  </si>
  <si>
    <t xml:space="preserve">Fully-Washed</t>
  </si>
  <si>
    <t xml:space="preserve">Light Filter Roast</t>
  </si>
  <si>
    <t xml:space="preserve">Mazzer MM (83mm Flat Burr)</t>
  </si>
  <si>
    <t xml:space="preserve">Nectarine, White Florals, Citrus</t>
  </si>
  <si>
    <t xml:space="preserve">Sharp unripe orange dominated all thermal phases — no floral lift, no mid-cool malic sweetness, no phase shift detected. Citric over-extraction signature suppressed linalool volatiles and sucrose emergence. Hardware execution miss — Guji terroir likely unrealised. Rated below average.</t>
  </si>
  <si>
    <t xml:space="preserve">Mazzer MM 83mm flat burrs produce wider fines distribution than 98mm reference tier; fine particle accumulation at V60 conical drain drove chlorogenic-acid over-extraction, presenting as persistent sharp citrus and blunting the Welicho &amp; Kurume floral/nectarine terroir expression across the full thermal arc. Second V60 conical over-extraction pattern in archive (cf. Entry #31, Kurasu Rwanda).</t>
  </si>
  <si>
    <t xml:space="preserve">Solo visit — 25 Jun 2026; Funan mall location; bean card photographed; no barista consultation</t>
  </si>
  <si>
    <t xml:space="preserve">Direct observation + bean card photo + menu photo</t>
  </si>
  <si>
    <t xml:space="preserve">107 N Bridge Rd, #02-19, Singapore 179105</t>
  </si>
  <si>
    <t xml:space="preserve">China Yunnan Meng Hai</t>
  </si>
  <si>
    <t xml:space="preserve">Blang and Dai Family Farms</t>
  </si>
  <si>
    <t xml:space="preserve">Menghai, Xishuangbanna, Yunnan, China</t>
  </si>
  <si>
    <t xml:space="preserve">Purple Leaf Caturra</t>
  </si>
  <si>
    <t xml:space="preserve">Double Washed</t>
  </si>
  <si>
    <t xml:space="preserve">1:16.5</t>
  </si>
  <si>
    <t xml:space="preserve">4-pour progressive ~30s intervals; Bloom 30g; to 120g (+90g); to 180g (+60g); to 215g (+35g). Descending pour volumes confirmed by barista.</t>
  </si>
  <si>
    <t xml:space="preserve">Dried tangerine peel; red apple; pandan (origin card) / Dried orange peel; red apple; pandan (menu — discrepancy flagged)</t>
  </si>
  <si>
    <t xml:space="preserve">Bright vibrant opening (hot); crisp malic clarity; mellowed gracefully at cool with no dominant note; pandan as background aromatic binder; well-balanced; no bitterness; genuinely pleasant surprise for non-core-palate origin</t>
  </si>
  <si>
    <t xml:space="preserve">Double Washed process + EK43 flat burr uniformity produced exceptional acid clarity across all thermal phases; constant 95C 4-pour progressive with descending pour volumes (30g bloom → +90g → +60g → +35g) front-loaded solubles extraction then completed gently without bed agitation; Purple Leaf Caturra anthocyanin complexity confirmed at cool phase.</t>
  </si>
  <si>
    <t xml:space="preserve">Second visit to Apartment (Jalan Riang); Saturday 27 Jun 2026, 10:45am. Menu note: dried orange peel (menu) vs dried tangerine peel (origin card) — origin card used as authoritative. First Chinese-origin entry in archive (entry #36).</t>
  </si>
  <si>
    <t xml:space="preserve">Ethiopia Urabeast G1</t>
  </si>
  <si>
    <t xml:space="preserve">Uraga, Guji, Ethiopia</t>
  </si>
  <si>
    <t xml:space="preserve">74110 / 74112</t>
  </si>
  <si>
    <t xml:space="preserve">Mosto Fermentation</t>
  </si>
  <si>
    <t xml:space="preserve">88 → 70</t>
  </si>
  <si>
    <t xml:space="preserve">Winey; Raspberry; Purple grapes</t>
  </si>
  <si>
    <t xml:space="preserve">First mosto fermentation entry in archive — process milestone. Bright raspberry and florals dominate hot phase; fruit esters volatile and immediate confirming correct low-entry-temp calibration at 88°C. Thermal transition mid-cool reveals progressive winey character as acetic compounds emerge post-ester dissipation. Purple grape ambiguous — raspberry clearly dominant throughout. Light-to-medium body with clean short finish consistent with 74110/74112 JARC varietal genetics. Fruity, controlled, process-honest expression. Rated excellent.</t>
  </si>
  <si>
    <t xml:space="preserve">88°C descending to 70°C entry temp is deliberate suppression of acetic acid volatilisation — allows fruit esters to express cleanly before winey compounds dominate. Ditting 98mm flat burr uniformity protected raspberry ester clarity; 1:14 tight ratio on Hario Switch immersion built even body without over-extracting fermentation-derived acetic acids. 2-minute brew time limited lipid extraction keeping finish clean rather than syrupy. Mosto fermentation uses cherry pulp juice as fermentation medium — produces restrained winey complexity vs full natural while retaining dark fruit ester complexity.</t>
  </si>
  <si>
    <t xml:space="preserve">Solo visit — 28 Jun 2026, 10:30AM. Keryi return visit (Entry #31 ref: Colombia Finca La Esmaralda). First mosto fermentation process in archive.</t>
  </si>
  <si>
    <t xml:space="preserve">Field audit (Claude) — direct barista confirmation</t>
  </si>
  <si>
    <t xml:space="preserve">Yellow Sudan Rume</t>
  </si>
  <si>
    <t xml:space="preserve">Felipe Arcila - Jardines Del Eden</t>
  </si>
  <si>
    <t xml:space="preserve">Pijiao, Quindío, Colombia</t>
  </si>
  <si>
    <t xml:space="preserve">Sudan Rume (Yellow)</t>
  </si>
  <si>
    <t xml:space="preserve">Extended Fermentation Natural (EF2)</t>
  </si>
  <si>
    <t xml:space="preserve">April Brewer (Flat-Bottom)</t>
  </si>
  <si>
    <t xml:space="preserve">110g (first pour) → 240g (second pour)</t>
  </si>
  <si>
    <t xml:space="preserve">Lemongrass, Vanilla, Red Fruits, Brown Sugar</t>
  </si>
  <si>
    <t xml:space="preserve">Hot phase: red fruits dominant, bright and acidic, light-to-medium body. Mid-cool: lemongrass clarifies as geraniol emerges; vanilla appears as background aromatic. Cool: brown sugar sweetness confirmed, mellowed, clean lingering finish with pleasant mouthfeel. Overall excellent — bright, fruity, balanced, varietal-honest. First Yellow Sudan Rume natural-process entry in archive.</t>
  </si>
  <si>
    <t xml:space="preserve">EF2 24-hour Grainpro aerobic fermentation at sub-22°C produced controlled ester development without acetic acid overproduction — cup reads bright and clean vs winey (contrast Entry #37 mosto). Red fruit dominance hot phase = ethyl butyrate/hexanoate fermentation esters. Lemongrass/geraniol mid-cool = Sudan Rume varietal-native genetic signature, not process-derived. Vanillin + brown sugar sucrose emerges sub-55°C at cool phase. April flat-bottom two-pour (110g + 130g) at 90°C maintained even bed saturation preserving delicate geraniol top notes. Three milestones: first Yellow Sudan Rume mutation in archive; first EF2 Extended Fermentation Natural process category; new producer Felipe Arcila / Jardines Del Eden.</t>
  </si>
  <si>
    <t xml:space="preserve">Solo visit — 28 Jun 2026, 11:06AM. Second stop of dual-session day (Entry #37 Keryi Coffee mosto fermentation same morning). Receipt SGD 14.00 confirmed.</t>
  </si>
  <si>
    <t xml:space="preserve">Field audit (Claude) — bean card + receipt + hardware photos</t>
  </si>
  <si>
    <t xml:space="preserve">2050 Coffee</t>
  </si>
  <si>
    <t xml:space="preserve">Myanmar Arakan Mountain</t>
  </si>
  <si>
    <t xml:space="preserve">Asho Chin Coffee Association</t>
  </si>
  <si>
    <t xml:space="preserve">Magway, Myanmar</t>
  </si>
  <si>
    <t xml:space="preserve">Catimor</t>
  </si>
  <si>
    <t xml:space="preserve">Fully Washed &amp; Honey</t>
  </si>
  <si>
    <t xml:space="preserve">Automated Tap Dispenser (Filter)</t>
  </si>
  <si>
    <t xml:space="preserve">N/A — batch-dispensed, no per-cup brew event</t>
  </si>
  <si>
    <t xml:space="preserve">Yellow Pear, Dried Fruits, Brown Sugar, Almond</t>
  </si>
  <si>
    <t xml:space="preserve">Fruity and acidic with pear dominant and a light nutty edge — closely matches official notes (Yellow Pear, Almond). But flat across the cup: none of the hot/mid-cool/cool thermal progression of a manual pourover, reading as machine-consistent rather than barista-crafted. Hari's verdict: not worth a repeat visit — and on principle, he considers it a bad idea to automate the pourover format specifically. Pourover's whole identity rests on a human reading the bed and adjusting pour/temperature in real time; a tap dispenser removes that variable entirely, so even a technically clean cup like this one reads as inert rather than expressive.</t>
  </si>
  <si>
    <t xml:space="preserve">Tap-dispensed batch brewing removes the two levers that define pourover's identity — pulse-pour agitation and a controlled, declining temperature curve — collapsing what should be a three-phase thermal arc into one static, averaged extraction state. Consistent, but expressively inert; this backs up Hari's stated view that automation and pourover are a poor philosophical fit. Catimor's rust-resistant hybrid lineage plus the sub-1,050m altitude also compress the acid/aromatic ceiling well below the 1,700m+ Bourbon/Gesha lots this benchmarks against. Automation suits high-throughput formats (espresso, batch drip, cold brew) where uniformity is the point; it works against the reason pourover exists in the first place. Machine-brewed psychological discount applies per scoring convention.</t>
  </si>
  <si>
    <t xml:space="preserve">First visit — automated tap filter bar (2050 Coffee), novelty try. First Myanmar origin and first Catimor varietal in archive. Hari has ruled out a return visit and holds a firm general view that automating pourover-format filter brewing is conceptually flawed, regardless of cup quality.</t>
  </si>
  <si>
    <t xml:space="preserve">267 Beach Rd, #01-01, Singapore 199545</t>
  </si>
  <si>
    <t xml:space="preserve">Ethiopia Worka Chelchele</t>
  </si>
  <si>
    <t xml:space="preserve">Kyūkei Coffee (In-house roast) — confirmed via Instagram DM</t>
  </si>
  <si>
    <t xml:space="preserve">Gedeb, Gedeo Zone, Ethiopia</t>
  </si>
  <si>
    <t xml:space="preserve">Dega, Wolisho, Kurume (Landrace Triad)</t>
  </si>
  <si>
    <t xml:space="preserve">Pour-over (Deep27, Flat-Bottom, Immersion-Assist) — confirmed by Kyūkei Coffee via Instagram DM</t>
  </si>
  <si>
    <t xml:space="preserve">85 → 95 (ramped)</t>
  </si>
  <si>
    <t xml:space="preserve">30 seconds</t>
  </si>
  <si>
    <t xml:space="preserve">Unknown — Kyūkei DM did not address grinder; tall cylindrical flat-burr unit visible in bar photo, model unconfirmed</t>
  </si>
  <si>
    <t xml:space="preserve">Lemon, Peach, Bergamot, Apricot</t>
  </si>
  <si>
    <t xml:space="preserve">Floral hit and citrus brightness dominated the hot phase — lime/lemon citric clarity with linalool florals leading. Mid-cool: brightness tapered into balanced malic structure; slight chlorogenic bitter tinge after slurp — contained, not a flaw. Cool phase: nectarine and stone fruit sugars emerged cleanly; jasmine/berry aftertaste lingered beyond the cup. Excellent 4/4 palate alignment with roaster notes. Barista confirmed "bright" — accurate. Berry-jasmine aftertaste tail identified as likely Wolisho landrace signature beyond stated roaster notes.</t>
  </si>
  <si>
    <t xml:space="preserve">Deep27 flat-bottom immersion-assist brewer (confirmed by Kyūkei via DM) — the "D something" brewer identified in-session. Immersion-assist geometry ensures full and even bed saturation before drawdown, explaining the exceptional extraction clarity and balanced thermal arc observed. Grinder model unconfirmed — tall cylindrical flat-burr unit visible on bar but not identified by Kyūkei in DM. House ratio confirmed as 16g/240g (1:15) — within the 1:15–1:17 Palate DNA comfort band. Bloom confirmed 30 seconds. In-house roast confirmed.</t>
  </si>
  <si>
    <t xml:space="preserve">Solo visit — Kyūkei Coffee Maxwell lunch audit, 01 Jul 2026, 13:04</t>
  </si>
  <si>
    <t xml:space="preserve">Direct observation + receipt + barista confirmation</t>
  </si>
  <si>
    <t xml:space="preserve">Finca Villarazo — Pink Bourbon</t>
  </si>
  <si>
    <t xml:space="preserve">Finca Villarazo</t>
  </si>
  <si>
    <t xml:space="preserve">Pink Bourbon</t>
  </si>
  <si>
    <t xml:space="preserve">Pour-over (Orea V4 — Flat-Bottom)</t>
  </si>
  <si>
    <t xml:space="preserve">92 (constant)</t>
  </si>
  <si>
    <t xml:space="preserve">50g / 40s (1:3.3 bloom ratio)</t>
  </si>
  <si>
    <t xml:space="preserve">DF83V (83mm Flat Burr)</t>
  </si>
  <si>
    <t xml:space="preserve">Lively and juicy; Pomegranate; Mandarin; Lingering Florals</t>
  </si>
  <si>
    <t xml:space="preserve">Hot phase: simultaneous pomegranate + mandarin orange hit — bright, punchy, fruity. Low-to-medium body throughout. Mid-cool: sugar emergence as brightness decreases — sucrose surfacing as citric volatiles dissipate. Cool phase: sugar dominant with pomegranate aftertaste lingering cleanly. Floral presence subtle — linalool under the citric punch. Official notes confirmed across all three thermal phases. First Pink Bourbon in archive.</t>
  </si>
  <si>
    <t xml:space="preserve">DF83V 83mm flat burrs (Chinese-market variant) — first DF83 platform entry in archive, largest consumer flat burr diameter logged (83mm vs prior max 98mm commercial). Larger burr surface area + higher RPM produces near-zero fines, explaining exceptional acid clarity at hot phase. Orea V4 flat-bottom geometry: zero bypass, full bed saturation via wave filter — isolated Pink Bourbon citric-malic duality without channeling interference. 22 days off roast (roasted 11 Jun 2026) — one day past optimal 10-21 day degas window; citric top notes (mandarin) still present but beginning to fade, explaining why mid-cool sugar emergence was earlier and stronger than expected. Bloom 50g/40s (1:3.3 ratio) — generous bloom on 15g dose ensured full CO₂ purge before extraction. Constant 92°C with no temperature step-down: single-temp protocol on washed Pink Bourbon works because the bean has no heavy mucilage sugars requiring lower-temp management. Pink Bourbon genetic signature confirmed: ellagic acid esters (pomegranate, thermally stable) + citric acid (mandarin, volatile) co-present hot phase; sucrose density characteristic of Bourbon mutation reveals at cool. In-house micro-roastery adjacent to café — Zerah roasts own beans on-site.</t>
  </si>
  <si>
    <t xml:space="preserve">Solo visit — Zerah Roasters, Singapore. Friday lunch break, 12:30 PM, 3 Jul 2026. Second Zerah visit (Entry #035 ref: El Diviso Ester Bomb, 26 May 2026). Bean card photo confirmed. In-house roast, micro-roastery on-site next to café. Barista: Aqil — most friendly and enthusiastic barista across all 48 archive visits to date. Explained brew parameters, roast date, and flat-bottom geometry rationale unprompted. Standout human element — educational and warm throughout.</t>
  </si>
  <si>
    <t xml:space="preserve">Field audit (Claude) — bean card + barista confirmation</t>
  </si>
  <si>
    <t xml:space="preserve">Oaks Coffee Co.</t>
  </si>
  <si>
    <t xml:space="preserve">Floripondio 90 Hours</t>
  </si>
  <si>
    <t xml:space="preserve">Los Rodriguez</t>
  </si>
  <si>
    <t xml:space="preserve">Bolivia</t>
  </si>
  <si>
    <t xml:space="preserve">Lactic Honey</t>
  </si>
  <si>
    <t xml:space="preserve">Origami Dripper (Flat-Bottom)</t>
  </si>
  <si>
    <t xml:space="preserve">88 (constant)</t>
  </si>
  <si>
    <t xml:space="preserve">80-90g first pour (3-pour protocol)</t>
  </si>
  <si>
    <t xml:space="preserve">Option-O Lagom P80 (80mm Flat Burr)</t>
  </si>
  <si>
    <t xml:space="preserve">Mango; Passionfruit</t>
  </si>
  <si>
    <t xml:space="preserve">Hot phase: mango and passionfruit dominant — bright punchy LAB ester burst. Mid-cool: tropicals recede, sugar clarity emerges, lactic-glycerol creaminess surfaces. Cool phase: clean nectarine emergence — Pacamara varietal-native genetic signature. Clean honey sweetness, thermally stable finish. Bright, fruity, well-structured throughout. Highly enjoyable.</t>
  </si>
  <si>
    <t xml:space="preserve">P80 80mm flat burrs delivered near-unimodal distribution on Pacamara's oversized bean mass; 88°C constant temperature preserved LAB-derived fruit esters and lactic-glycerol creaminess from 90-hour fermentation without volatilising into sharpness; Origami flat-bottom zero-bypass architecture protected aromatic integrity across all three thermal phases.</t>
  </si>
  <si>
    <t xml:space="preserve">Solo visit — Oaks Coffee Co., Bukit Timah Road, 4 Jul 2026, 16:00. Café Day 4 of operations. Milestones: First Bolivia, First Pacamara, First Lactic Honey, First P80 platform. Barista warm and knowledgeable.</t>
  </si>
  <si>
    <t xml:space="preserve">Direct observation + bean card photo + barista confirmation</t>
  </si>
  <si>
    <t xml:space="preserve">223 Upper Thomson Rd, Singapore 574355</t>
  </si>
  <si>
    <t xml:space="preserve">Homeground Coffee Roasters</t>
  </si>
  <si>
    <t xml:space="preserve">Colombia Inmaculada Gesha Natural</t>
  </si>
  <si>
    <t xml:space="preserve">Inmaculada Estate</t>
  </si>
  <si>
    <t xml:space="preserve">Valle del Cauca, Colombia</t>
  </si>
  <si>
    <t xml:space="preserve">Origami Dripper (Ceramic — Flat-Bottom Stand)</t>
  </si>
  <si>
    <t xml:space="preserve">86-90</t>
  </si>
  <si>
    <t xml:space="preserve">Hibiscus, Pomegranate, Stewed Peach, Darjeeling Tea</t>
  </si>
  <si>
    <t xml:space="preserve">HOT: Hibiscus and pomegranate bright and balanced — clean anthocyanin-driven floral punch, excellent opening. | MID-COOL: Flavour tapered gracefully; Darjeeling tea polyphenol structure emerged, smooth and soothing. | COOL: Tea backbone confirmed with slight sugar aftercoat — cherry-dried sucrose persisting cleanly at sub-50°C. Overall: excellent and deeply relaxing; Gesha varietal identity held under natural process layer. Top-tier entry — starred.</t>
  </si>
  <si>
    <t xml:space="preserve">EK43 98mm flat burrs at 24–26 click equivalent; 86–90°C natural protocol deliberately suppresses acetic acid volatilisation while preserving anthocyanin-driven hibiscus esters and Gesha linalool-floral DNA. Lean 1:16.5 ratio dilutes fermentation-derived sugar density to reveal Gesha varietal structure underneath. Origami flat-bottom stand confirmed by direct observation — same pink ceramic unit used for both cups. 21 days off roast (roasted 14 Jun 2026, tasted 5 Jul 2026) — optimal degas window per bean card guidance; volatile aromatics intact, zero stale oxidation. Darjeeling tea polyphenol structure held clean across all thermal phases confirming precision aerobic fermentation at Inmaculada. First Colombia Gesha Natural in archive; completes washed/honey/natural Colombia Gesha process trilogy. First Homeground entry; first Origami brewer logged.</t>
  </si>
  <si>
    <t xml:space="preserve">Father-daughter visit — Homeground Coffee Roasters Bukit Timah Experience Room; 5 Jul 2026 10:30 AM</t>
  </si>
  <si>
    <t xml:space="preserve">Field audit (Claude) — bean card + barista confirmed + direct observation</t>
  </si>
  <si>
    <t xml:space="preserve">911 Bukit Timah Rd, Singapore 589622</t>
  </si>
  <si>
    <t xml:space="preserve">Bolivia Los Rodriguez Caturra Washed</t>
  </si>
  <si>
    <t xml:space="preserve">Samaipata, Bolivia</t>
  </si>
  <si>
    <t xml:space="preserve">Caturra</t>
  </si>
  <si>
    <t xml:space="preserve">1:16.2</t>
  </si>
  <si>
    <t xml:space="preserve">90-93</t>
  </si>
  <si>
    <t xml:space="preserve">Apricot, Apple, Honey</t>
  </si>
  <si>
    <t xml:space="preserve">Aanya's cup (companion entry). Fruity and clean throughout — apricot and stone fruit character apparent from opening; honey sweetness emerged clearly at cool phase. Both Hari and Aanya enjoyed; approachable, well-structured, and clean finish with no bitterness. Excellent introduction-level specialty filter.</t>
  </si>
  <si>
    <t xml:space="preserve">EK43 98mm flat burrs at 26–28 click equivalent (coarser than Gesha Natural — consistent with washed protocol building structured body); 90–93°C higher temp than natural protocol to fully dissolve Caturra's denser post-pulping cellulose structure. Origami flat-bottom stand confirmed by direct observation — same pink ceramic unit as Gesha. Flat-bottom geometry builds even puck saturation preserving malic apricot-apple clarity. Samaipata Bolivia high-altitude Caturra: compact varietal frame produces clean malic acid structure with honey-sucrose finish. Bean card specifies 14-day minimum rest. Roast date unknown.</t>
  </si>
  <si>
    <t xml:space="preserve">Father-daughter visit — Homeground Coffee Roasters Bukit Timah Experience Room; 5 Jul 2026 10:30 AM; Aanya's cup</t>
  </si>
  <si>
    <t xml:space="preserve">Field audit (Claude) — bean card confirmed + direct observation</t>
  </si>
  <si>
    <t xml:space="preserve">Cowpresso Coffee Roasters</t>
  </si>
  <si>
    <t xml:space="preserve">Geisha Colombia Las Nubes</t>
  </si>
  <si>
    <t xml:space="preserve">Valle de Cauca, Colombia</t>
  </si>
  <si>
    <t xml:space="preserve">Pour-over (Cowpresso Custom 3-Hole Ceramic Dripper — Conical)</t>
  </si>
  <si>
    <t xml:space="preserve">DF83 (83mm Flat Burr) — barista confirmed</t>
  </si>
  <si>
    <t xml:space="preserve">Lychee, Strawberry, Blueberry, Floral, Lemons</t>
  </si>
  <si>
    <t xml:space="preserve">HOT: Explosive berry and lemon citric punch; fruity-forward ester detonation with isoamyl lychee dominant and acetic back-note trailing from Natural process. | MID-COOL: Acid persistence — lychee ester adheres to palate; malic backbone emerges as citric fades; still assertive rather than settling. | COOL: Lychee and body hold clean to final temperature; no notable sugar emergence — melanoidin body from medium roast persists. Verdict: An aggressive Geisha expression — Natural process × medium roast drives a fruit-heavy, body-forward profile divergent from the archive's Washed Geisha baseline. Enjoyable on its own terms; confirms Palate DNA preference for calmer washed clarity. First Natural Geisha in archive. Father-daughter visit with Aanya; barista Aung (Myanmar) gifted a complimentary sea salt latte — standout warmth and hospitality. Excellent café ambience and visual aesthetics noted.</t>
  </si>
  <si>
    <t xml:space="preserve">Natural process ester chemistry (isoamyl acetate/lychee, berry esters) amplified by the custom Cowpresso 3-hole conical ceramic dripper's extended bed contact geometry, explaining the assertive acid punch and lychee persistence across all three thermal phases; medium roast Maillard contribution added unusual body mass for a Geisha, compressing linalool florals but sustaining melanoidin mouthfeel to cool — third conical-geometry entry in archive, consistent with the documented over-extraction pattern. DF83 83mm flat burrs provided low-fines grind consistency, moderating fermentation-derived acetic acid amplification. 10 days off roast (roasted 25 Jun 2026) — opening edge of optimal rest window; residual CO₂ may have contributed to slightly compressed clarity.</t>
  </si>
  <si>
    <t xml:space="preserve">Father-daughter visit with Aanya — Cowpresso Coffee Roasters Singapore, 5 Jul 2026, 17:00. Second café of the day after Homeground Coffee Roasters morning session (2 Geishas in one day). Post-hike afternoon visit. Barista: Aung (from Myanmar) — warm and hospitable; gifted a complimentary sea salt latte for tasting. Excellent café ambience and visual aesthetics. Roast date: 25 Jun 2026 (10 days off roast at time of visit). Coffee name 'Las Nubes' from menu/receipt; bean bag reads 'Valle de Cauca' — Las Nubes likely estate name, unconfirmed.</t>
  </si>
  <si>
    <t xml:space="preserve">Direct observation + bean bag photo + receipt + barista confirmation (Aung)</t>
  </si>
  <si>
    <t xml:space="preserve">21 Lor Kilat, #01-07, Singapore 598123</t>
  </si>
  <si>
    <t xml:space="preserve">Alo Coffee — Natural Anaerobic Ethiopia 74158</t>
  </si>
  <si>
    <t xml:space="preserve">Tamiru Tadesse</t>
  </si>
  <si>
    <t xml:space="preserve">74158</t>
  </si>
  <si>
    <t xml:space="preserve">Hario Switch (Flat-Bottom Immersion Hybrid)</t>
  </si>
  <si>
    <t xml:space="preserve">70 → 90 → 70°C (Thermal Oscillation Protocol)</t>
  </si>
  <si>
    <t xml:space="preserve">Lagom P64</t>
  </si>
  <si>
    <t xml:space="preserve">Lychee | Purple Grape | White Peach</t>
  </si>
  <si>
    <t xml:space="preserve">HOT: Perfect balance — lychee and white peach hit immediately. Clean tropical entry, no fermented funk. Light to medium body. WARM: Medium body settles; winey grape character emerges — controlled anaerobic expression, no acetic sharpness. COOL: Brightness recedes, grape clarifies and becomes dominant signal. Less vivid but more structured. Clarity increases as heat dissipates. Overall: well done. Fluid tamed the anaerobic variable cleanly.</t>
  </si>
  <si>
    <t xml:space="preserve">74158 (JARC Ethiopian selection) under anaerobic natural protocol: sealed-tank fermentation produces geraniol and rose oxide compounds — lychee and white peach dominant in hot phase. Ethyl acetate and anthocyanins unlock in warm phase as winey grape. Cool phase: volatile esters dissipate, structural anthocyanin compounds clarify into clean grape signal — classic anaerobic thermal behaviour. Fluid's 70→90→70°C protocol preserved fermentation character without amplifying acetic sharpness. Third Fluid visit confirms thermal oscillation protocol consistent across all menu rotations. Served in white handled mug — different serveware vs previous Fluid visits.</t>
  </si>
  <si>
    <t xml:space="preserve">Third visit to Fluid Collective, 6 July 2026, 13:10, lunch. Menu fully rotated — all three filter offerings new. First cup of two ordered today. Experimental mood — chose anaerobic. Barista confirmed: ratio 1:15, temp 70→90→70°C, standard Fluid protocol.</t>
  </si>
  <si>
    <t xml:space="preserve">Live Field Audit — Third Visit</t>
  </si>
  <si>
    <t xml:space="preserve">Gara Agena</t>
  </si>
  <si>
    <t xml:space="preserve">Gara Agena Washing Station</t>
  </si>
  <si>
    <t xml:space="preserve">Heirloom Ethiopian Varieties</t>
  </si>
  <si>
    <t xml:space="preserve">Washed Special Prep</t>
  </si>
  <si>
    <t xml:space="preserve">Nectarine | Mandarin Orange | Floral Honey</t>
  </si>
  <si>
    <t xml:space="preserve">HOT: Bright nectarine hit immediate and clean. Floral light orange present from the first sip. Honey detectable even at high temperature — extremely clean washed expression, orange character very clear. WARM: Honey gains ground and becomes the dominant note. Coffee calms and cleans further. Orange recedes to background — gentle, not forward. COOL: Very nice to drink. Washed clarity fully expresses. Nectarine returns cleaner and more defined at lower temperature. Top of my list for what I like. Exceptional.</t>
  </si>
  <si>
    <t xml:space="preserve">Gara Agena Washing Station — Gedeo Zone, Ethiopia. Washed Special Prep designation = Ethiopian Coffee Exchange highest sorting standard, defect-free, hand-selected. Heirloom Ethiopian varieties carry exceptional linalool ester diversity expressing as mandarin orange and floral honey. Nectarine = malic acid dominant — Hari's core palate signal. Clean three-phase thermal arc: nectarine/orange hot → honey grounds warm → washed clarity + nectarine cool. Same Fluid hardware and protocol as all prior visits. Perfect post-anaerobic palate reset — washed clarity after fermentation complexity creates maximum contrast in same session.</t>
  </si>
  <si>
    <t xml:space="preserve">Second cup of two at Fluid Collective third visit, 6 July 2026. Followed Alo Coffee Natural Anaerobic — deliberate contrast pairing. Gara Agena placed top of personal preference list by Hari. SGD 9 — outstanding value for Special Prep Ethiopian heirloom.</t>
  </si>
  <si>
    <t xml:space="preserve">Pinhole Coffee Bar</t>
  </si>
  <si>
    <t xml:space="preserve">Santa Barbara #1 — Gesha Honey Colombia</t>
  </si>
  <si>
    <t xml:space="preserve">Jhon Samboni — Santa Barbara #1</t>
  </si>
  <si>
    <t xml:space="preserve">Colombia — Huila</t>
  </si>
  <si>
    <t xml:space="preserve">Hario V60 Ceramic (Conical — Single Aperture)</t>
  </si>
  <si>
    <t xml:space="preserve">1:14.8</t>
  </si>
  <si>
    <t xml:space="preserve">92°C (Constant)</t>
  </si>
  <si>
    <t xml:space="preserve">52g (3.85× dose)</t>
  </si>
  <si>
    <t xml:space="preserve">Mahlkönig EK43 Mini (64mm Flat Burr)</t>
  </si>
  <si>
    <t xml:space="preserve">White Florals, Berry Candy, Tangerines</t>
  </si>
  <si>
    <t xml:space="preserve">HOT: Tea-like and light — less acidic than expected. Bergamot and white florals present from the first sip, characteristic Gesha linalool signature. Not loud; elegant and restrained. WARM: Subtle tangerine and stone fruit emerge as malic acid takes over from citric. Lychee hit — geraniol expression surfacing at lower temperature. Honey sweetness begins layering in. Brightness tapers cleanly with no harsh edge. COOL: Cup fully opens. Mandarin orange clarifies as the dominant acid signal — malic at low temp, softer and rounder than tangerine. Honey sweetness crystallises and lingers as a clean aftertaste. Best phase of the cup — this is a cold-cup Gesha. Patience rewarded.</t>
  </si>
  <si>
    <t xml:space="preserve">Jhon Samboni's Santa Barbara #1 roasted by Slurp Coffee Project (Roast Gate 15 June — 22 days off-roast, peak filter window). EK43 Mini (64mm flat burrs) — compact single-dose grinder with 64mm flat burrs, tighter particle distribution than full-size EK43 98mm; superior grind uniformity for single-dose filter; V60 conical geometry concentrates fines at apex creating flow restriction risk — mitigated here by fast 2-minute draw-down. 1:14.8 ratio (below Palate DNA band 1:15–1:17) amplified sweetness but compressed hot-phase aromatic lift. Honey process ketone-derived berry/stone fruit compounds require temperature below 65°C to fully volatilise — explains cold-phase revelation. Flat-bottom geometry would have delivered wider aromatic headspace in hot phase.</t>
  </si>
  <si>
    <t xml:space="preserve">Solo audit — Café debut, Watchlist visit fulfilled. 7 July 2026, 12:30 PM. Two offerings on menu: this Gesha at SGD 15 (Santa Barbara #1, Slurp Coffee Project) and Peru Natural Sidra+Caturra at SGD 12 (Elvis Tineo, Cajamarca). Chose Gesha. Pinhole Barista's Stash SGD 10 blind option also available. First Slurp Coffee Project roast in the archive. Barista noted V60 usage is legacy from previous management; current team considering switch to flat-bottom or siphon in future.</t>
  </si>
  <si>
    <t xml:space="preserve">Live Field Audit — Café Debut + Bean Card (Slurp Coffee Project) + Barista Confirmation (dose/temp/pour protocol)</t>
  </si>
  <si>
    <t xml:space="preserve">27 Purvis St, #01-02, Singapore 188604</t>
  </si>
  <si>
    <t xml:space="preserve">Double Shot Coffee</t>
  </si>
  <si>
    <t xml:space="preserve">Kotowa Carolina Gesha</t>
  </si>
  <si>
    <t xml:space="preserve">Kotowa Estate — Carolina Lot</t>
  </si>
  <si>
    <t xml:space="preserve">Boquete, Chiriquí, Panama</t>
  </si>
  <si>
    <t xml:space="preserve">OREA V4 (Flat-Bottom)</t>
  </si>
  <si>
    <t xml:space="preserve">1:13.3</t>
  </si>
  <si>
    <t xml:space="preserve">92°C</t>
  </si>
  <si>
    <t xml:space="preserve">50g bloom (4-pour: 50/50/50/30g)</t>
  </si>
  <si>
    <t xml:space="preserve">Ditting 63.5mm Flat Burr</t>
  </si>
  <si>
    <t xml:space="preserve">White Floral · Peach · White Grape</t>
  </si>
  <si>
    <t xml:space="preserve">HOT: Bright and immediate peach hit — ethyl ester fraction opening cleanly with malic brightness. Promising, high-energy opening. MID-COOL: White florals and peach clarity emerging together — linalool terpenes surfacing as expected for Gesha genetics. Both official notes (white floral, peach) tracking accurately. COOL: Cup mellows significantly. Peach recedes to background. Sucrose sweetness underperforms expectation — sugars suppressed by concentrated house ratio. Lingering bitterness detected — procyanidin and tannin expression from Natural cherry skin polyphenols amplified by 1:13.3 TDS. White grape polyphenol reads as astringent rather than sweet at cool. Overall rated average. Bean quality likely higher than this ratio reveals. Would revisit at 1:15–1:17 to properly isolate Kotowa terroir ceiling.</t>
  </si>
  <si>
    <t xml:space="preserve">Ditting 63.5mm flat burr delivered tight PSD with minimal fines migration and low heat transfer — correct hardware for a delicate Natural Gesha. OREA V4 flat-bottom geometry ensured uniform bed extraction and even dwell time across full coffee bed. However, the 1:13.3 concentrated house ratio elevated TDS significantly above standard 1:15–1:17 Palate DNA band — at this concentration, Natural process polyphenols (procyanidins, chlorogenic acid lactones from dried cherry skin) remain in solution without adequate water buffer to suppress bitterness below palate threshold. Sucrose sweetness outcompeted at cool phase. Ratio is the primary extraction variable suppressing the Gesha's characteristic tea-like sweetness. A 1:15–1:17 recipe would likely transform the cup's cool-phase expression entirely.</t>
  </si>
  <si>
    <t xml:space="preserve">Solo visit — 08 Jul 2026, 14:15. Double Shot Coffee, Kampong Bahru. Food-free dedicated brew-bar café. Barista warm and knowledgeable — voluntarily walked through all brew parameters (dose, temp, pour structure, grinder) without prompting. Comfortable seating. Visited directly after disappointment-driven palate reset at Nylon Coffee Roasters. First Kotowa Carolina estate entry in archive. First Double Shot Coffee visit. House philosophy: concentrated double-shot style filter — 1:13.3 is intentional format, not an error.</t>
  </si>
  <si>
    <t xml:space="preserve">Live Field Audit — Menu photo + barista interview + direct observation (Ditting grinder confirmed, OREA V4 confirmed)</t>
  </si>
  <si>
    <t xml:space="preserve">19 Kampong Bahru Rd, L1, Singapore 169348</t>
  </si>
  <si>
    <t xml:space="preserve">La Flor de la Palma</t>
  </si>
  <si>
    <t xml:space="preserve">William Manchay Espinoza</t>
  </si>
  <si>
    <t xml:space="preserve">Peru</t>
  </si>
  <si>
    <t xml:space="preserve">Bourbon</t>
  </si>
  <si>
    <t xml:space="preserve">Dried Berry; Cherry; Rum &amp; Raisin; Rose</t>
  </si>
  <si>
    <t xml:space="preserve">HOT: Berry arrival — bright and light to medium body; minimal aftertaste. MID-COOL: Mellowed; dried berry lingers with an unresolved slightly bitter shadow. COOL: Same persistent bitterness across finish — source identified post-session as chlorogenic acid lactone (CGA lactone) unmasked by lean ratio on this Natural Bourbon. Honest cup, fair for price, not a return target on this bean.</t>
  </si>
  <si>
    <t xml:space="preserve">EK Omnia 98mm flat burrs + xBloom flat-bottom at 1:17 created a structural ratio-process mismatch on this Natural Bourbon: lean 1:17 dilution suppressed late-extracting sucrose-ester mass (Rum &amp; Raisin depth), leaving CGA lactone bitterness unmasked at mid-cool and cool phases. 93°C slightly conservative for Bourbon's dense cell wall. Roast date 26 Jun 2026 confirmed by barista (bag showed retail pack date 06 Jul 2026 — not roast date); 12 days rest at consumption, within optimal Natural degassing window. Under-rest was NOT the variable; ratio-process mismatch was.</t>
  </si>
  <si>
    <t xml:space="preserve">Return visit to Nylon Coffee Roasters after a disappointing Gesha (Kotowa Carolina) at Double Shot Coffee (Kampong Bahru) earlier same day — Nylon as reliability palate reset. Solo, 15:15 SGT. Peru La Flor de la Palma — Natural Bourbon — first time audited at Nylon under filter conditions. Roast date correction from barista: 26 Jun 2026, not 06 Jul 2026 (bag was retail pack date). Price S$8.50.</t>
  </si>
  <si>
    <t xml:space="preserve">Direct observation + bag photo (name/notes reference only) + barista confirmation (roast date 26 Jun 2026)</t>
  </si>
  <si>
    <t xml:space="preserve">Abseil</t>
  </si>
  <si>
    <t xml:space="preserve">El Sauce Gesha</t>
  </si>
  <si>
    <t xml:space="preserve">El Sauce Farm</t>
  </si>
  <si>
    <t xml:space="preserve">CT62 Coffee Dripper (Taster's Coffee / DragonFly Design, Taiwan — Engineered Conical, 62° Cone, 24-Groove Active Flow Compensation)</t>
  </si>
  <si>
    <t xml:space="preserve">1:15.5</t>
  </si>
  <si>
    <t xml:space="preserve">91°C (Constant throughout)</t>
  </si>
  <si>
    <t xml:space="preserve">80g (~5.3× dose) — Aggressive CO₂ purge bloom</t>
  </si>
  <si>
    <t xml:space="preserve">Gardenia · Mandarin · Dried Apricot · Green Tea · Honeysuckle</t>
  </si>
  <si>
    <t xml:space="preserve">HOT: Honeysuckle and honey immediate — linalool terpenes fully volatilised from aggressive 80g bloom; bright floral clean opening. MID-COOL: Very sugary mid-palate; mandarin orange in background; honey clearly detectable; sucrose dominant as volatile top notes subside — very sweet and clean. COOL: Tea-like and beautifully balanced; mandarin mellowed to background; clean lingering sweetness with zero bitterness — CT62 anti-over-extraction engineering confirmed across all three phases. Overall: elegant, restrained washed Gesha. Upper-tier entry. SGD $21 is steep but the bean quality justifies it. Would return.</t>
  </si>
  <si>
    <t xml:space="preserve">Option-O Lagom P64 64mm flat burrs (narrow particle size distribution, minimal fines) combined with CT62's 24-groove active flow compensation system (12 long + 12 short grooves) eliminated standard conical over-extraction risk entirely — the CT62 is a conical in geometry only; its engineered groove architecture regulates flow rate at both high and low water levels, producing extraction consistency comparable to flat-bottom geometry. Aggressive 80g bloom at constant 91°C front-loaded complete linalool terpene dissolution, delivering honeysuckle immediately in the hot phase. Conservative 91°C throughout suppressed chlorogenic acid extraction — confirmed by zero phenolic shadow at cool phase. CT62 won 2023 German Design Award and 2023 China and Korea Brewers Cup. First CT62 entry in archive — classified as Engineered Conical (flow-compensated), distinct from standard V60 conical entries.</t>
  </si>
  <si>
    <t xml:space="preserve">Solo visit — Abseil café debut, 09 Jul 2026. Barista Glenda — exceptional engagement, long technical conversation, outstanding hospitality. Rated Joint #1 for barista friendliness alongside Aqil at Zerah Roasters — the two finest barista interactions in the archive. CT62 dripper identity confirmed by Glenda + product screenshot (tasterscoffee.com). Glenda explained bloom logic, confirmed 1:15.5 ratio, and noted El Sauce Gesha has won awards in recent years. Extensive filter menu (4+ Gesha options) and competition-grade hardware setup noted — one of the finest specialty filter setups encountered across all 33 archive cafés. Would return without hesitation. Finca Jurutungo Panama Gesha (SGD $28, Anaerobic Natural) flagged as next priority on return visit.</t>
  </si>
  <si>
    <t xml:space="preserve">Live Field Audit — menu photo + equipment photos + barista confirmation (Glenda) + CT62 product research (tasterscoffee.com)</t>
  </si>
  <si>
    <t xml:space="preserve">70 Shenton Way, #01-14 Eon Shenton, Singapore 079118</t>
  </si>
  <si>
    <t xml:space="preserve">Finca El Diviso</t>
  </si>
  <si>
    <t xml:space="preserve">Nestor Lasso</t>
  </si>
  <si>
    <t xml:space="preserve">Aji Bourbon</t>
  </si>
  <si>
    <t xml:space="preserve">Thermal Shock Anaerobic Natural</t>
  </si>
  <si>
    <t xml:space="preserve">Option-O Lagom P80 (80mm Flat Burr — assumed)</t>
  </si>
  <si>
    <t xml:space="preserve">Lychee; Blueberry Jam; Cranberry</t>
  </si>
  <si>
    <t xml:space="preserve">Hot phase: punchy lychee and berry dominant — high-intensity bright acidity, strong entry. Mid-cool to cool: fruit character sustained across all phases without evolution — Thermal Shock ester concentration too embedded to dissipate thermally. Strong persistent aftertaste from cranberry anthocyanin compounds. Interesting but not a repeat — process-forward intensity beyond personal palate threshold.</t>
  </si>
  <si>
    <t xml:space="preserve">Thermal Shock Anaerobic Natural at 1960 MASL produced extreme ester and anthocyanin concentration (geraniol/nerol lychee monoterpenes; berry anthocyanins) — fermentation signature dominated all three thermal phases without evolution. Process-preference misalignment confirmed: clarity &gt; complexity hierarchy not served by this process. P80 flat-burr precision and Origami flat-bottom geometry could not temper inherent process intensity.</t>
  </si>
  <si>
    <t xml:space="preserve">With friend Alex — Oaks Coffee Co., Bukit Timah Road, 10 Jul 2026, 16:30, before Homeground mock-judge session. Second Oaks visit. Milestones: First Thermal Shock Anaerobic Natural, First Aji Bourbon, First Finca El Diviso (Nestor Lasso).</t>
  </si>
  <si>
    <t xml:space="preserve">Pour.traits Roasters</t>
  </si>
  <si>
    <t xml:space="preserve">Thailand Sirinya Geisha Amarone</t>
  </si>
  <si>
    <t xml:space="preserve">Sirinya Farm</t>
  </si>
  <si>
    <t xml:space="preserve">Chiang Rai, Thailand</t>
  </si>
  <si>
    <t xml:space="preserve">Solo Dripper by Mazelab (Flat-Bottom, 40° angle, Wave 155 filter)</t>
  </si>
  <si>
    <t xml:space="preserve">92→75→92→75°C (alternating 4-pour)</t>
  </si>
  <si>
    <t xml:space="preserve">Rose, Plum, Mandarin Orange, Honey</t>
  </si>
  <si>
    <t xml:space="preserve">HOT: Bright citric front with vivid rose geraniol — aromatic and immediate; rose florals dominant and unmistakable. MID-COOL: Mandarin orange emerges cleanly as citric volatiles dissipate — Harry's signature malic acid marker arriving on schedule. Body noticeably full and structured — medium-strong tea weight, not the light tea elegance of washed Geisha expressions; fuller than any prior washed Geisha entry. COOL: Plum (not peach — darker malic stone fruit consistent with Anaerobic Natural fermentation profile shifting acid toward wine-adjacent fruit rather than bright nectarine); honey-type sweetness rounds the finish — sucrose ester retention from Natural process mucilage rather than fructose-type bright fruit sugar; slight bitterness present at cool phase but fades cleanly — likely residual CGA lactone from Natural process fermentation rather than hardware-derived; clean finish confirms it did not persist. Verdict: Moderately aggressive Geisha — varietal genetics clearly present but Anaerobic Natural process adds lipid body and fermentation weight absent from washed expressions. SGD $10 exceptional value for a Thailand Geisha. Archive firsts: first Thailand origin, first Thailand Geisha, first Nippy Coffee Roaster (Chiang Rai) entry. First Geisha roasted on Stronghold S7X smart electric roaster.</t>
  </si>
  <si>
    <t xml:space="preserve">Nippy Coffee Roaster (Chiang Rai, Thailand) — roasted on Stronghold S7X (electric smart roaster with programmable roast curves — high precision). 4-pour alternating temperature protocol (92→75→92→75°C) is a sophisticated extraction engineering choice: 92°C bloom releases CO₂ and extracts volatile geraniol/rose and linalool Geisha aromatics; 75°C cool pour suppresses CGA acid extraction preventing Anaerobic Natural acetic fermentation load from tipping into sourness; 92°C third pour extracts mid-range sucrose esters — honey and plum sweetness from Natural process mucilage; 75°C final pour completes volume while suppressing late-stage CGA lactone bitterness. Residual cool-phase bitterness (fades) consistent with V60 conical bypass fraction rather than process fault — flat-bottom geometry would likely eliminate entirely. EK43S 98mm flat burrs (S-variant: smaller footprint, same burr geometry as EK43) delivered clean floral terpene separation. 1:15 ratio at 15g/225g preserved full lipid body mass — correct choice for Anaerobic Natural's elevated polysaccharide and lipid content. Anaerobic Natural fermentation at Chiang Rai specifically produces elevated geraniol (rose), plum malic esters, and honey sucrose retention vs washed process which strips mucilage entirely.</t>
  </si>
  <si>
    <t xml:space="preserve">Solo post-gym visit — Pour.traits Roasters, Outram Park, Singapore. Saturday 11 July 2026, 13:30 SGT. Café relaxed and quiet at this hour — comfortable extended sit. Barista Elaine: exceptional engagement, warm, knowledgeable, and friendly. 2022 barista competition winner — now focused on training other baristas and travelling. Pre-session menu analysis conducted live with Claude (pre-gym morning). Guest bean board featured 20+ offerings from international roasters including Livid Coffee Roasters, flowerchild coffee, nippy coffee roaster, Shake Coffee, Glyph Supply Co and others — extremely rich rotating guest bean program. TUESDAY INTEL: Guest barista from Thailand visiting Pour.traits next Tuesday 15 July 2026, 10AM–2PM — bringing special Thai coffee lot, limited quantity with high sell-out risk. Arrive at 10AM to secure a cup. Serving vessel: bulbous pink ceramic cup (no handle) — concentrates aromatics. First café visit to Pour.traits Roasters.</t>
  </si>
  <si>
    <t xml:space="preserve">Live Field Audit — menu photos + bean card photo (Nippy Coffee Roaster bag) + barista confirmation (Elaine) + hardware observation</t>
  </si>
  <si>
    <t xml:space="preserve">2 Havelock Rd, #01-14, Singapore 059763</t>
  </si>
  <si>
    <t xml:space="preserve">Alo Peaberry — Washed Ethiopia</t>
  </si>
  <si>
    <t xml:space="preserve">74158 (Peaberry)</t>
  </si>
  <si>
    <t xml:space="preserve">15</t>
  </si>
  <si>
    <t xml:space="preserve">225</t>
  </si>
  <si>
    <t xml:space="preserve">70 → 90 → 70°C (Thermal Oscillation Protocol — Fluid Standard)</t>
  </si>
  <si>
    <t xml:space="preserve">Option-O Lagom P64 (64mm Flat Steel Burrs)</t>
  </si>
  <si>
    <t xml:space="preserve">10</t>
  </si>
  <si>
    <t xml:space="preserve">Bergamot | Honeysuckle | Mandarin Orange | White Peach</t>
  </si>
  <si>
    <t xml:space="preserve">HOT: Excellent clarity and brightness from the very first sip. Bergamot and honeysuckle arrive clean and immediate — floral, refined, quiet. Smooth washed character from the start; zero fermentation noise. Mandarin orange not yet present — patience required. WARM: "Goddamn mandarin orange clearly coming on mid phase." Heavier citrus compounds unlock as the volatile florals recede — a delayed reveal, not an absence. COOL: Honeysuckle, white peach and mandarin orange pop together in balance. The full flavour picture assembles at cool temperature simultaneously. Very nice to drink at this stage. Verdict: Clear, clean and elegant coffee — in simple words.</t>
  </si>
  <si>
    <t xml:space="preserve">CONTROLLED 74158 EXPERIMENT — NOW COMPLETE. Same producer (Tamiru Tadesse), same varietal (74158), compared against Entry #056 (Alo Natural Anaerobic, 6 Jul 2026): Washed process strips all fermentation character entirely — no lychee, no winey grape, no tropical ferment signature. Instead: pure floral-citrus varietal expression via bergamot (linalyl acetate, C₁₂H₂₀O₂) and honeysuckle (geraniol, C₁₀H₁₈O). Mandarin orange delayed expression = limonene/hesperidin unlocking as volatile florals recede in the warm phase — masked at high temperature, not absent. WHITE PEACH CONFIRMED IN BOTH 74158 CUPS: appeared in Natural Anaerobic and confirmed again today in Washed Peaberry — this is 74158's intrinsic genetic fingerprint, process-independent. Peaberry format: single round bean (vs standard two flat halves), higher nutrient concentration per cherry → elevated floral intensity. Fluid's 70→90→70°C thermal oscillation protocol confirmed consistent across all four visits — Ong Shen Choy present on bar.</t>
  </si>
  <si>
    <t xml:space="preserve">Fourth visit to Fluid Collective, Saturday 12 July 2026, lunch. Ong Shen Choy — 2025 Singapore National Brewers Cup Champion — confirmed on bar. His presence is a consistent highlight across all Fluid visits. Menu: Kainamui PB Washed Kenya (SGD 9), Alo Peaberry Washed Ethiopia 74158 (SGD 10), Alo Anaerobic Natural Ethiopia 74158 (SGD 11). Notably: two versions of the same 74158 varietal on the menu simultaneously — washed and anaerobic natural. Fluid Collective benchmark status confirmed across four consecutive visits.</t>
  </si>
  <si>
    <t xml:space="preserve">Live Field Audit — Fourth Visit | Bean card + menu photo</t>
  </si>
  <si>
    <t xml:space="preserve">Finca Sophia Torcaza Grand Reserve Washed Geisha</t>
  </si>
  <si>
    <t xml:space="preserve">Finca Sophia, Torcaza</t>
  </si>
  <si>
    <t xml:space="preserve">Panama</t>
  </si>
  <si>
    <t xml:space="preserve">Hario x Tri-Up FLOW Dripper by Erik Liao (Flat-Bottom, Ceramic, Taiwan)</t>
  </si>
  <si>
    <t xml:space="preserve">1:15.2</t>
  </si>
  <si>
    <t xml:space="preserve">91→91→82°C (3-pour descending — WBRC competition protocol)</t>
  </si>
  <si>
    <t xml:space="preserve">Lemon Honey, Bergamot, Orange</t>
  </si>
  <si>
    <t xml:space="preserve">HOT: Bright orange and lemon arriving simultaneously in perfect co-expression — citric and malic acid neither dominating the other. Honey present in background as sweetness foundation, not feature. Supreme clarity — all flavours hitting at once; every volatile aromatic compound in simultaneous perfect expression without any single note overwhelming. MID-COOL: Clarity builds rather than fades — lemon becomes more visible as citric top notes thermally stabilise; malic acid backbone structured and persistent. COOL: Orange and bergamot settle as lime tinge emerges — tartaric acid expressing as clean lime whisper once volatile citric and malic compounds dissipate. Slight lime aftertaste lingers on tongue — fine, sophisticated, pure. No bitterness, no CGA lactone, no fermentation noise. Verdict: THE finest cup in the archive. New #1 — displaces El Obraje Washed Colombia Gesha (Fluid Collective, Entry #016, 6-month champion). 'Fine and sophisticated — not because of the $60, because of what was in the cup.' SGD $60 most expensive cup in archive history (previous record SGD $18). Worth every cent without qualification. Archive firsts: First Panama Washed Geisha from Finca Sophia/Torcaza, first Hario x Tri-Up FLOW Dripper entry, first WBRC competitor guest brew, first Livid Coffee Roasters entry.</t>
  </si>
  <si>
    <t xml:space="preserve">Hario x Tri-Up FLOW Dripper designed by Erik Liao (2023 Taiwan Brewers Cup Champion, founder Tri-Up Coffee) — ceramic flat-bottom with thinner bed depth; single central column with embedded magnets serves three functions: (1) secures filter paper in place without adhesive, (2) prevents fine coffee grounds from compacting and settling at the base which would clog and stall flow, (3) encourages water to saturate the coffee bed evenly rather than channelling down the sides — ensuring a constant vertical flow path throughout the entire brew. Body ribbed design reduces bypass water; base rib design stabilises overall flow rate. Developed over 4 years in partnership with Hario — the FLOW name reflects the design goal: steady, unobstructed, limitation-free flow at any grind size. TaoTao (Inthat Ueasakaree) chose this dripper for his WBRC Brussels 2026 competition routine — the central column's even saturation guarantee is precisely why the cup expressed every flavour simultaneously with supreme clarity and zero channelling noise. 3-pour descending temperature protocol (91→91→82°C): dual 91°C pours extract full volatile aromatic spectrum — linalool florals, citric/malic acid esters, sucrose foundations; 82°C final pour suppresses CGA lactone bitterness completely, preserving clean tartaric acid lime finish. 12.5g/190g at 1:15.2 — within Harry's preferred 1:15–1:17 band. EK43 98mm flat burrs delivered competition-level particle uniformity.</t>
  </si>
  <si>
    <t xml:space="preserve">Livid Coffee Roasters x Pour.traits Guest Pop-Up — Tuesday 14 July 2026, 10:00–14:00 SGT. Guest brewer: Inthat Ueasakaree (TaoTao) — Thailand Brewers Cup Champion, WBRC 7th Place Brussels 2026, architectural designer by trade (credits structural precision thinking to brewing approach). Pop-up announced via @grindandshinepodcast Monthly Singapore Coffee Agenda. TaoTao brewing his actual WBRC Brussels 2026 competition coffee and routine concept — beans and recipe fresh off the world stage, days after Brussels. Four competition coffees offered: (1) Mt. Totumas Dela Rosa Natural Geisha — Red Berries, Floral, Stone Fruits; (2) Finca Sophia Torcaza Grand Reserve Washed Geisha — Lemon Honey, Bergamot, Orange [ORDERED]; (3) Los Lajones 8B Geisha Natural — Red Berries, Tropical Fruits, Floral; (4) Los Cenizos Geisha Lot 172 Natural — Red Grape, Black Currant, Floral. SGD $60 — archive price record (previous ceiling SGD $18). Second Pour.traits visit (first: 11 July 2026, Entry #063). Return driven by Elaine's Tuesday intel from first visit — intel confirmed and far exceeded all expectations.</t>
  </si>
  <si>
    <t xml:space="preserve">Live Field Audit — competition menu photo + direct competitor confirmation (Inthat Ueasakaree / TaoTao) + WBRC Brussels 2026 official graphic confirmation</t>
  </si>
  <si>
    <t xml:space="preserve">Peru Cajamarca Lorenzo Arbildo — Washed Gesha</t>
  </si>
  <si>
    <t xml:space="preserve">Lorenzo Arbildo</t>
  </si>
  <si>
    <t xml:space="preserve">OREA V4 — OPEN Bottom (Flat-Bottom)</t>
  </si>
  <si>
    <t xml:space="preserve">92°C → 65°C (descending — pours 1–3 at 92°C, pour 4 at 65°C)</t>
  </si>
  <si>
    <t xml:space="preserve">60g bloom (4-pour: 60g / 120g / 170g / 210g — 0:30 / 0:55 / 1:20 / 2:00)</t>
  </si>
  <si>
    <t xml:space="preserve">Raspberry; Peach; Floral</t>
  </si>
  <si>
    <t xml:space="preserve">HOT: Bright immediate malic brightness — simultaneous raspberry ester + peach lactone hit; both official notes tracking accurately from first sip. High-energy, clean opening. MID-COOL: Flavours mellowed; linalool florals emerging as ester volatiles dissipate — textbook Gesha terpene thermal behaviour. Cajamarca citric tinge appearing as a background dimension (terroir marker, not recipe flaw). Excellent clarity, nothing coating the tongue. Peach and berry settling to background with good separation. COOL (Best Phase): Clean short berry aftertaste persisting post-ester dissipation; sucrose-ester tail lingering cleanly. Nice body for washed process. No bitter phenolics — 65°C final pour executed correctly. Overall: First Peru Gesha in archive. Significant upgrade on Entry #040 (Colombia Huila La Pradera, Equate, same ratio 1:14, 19 Jun 2026) — Peru Arbildo lot intrinsically more expressive at this concentration. Washed Peru × Gesha axis confirmed as archive-calibre. Second Equate visit redeems the café Gesha record.</t>
  </si>
  <si>
    <t xml:space="preserve">EK43 98mm flat burr delivered uniform PSD with zero fines migration — protected malic acid ester clarity (raspberry, peach) and linalool terpene architecture (floral) across all three thermal phases. OREA V4 OPEN Bottom flat geometry: single central drainage hole ensures full bed saturation and even dwell time; zero bypass; uniform extraction front across flat coffee bed. Aggressive 92°C → 65°C descending temperature protocol: first three pours at 92°C front-loaded volatile ester and sugar extraction from Gesha lipid and sucrose fraction; 65°C final pour (pour 4) suppressed chlorogenic acid lactone extraction in back half, preventing bitter finish at cool phase — explaining clean aftertaste. TROGAMID brewer construction insulates heat in coffee bed during low-temp final pour, maintaining extraction efficiency despite cool input. Ratio 1:14 below Palate DNA band (1:15–1:17) but Peru Arbildo Cajamarca terroir has sufficient malic acid density to express clearly at this concentration — explains upgrade over prior 1:14 Colombia Gesha entry at same café.</t>
  </si>
  <si>
    <t xml:space="preserve">Solo visit — Equate Coffee, Tanjong Pagar (1 Tanjong Pagar Plaza, #02-25, Singapore 082001). Wednesday 15 July 2026. Second Equate visit (Entry #040 ref: Colombia Huila La Pradera Gesha Washed, 19 Jun 2026). Barista: new joiner, few days on the job — following written recipe card (photographed). Recipe card confirmed: LORENZO / (FAST)(SLOW) designations; GS:15g / T:92°&amp;65°C / W:210g; pour structure 60-120-170-210g; timings 0:30/0:55/1:20/2:00; OPEN DAMPER noted. First Peru × Washed × Gesha axis in archive. Archive entry #065.</t>
  </si>
  <si>
    <t xml:space="preserve">Live Field Audit — barista recipe card photo (authoritative) + bean card photo + direct barista confirmation</t>
  </si>
  <si>
    <t xml:space="preserve">Mame (SIGEP Asia booth)</t>
  </si>
  <si>
    <t xml:space="preserve">Bambito Estate</t>
  </si>
  <si>
    <t xml:space="preserve">Bambito Estate — Priscilla Amar Sitton</t>
  </si>
  <si>
    <t xml:space="preserve">Panama (1660–1800 m.a.s.l., per bean card)</t>
  </si>
  <si>
    <t xml:space="preserve">Pour-over — 2 pours only (7g microdose festival format; brewer not stated → Unknown)</t>
  </si>
  <si>
    <t xml:space="preserve">93°C (barista-confirmed)</t>
  </si>
  <si>
    <t xml:space="preserve">Timemore (model unstated — official SIGEP Asia / SNCC 2026 event grinder)</t>
  </si>
  <si>
    <t xml:space="preserve">Jasmine · Orange Blossom · Yellow Peach</t>
  </si>
  <si>
    <t xml:space="preserve">HOT: orange blossom dominant with a distinct "orange hit" — intensely floral, pronounced tea-like structure. MID-COOL→COOL: drinks beautifully cool; orange blossom sweetens and steps forward; clean citric-orange tinge lands on the aftertaste. Verdict: "a fine Geisha." Tea-like character persistent across all phases. S$16 (¥1,990) for a 7g microdose pour ≈ S$34 full-cup equivalent — second most expensive in the portfolio on a full-cup-equivalent basis, behind Finca Sophia Torcaza (S$60, Pour.traits). Menu correction logged: S$25 = 20g beans price; S$16 = per-cup price.</t>
  </si>
  <si>
    <t xml:space="preserve">7g microdose at 1:15 (105g yield) with only 2 pours at 93°C compressed the extraction into a short, high-clarity window — fewer pour cycles limited agitation and fines migration, favouring volatile linalool/geraniol aromatics (jasmine, orange blossom) over body and sugar-browning depth. Timemore burrs (SIGEP official event grinder) held washed-process clarity; tea-like tactile profile consistent with lean microdose format rather than under-extraction.</t>
  </si>
  <si>
    <t xml:space="preserve">SIGEP Asia 2026, Day 2 (16 Jul), Roaster Village — Harry's first-ever coffee festival. MAME booth: Zurich roastery founded 2016 by Emi Fukahori (2018 World Brewers Cup Champion) &amp; Mathieu Theis; "Mame" = "beans" in Japanese. Cup served with personalised bean card ("HARISH"). Same visit: watched Singapore National Brewers Cup live (Timemore official sponsor), SCA/BETTR education, Hario booth tasters, Timemore hardware browsing (purchase deferred), Dutch Colony oat piccolo (excluded — milk drink).</t>
  </si>
  <si>
    <t xml:space="preserve">Live Field Audit — Mame menu board photo + bean card photo (authoritative: Geisha spelling, Panama 1660–1800 masl, Washed) + barista-confirmed parameters (7g/105g, 1:15, 93°C, 2 pours, Timemore) + price corrected by Harry (¥1,990 / S$16 per cup; S$25 = 20g beans)</t>
  </si>
  <si>
    <t xml:space="preserve">Sands Expo &amp; Convention Centre, 10 Bayfront Ave, Singapore 018956 (SIGEP Asia 2026, Roaster Village)</t>
  </si>
  <si>
    <t xml:space="preserve">Toki</t>
  </si>
  <si>
    <t xml:space="preserve">Galyani Vadhana, Chiang Mai, Thailand · 1500 masl</t>
  </si>
  <si>
    <t xml:space="preserve">Mixed Local</t>
  </si>
  <si>
    <t xml:space="preserve">Solo Dripper by Mazelab (Flat-Bottom, 40° angle, Wave 155 filter) — consistent with 11 Jul visit house setup, not barista-reconfirmed this visit</t>
  </si>
  <si>
    <t xml:space="preserve">~1:15 (taste-inferred by Harry, not barista-confirmed)</t>
  </si>
  <si>
    <t xml:space="preserve">Mahlkönig EK43S (98mm Flat Burr) — consistent with 11 Jul visit house setup, not barista-reconfirmed this visit</t>
  </si>
  <si>
    <t xml:space="preserve">Pear, Apple, Orange</t>
  </si>
  <si>
    <t xml:space="preserve">HOT: Very bright and acidic — vivid, high-toned opening. Apple notes present from hot through mid-phase, consistent with the official card. MID: Apple continuing to carry the cup. COOL: Orange blossom and apple emerge together, with a clean citric acid lift; texture very smooth throughout. Verdict: exceptionally high clarity for a Natural process coffee — Harry noted the cup did not carry the fermentation weight typically expected from Natural processing; drinks more like a clean washed cup despite the process tag. Strong value: SGD $10 for a Chiang Mai Thailand origin, second Thailand-origin entry in the archive after the Sirinya Amarone (Entry #063). Archive first: first Toki (roaster) entry, first Galyani Vadhana Chiang Mai origin, first 'Mixed Local' varietal entry.</t>
  </si>
  <si>
    <t xml:space="preserve">Roaster: Toki (Thailand) — bean card confirms Galyani Vadhana, Chiang Mai, 1500 masl, Mixed Local varietal, Natural process. High elevation (1500 masl) for a Thai origin likely supports the acid clarity Harry noted despite Natural processing — higher-altitude Naturals typically retain brighter, cleaner acidity versus lowland Naturals which trend toward heavier fermentation-forward profiles. Brew hardware (Solo Dripper by Mazelab, flat-bottom, EK43S 98mm flat burr) carried over from the 11 Jul visit house setup as a reasonable assumption, NOT independently reconfirmed by barista this visit — dose, yield, precise ratio, and temperature are logged as Unknown accordingly. Harry's taste-inferred ~1:15 ratio is plausible given the flat-bottom brewer's typical operating band but is not archive-verified data.</t>
  </si>
  <si>
    <t xml:space="preserve">Lunchtime solo visit — Pour.traits Roasters, Outram Park, Singapore. Monday 21 July 2026, 13:10 SGT. Third visit to Pour.traits (previous: 11 Jul Entry #063 Thailand Sirinya Geisha Amarone; 14 Jul Entry #065 TaoTao WBRC crown entry). Coffee ordered from Livid Coffee Roasters guest bean rotation. Quick lunchtime session — parameters not confirmed with barista this visit; logged per archive integrity rules as Unknown where unconfirmed rather than assumed.</t>
  </si>
  <si>
    <t xml:space="preserve">Live Field Audit — bean card photo (Toki roaster bag) + Harry's sensory notes; brew hardware carried forward from prior visit as reasonable but unconfirmed assumption</t>
  </si>
  <si>
    <t xml:space="preserve">Alchemist (Khong Guan Building)</t>
  </si>
  <si>
    <t xml:space="preserve">El Frutal</t>
  </si>
  <si>
    <t xml:space="preserve">Efraín Castillo</t>
  </si>
  <si>
    <t xml:space="preserve">Huehuetenango, Guatemala</t>
  </si>
  <si>
    <t xml:space="preserve">V60 Pour-over (Ceramic Conical)</t>
  </si>
  <si>
    <t xml:space="preserve">Orange, Apple, Milk Chocolate</t>
  </si>
  <si>
    <t xml:space="preserve">HOT: bright, acidic apple hit. MID: mild sourness reading as ripe orange, not a flaw. COOL: mellows to a chocolate-adjacent note, distinct from apple/orange. Sequential note release matched official notes across all three thermal phases — good cup, clean process expression.</t>
  </si>
  <si>
    <t xml:space="preserve">EK43S 98mm flat burrs + ceramic V60 conical at 1:15/90°C delivered classic sequential acid handoff: malic apple esters release first (fast, volatile, hot-phase dominant), citric orange notes emerge mid-phase as malic top notes recede, chocolate-adjacent Maillard/sucrose-browning compounds surface last as volatiles dissipate cool. Castillo varietal + 18hr ferment washed process (Efraín Castillo, farm since 2004) preserved structural clarity while allowing the softer sweetness through. First Guatemala + first Castillo varietal + first El Frutal in archive.</t>
  </si>
  <si>
    <t xml:space="preserve">Working from home, new Alchemist branch (Khong Guan Building), Friday 24 Jul 2026, discussion with barista on brew recipe. Coffee selection was barista-recommended — she suggested El Frutal specifically citing the washed process for superior clarity over other options on the menu; recommendation confirmed accurate, cup delivered as promised. Barista friendliness: high — warm, engaged, receptive to questions (name not captured this visit). Café notes: this Khong Guan Building branch differs structurally from the typical small-format, mostly-takeaway Alchemist branches — proper seating available, including bar seating directly facing the brew station allowing direct observation of the barista's process. Housed in a heritage/old building; strong ambiance, felt like a genuine sit-down café experience rather than a grab-and-go counter.</t>
  </si>
  <si>
    <t xml:space="preserve">Live Field Audit — barista confirmation + menu screenshot + direct observation; Varietal/Producer/Roast confirmed via alchemist.global/products/el-frutal</t>
  </si>
  <si>
    <t xml:space="preserve">2 MacTaggart Rd, #01-01 Khong Guan Building, Singapore 368078</t>
  </si>
  <si>
    <t xml:space="preserve">Prodigal Roasters</t>
  </si>
  <si>
    <t xml:space="preserve">Rea</t>
  </si>
  <si>
    <t xml:space="preserve">Finca Los Santos</t>
  </si>
  <si>
    <t xml:space="preserve">Origami V60 (Ribbed, Conical)</t>
  </si>
  <si>
    <t xml:space="preserve">40g / 45 sec (4-pour, center-pour technique)</t>
  </si>
  <si>
    <t xml:space="preserve">Grape jello, orange marmalade, jasmine florals</t>
  </si>
  <si>
    <t xml:space="preserve">HOT: floral, bright, acidic clarity — jasmine and malic brightness leading. MID-COOL: jasmine fades as florals de-gas; grape and orange marmalade sweetness dominates, flavor calms and becomes very fruity. COOL: sweetness rounds out further, favorite phase — aided by the larger 272g yield giving the fermentation-derived sugars room to develop without cloying. Interesting, well-balanced Geisha.</t>
  </si>
  <si>
    <t xml:space="preserve">16g/1:17 lean ratio + EK43 98mm flat burr particle uniformity preserved floral/acid clarity at HOT despite Natural process; as the cup cooled, fermentation-driven sugars (grape, orange marmalade) emerged predictably per Natural-process chemistry, with the larger 272g yield giving those sugars room to round out rather than concentrate into cloying sweetness. Origami ribbed conical geometry with center-pour technique limited channeling despite conical bypass risk.</t>
  </si>
  <si>
    <t xml:space="preserve">Second café of the day, lunchtime, Friday 24 Jul 2026 — visited after Alchemist (Khong Guan Building) same morning, logged in a separate session window. Roastery visit, not a standalone café (Prodigal has no public seating/service yet — serves visitors on-site by arrangement). Spent ~30 minutes in conversation with Jason, who works green beans, roasting, and brewing at Prodigal — self-motivated, passionate, knowledgeable, and generous in sharing information; invited Hari back when in the area. Jason added to Hari's 'great barista/roaster conversations' recognition (alongside Ong Shen Choy, Aqil, Elysia Tan) — separate from the friendliness leaderboard.</t>
  </si>
  <si>
    <t xml:space="preserve">Live Field Audit — barista-confirmed brew parameters (Jason) + direct observation</t>
  </si>
  <si>
    <t xml:space="preserve">1 MacTaggart Rd, #02-02, Singapore 368089</t>
  </si>
  <si>
    <t xml:space="preserve">La Betania</t>
  </si>
  <si>
    <t xml:space="preserve">Tolima, Colombia</t>
  </si>
  <si>
    <t xml:space="preserve">1:16.1</t>
  </si>
  <si>
    <t xml:space="preserve">46g bloom, circular pour to 180-186g, straight center final pour to 242g</t>
  </si>
  <si>
    <t xml:space="preserve">Red Apple, Nectarine, Toffee</t>
  </si>
  <si>
    <t xml:space="preserve">HOT: apple + orange, bright, high clarity. MID-COOL: apple carries, nectarine sweetness emerges. COOL: nectarine + toffee, clarity continues improving (unusual — most entries peak mid-phase), toffee finish with brief milk-like impression that fades quickly and pleasantly. Excellent — layered, bright, clarity throughout. Fully worth $10.5.</t>
  </si>
  <si>
    <t xml:space="preserve">1:16.1 ratio via EK43S 98mm flat burr + ceramic V60 conical, 90°C. Straight center final pour (vs. circular) reduced late-stage turbulence/fines migration, likely driving the atypical cool-phase clarity increase. New Tolima Colombia sub-region for archive; first La Betania entry.</t>
  </si>
  <si>
    <t xml:space="preserve">Second visit to Alchemist (Khong Guan Building) within 24 hours, Saturday 25 Jul 2026, 11:30 AM weekend visit. Same grinder/brewer setup as prior-day visit, barista-confirmed.</t>
  </si>
  <si>
    <t xml:space="preserve">Live Field Audit — direct observation, barista-confirmed brew parameters</t>
  </si>
  <si>
    <t xml:space="preserve">Peru Wilder Garcia</t>
  </si>
  <si>
    <t xml:space="preserve">Jaén, Cajamarca, Peru</t>
  </si>
  <si>
    <t xml:space="preserve">V60 Hand Brew (Conical)</t>
  </si>
  <si>
    <t xml:space="preserve">Nectarine; White Grape; Honeysuckle</t>
  </si>
  <si>
    <t xml:space="preserve">HOT: Quiet clarity; nectarine and white grape on entry — clean malic acid onset, moderate intensity, not pyrazine-bright. MID-COOL: Honey sweetness forward; nectarine clarifying and coming up more clearly. COOL: Honey dominant, stable; zero bitterness throughout. Cleanest cool-phase Wilder Garcia across all archive encounters. Producer longitudinal study entry #4 (prior: Asylum Iced #017, Asylum Hot #021, Equate #065).</t>
  </si>
  <si>
    <t xml:space="preserve">Option-O Lagom P64 64mm flat burrs on V60 conical: narrower particle size distribution than EK43 98mm burrs, minimal fines generation — eliminates standard conical bypass risk. Explains quiet clean HOT phase and zero cool-phase bitterness. Wilder Garcia 1750–1950 masl Cajamarca altitude: slow cell development concentrates malate esters (nectarine) and linalool/geraniol terpenes (honeysuckle). Harvest 2025. Second Apartment Selegie Rd visit (first: Entry #011, 22 Mar 2026). First Selegie Rd entry with barista-confirmed grinder data.</t>
  </si>
  <si>
    <t xml:space="preserve">Solo lunch visit — Apartment Coffee, 139 Selegie Rd, #01-01, Singapore 188309. Tuesday 28 Jul 2026, 12:45 SGT. Second visit to Apartment (Selegie Rd) — first: 22 Mar 2026 Entry #011. Third Apartment brand visit overall. Barista confirmed grinder: Option-O Lagom P64. Brew parameters (dose/yield/temp) not obtained. Fourth Wilder Garcia encounter in archive.</t>
  </si>
  <si>
    <t xml:space="preserve">Live Field Audit — bean card photo (Origin: Jaén, Cajamarca; Variety: Gesha; Altitude: 1750–1950 masl; Processing: Washed; Harvest: 2025) + barista grinder confirmation (Lagom P64) + direct sensory observation</t>
  </si>
  <si>
    <t xml:space="preserve">Kenya Maganjo</t>
  </si>
  <si>
    <t xml:space="preserve">Rumukia FCS (Cooperative)</t>
  </si>
  <si>
    <t xml:space="preserve">Nyeri, Kenya</t>
  </si>
  <si>
    <t xml:space="preserve">Redcurrant; Pomegranate; Rosehip</t>
  </si>
  <si>
    <t xml:space="preserve">HOT: Bright and pinchy phosphoric acid entry; redcurrant and berries hitting immediately — sharper, more aggressive than Wilder Garcia (same session). MID-COOL: Toned down; pomegranate appearing clearly over berry base. COOL: Best phase — berry juice cocktail character; pomegranate and redcurrant together with SL28 sucrose sweetness underneath; rich, hedonistic, fruity. Barista confirmed ratio changes daily — today 13g/215g (1:16.5). First Ruiru 11 varietal entry in archive.</t>
  </si>
  <si>
    <t xml:space="preserve">Rumukia FCS cooperative, Nyeri Kenya — SL28/SL34/Ruiru 11 triple-varietal blend at 1550–2300 masl, Harvest 2026. Lagom P64 at 1:16.5 lean ratio: deliberate recipe for this blend — Ruiru 11 phenolics amplify into harsh bitterness at higher TDS; lean ratio keeps SL28/SL34 phosphoric brightness clean while Ruiru 11 contributes body. Berry juice cocktail cool phase = SL34 anthocyanin-driven redcurrant + SL28 phosphoric pomegranate layering with SL28 sucrose density providing juice body weight. Ruiru 11 (CABI hybrid, Coffee Research Foundation Kenya) contributes distinctive phenolic complexity — first Ruiru 11 in archive. Hardware constant with Entry #072 (same V60 conical + Lagom P64, same session).</t>
  </si>
  <si>
    <t xml:space="preserve">Solo lunch visit — Apartment Coffee, 139 Selegie Rd, #01-01, Singapore 188309. Tuesday 28 Jul 2026, ~13:30 SGT. Second cup of the session after Entry #072 (Peru Wilder Garcia). Barista confirmed today's ratio: 13g/215g (ratio changes daily). First Kenya hand-brew filter entry at any Apartment branch. Back-to-back comparison with Entry #072 — hardware constant, different origin and varietal.</t>
  </si>
  <si>
    <t xml:space="preserve">Live Field Audit — bean card photo (Origin: Nyeri, Kenya; Cooperative: Rumukia FCS; Variety: SL28/SL34/Ruiru 11; Altitude: 1550–2300 masl; Processing: Washed; Harvest: 2026) + barista-confirmed dose/yield 13g/215g + direct sensory observation</t>
  </si>
  <si>
    <t xml:space="preserve">Alchemist (Funan)</t>
  </si>
  <si>
    <t xml:space="preserve">The Journey — Las Margaritas Geisha</t>
  </si>
  <si>
    <t xml:space="preserve">Las Margaritas</t>
  </si>
  <si>
    <t xml:space="preserve">V60 Pour-over (Stainless Steel, Conical)</t>
  </si>
  <si>
    <t xml:space="preserve">50g bloom, 3-pour structure (bloom + 2), pour timings not recalled — barista-confirmed volumes; observed final pour ran to 252g against the 225g target</t>
  </si>
  <si>
    <t xml:space="preserve">Hibiscus, Strawberry, Manuka</t>
  </si>
  <si>
    <t xml:space="preserve">HOT: jasmine floral hit, sweetness already present unusually early. MID-COOL: more grounded and settled, light berry note emerging, honey moving to dominant position. COOL: honey fully takes over — sweet, moreish, thoroughly enjoyed and repeatedly highlighted as the standout character. Strong, well-liked cup; Geisha varietal identity held clearly under the honey layer.</t>
  </si>
  <si>
    <t xml:space="preserve">85°C flat-temperature protocol (no descending pours) paired with a stainless steel V60's higher thermal conductivity and lower thermal mass likely compressed the usual floral-then-sugar sequencing, bringing mucilage sweetness forward into the HOT phase rather than reserving it for COOL. Honey-process sugars asserted progressively and became dominant by the cool phase — clean, well-managed process expression with no fermentation noise. Barista-stated 1:15 / 225g logged as authoritative per archive source hierarchy; observed final pour (252g ≈ 1:16.8) noted as minor on-the-day variance, not used to override. ARCHIVE FIRSTS: first stainless steel V60 (all prior V60 entries ceramic); first Las Margaritas farm; third Alchemist branch logged.</t>
  </si>
  <si>
    <t xml:space="preserve">Lunchtime visit, Wednesday 29 Jul 2026, 12:30 PM — Alchemist (Funan), 107 N Bridge Rd, #01-01, Singapore 179105. Ordered the limited 10th-anniversary Geisha, available one week only. Menu also offered Our Beginning (La Joyeria, Antioquia Washed, S$6.50) and Clarity in The Present (La Papaya Typica Anaerobic 120H, Loja Ecuador, S$8.50). Served in a plastic takeaway cup despite the S$10.50 price point — noted as a presentation gap typical of Alchemist's compact pop-up-format outlets. Second Valle del Cauca farm in archive after Inmaculada Estate (Homeground, 5 Jul) — same region, different farm and process.</t>
  </si>
  <si>
    <t xml:space="preserve">Live Field Audit — barista-confirmed brew parameters + menu screen photo + brewer material confirmed via direct photo</t>
  </si>
  <si>
    <t xml:space="preserve">107 N Bridge Rd, #01-01, Singapore 179105</t>
  </si>
  <si>
    <t xml:space="preserve">El Origen</t>
  </si>
  <si>
    <t xml:space="preserve">Quindío, Colombia</t>
  </si>
  <si>
    <t xml:space="preserve">92 (flat, all pours)</t>
  </si>
  <si>
    <t xml:space="preserve">Yellow Floral; Tangerines; Plum</t>
  </si>
  <si>
    <t xml:space="preserve">HOT: plum forward with light orange and a clear nectarine layer — nectarine not on the roaster card, detected independently. MID-COOL: floral lift present but hedged and uncertain; brightness rising; tangerine emerging distinctly as plum recedes; clarity increasing through the phase. COOL: best phase — orange and tangerine fully dominant, structure completely legible, no bitter tail. Washed transparency explicitly named as the driver of increasing clarity across the arc. Strong palate-DNA alignment on malic nectarine and integrated citric brightness; floral axis under-delivered relative to the roaster card despite a fresh 23-day bean and full-temperature extraction.</t>
  </si>
  <si>
    <t xml:space="preserve">Barista-confirmed protocol: 92°C FLAT across all pours (no descending-temperature stage), 1:15, Mahlkönig EK43. This inverts the extraction model carried over from Entry #019 at the same venue, where a 90°C→70°C descending pour was credited with truncating the late chlorogenic-acid-lactone tail. With no thermal brake in play here, the clean cool phase must be attributed elsewhere: the EK43's unimodal particle distribution limiting fines-driven late extraction, plus low bean density. Quindío Pink Bourbon at 1350 masl is a soft, high-solubility seed with a thin phenolic reserve — it surrenders solubles early and has less bitter material available to over-extract into, so low altitude protected the cup where temperature curve did at Lume in April. Pink Bourbon genotyping places the variety outside the true Bourbon lineage, closer to Ethiopian landrace material, explaining a floral-citric expression rather than Bourbon sugar-brown density. Thermal arc inversion (plum HOT → citrus COOL) is diagnostic washed behaviour: declining sucrose perception combined with rising acid perception unmasks citric acid as the cup drops. Hedged floral note is NOT staling — at 23 days off roast the linalool fraction should be intact. More likely sustained 92°C through full drawdown drove additional dissolved-solids weight that masked delicate monoterpenes retronasally, compounded by a modest intrinsic floral ceiling for Pink Bourbon at this altitude. ARCHIVE VALUE: forms a controlled two-point hardware comparison with Entry #019 — same venue, same grinder, same 1:15 ratio, same conical V60, only the thermal protocol differs (90+70 dual-temp vs 92 flat). First Pink Bourbon varietal in archive; first non-Gesha coffee logged at Lume.</t>
  </si>
  <si>
    <t xml:space="preserve">Solo lunch visit — Lume Café, 108 Robinson Rd, #01-01, Singapore 068900. Friday 31 Jul 2026, 13:30 SGT. First return to Lume since Entry #019 (1 Apr 2026, Corpachi Panama Geisha) — approx. four-month gap. Selected from a four-card board over Brazil Santa Ines Natural and PNG Arufa Natural (both espresso roast) and a Panama lot. ROAST DATE CORRECTION CHAIN: counter bean card read 31/5 (61 days); barista subsequently produced the actual bag in use, roast-stamped 8 Jul 2026 = 23 days off roast, an optimal window. Counter card did not correspond to the bag being brewed. OPEN DISCREPANCY (unresolved): whiteboard card listed Panama Agricola WASHED (blueberry / white tea / plum) while the physical bag on the counter was Panama El Pergamino NATURAL Bourbon, Bambito, producer Yaneth Lucich, 1900 masl, roast-stamped 24 APR 2026 — different farm and different process. Not reconciled; barista confirmation still pending. El Pergamino declined on roast-age grounds (98 days, natural process, elevated lipid oxidation exposure) and profile misalignment. ACTION ITEMS: (1) confirm whether Lume's counter cards are being kept current against hopper contents; (2) confirm Panama lot identity; (3) revisit El Origen to assess full floral ceiling.</t>
  </si>
  <si>
    <t xml:space="preserve">Live Field Audit — BARISTA-CONFIRMED (authoritative): roast date 8 Jul 2026 (bag physically shown), ratio 1:15, water temperature 92°C constant, grinder unchanged from prior visit. Bean card photo (El Origen, Pink Bourbon, Quindío, Washed, 1350 masl, Filter Roast) used for green data only. Direct three-phase sensory observation by Hari. DOSE/YIELD NOT BARISTA-STATED: 15g/225g applied per standing archive convention for a stated 1:15 — flagged as convention, not confirmation. Grinder logged as Mahlkönig EK43 per Entry #019 precedent at this venue; EK43 vs EK43S badge not visually confirmed on the day. Brewer material (ceramic/glass/plastic/steel) not confirmed — logged as conical geometry only. Bloom volume and time not stated.</t>
  </si>
  <si>
    <t xml:space="preserve">Finca Sophia — Natural Panama Geisha</t>
  </si>
  <si>
    <t xml:space="preserve">Willem Boot, Kelly Hartmann &amp; David Pohl</t>
  </si>
  <si>
    <t xml:space="preserve">155 (beverage; 210g water)</t>
  </si>
  <si>
    <t xml:space="preserve">1:14 (water) → 155g beverage</t>
  </si>
  <si>
    <t xml:space="preserve">93°C first 2 pours → 65°C last 2 pours (Split-Temp, barista-confirmed)</t>
  </si>
  <si>
    <t xml:space="preserve">Honeysuckle | Clementine | Nectarine | Apple Candy</t>
  </si>
  <si>
    <t xml:space="preserve">HOT: Bright, floral and fruity with excellent clarity from the first sip. Sweet lingering taste present right from the beginning. Clementine/mandarin hits after the opening. A sudden balanced 'punch' of slight orange-type taste and honeysuckle appears then quickly fades — aromatic notes flash and disappear; lingering finish short while hot. Nothing over-extracted. MID→COOL (best window): Nectarine and apple candy become much more prominent; fruitiness rises clearly; sweetness turns sugary-syrup and lingers longer and more pleasantly. Clarity gets higher as it cools while the fruity signature stays constant — the signature of this cup. The most enjoyable and generous stage; it felt great to drink. VERDICT: JOINT #1 IN ARCHIVE — ties with Finca Sophia Torcaza Grand Reserve Washed (Entry, 14 Jul 2026). If forced to choose one, the Washed edges it — but this Natural is extremely close. Every dollar of the SGD 32 was worth it. A great coffee to start August.</t>
  </si>
  <si>
    <t xml:space="preserve">SPECIAL TEMPERATURE PROTOCOL — barista-confirmed by Ong Shen Choy: first 2 pours at 93°C, last 2 pours at 65°C (4-pour split-temperature architecture). This INVERTS Fluid's standard 70→90→70°C oscillation: hot opening maximises volatile aromatic extraction (honeysuckle/clementine linalool-geraniol stack), dramatically cool 65°C close protects delicate natural-process sugars from phenolic bitterness — explains the clean apple-candy sweetness with zero over-extraction. Recipe: 15g : 210g water → 155g final beverage (~1:14 water ratio). Ong Shen noted this bean is complex to brew and requires real sophistication — the precise, clean result matched. Natural process at 2,000 masl Chiriquí: sugar concentration from whole-cherry drying delivers the apple candy + syrup body in the cool phase while Geisha florals stay clarity-forward. FARM A/B COMPLETE: same farm as archive #1 (Torcaza Grand Reserve Washed, TaoTao, 14 Jul, SGD 60) — process now the isolated variable across the two best cups in the archive. Also completes the Fluid Geisha Process Trilogy: Washed (El Obraje) → Honey (Hiu Los Lajones) → Natural (Finca Sophia). Grinder and filter unchanged from prior Fluid visits (Lagom P64, Hario Switch flat-bottom).</t>
  </si>
  <si>
    <t xml:space="preserve">Fifth visit to Fluid Collective, Saturday 1 August 2026, ~10:20am. Payment SGD 32 via PayNow confirmed. Ong Shen Choy was on his OFF DAY but came in specifically because they were brewing the Panama Geisha — he worked the bar to brew this Limited Release himself. A SGD 32 cup, Finca Sophia, brewed personally by the 2025 Singapore National Brewers Cup Champion on his day off — a special conversation and a special cup. Menu: Alo Peaberry Washed Ethiopia SGD 10 / Magma Natural Panama Pacamara SGD 10 / Finca Sophia Natural Panama Geisha SGD 32 (Limited Release, announced on Instagram the night before). Highest-priced cup at Fluid in archive history; second-highest overall after the SGD 60 Torcaza.</t>
  </si>
  <si>
    <t xml:space="preserve">Live Field Audit — Fifth Visit | Bean card + menu + payment receipt</t>
  </si>
  <si>
    <t xml:space="preserve">El Romerillo</t>
  </si>
  <si>
    <t xml:space="preserve">Luis Abarca</t>
  </si>
  <si>
    <t xml:space="preserve">OREA (Flat-Bottom)</t>
  </si>
  <si>
    <t xml:space="preserve">93°C (Constant — barista-confirmed house standard)</t>
  </si>
  <si>
    <t xml:space="preserve">Blood Orange | Red Plum | Currant | Pomegranate</t>
  </si>
  <si>
    <t xml:space="preserve">HOT: Bright and acidic with medium body and a quickly disappearing aftertaste. Tartaric acid hit identified — read as pomegranate. MID: Plum and orange emerge slowly as the volatile citrics burn off. MID-COOL: Acidity persists, mouth-filling, malic acid dominant, clarity notably improved. COOL: Mellowed further into soft red berries — pomegranate character but lighter, like a diluted pomegranate juice. OVERALL: Quite acidic and bright for a washed coffee. Clean three-phase evolution with zero bitter tail. Strong Palate DNA alignment.</t>
  </si>
  <si>
    <t xml:space="preserve">CONTROLLED PAIR vs the 08 Jul 2026 La Flor de la Palma at the same café: identical grinder (EK Omnia 98mm flat), identical ratio (1:17), identical temperature (93°C), same café, same flat-bottom geometry — opposite outcome. Washed process carries minimal cherry-skin polyphenol load into the brew, so there is little chlorogenic acid lactone in solution for a lean ratio to expose; the July bitterness is therefore attributable to PROCESS, not ratio. This is the empirical confirmation of Extraction Law 3 from the opposite direction. OREA flat-bottom (barista-confirmed and visually verified by Hari) delivers wide, near-unrestricted drainage — fast draw-down, even bed saturation, minimal fines contact time — which accounts for the clarity gain registered at mid-cool. 93°C is well matched to Caturra's lower-density bean (it was conservative on the denser Bourbon in July). Acidity persisting into the cool phase rather than collapsing indicates high organic acid concentration from slow high-altitude maturation.</t>
  </si>
  <si>
    <t xml:space="preserve">Solo visit — 05 Aug 2026, 13:30 SGT. Sixth Nylon audit. Filter menu rotation confirmed: Colombia Juan Martin and Peru La Flor de la Palma both rotated off; current filter line is Colombia El Pinal (Liliana Gembuel Paja, Castillo/Washed, S$7.00) and Peru El Romerillo (S$7.50). Espresso line: Colombia Juan Martin (Red Striped Bourbon/Washed) and Peru Los Cedros (Caturra/Washed). Ordered on Claude's recommendation over El Pinal on Palate DNA grounds (malic/citric acid stack, washed clarity, varietal novelty). First Caturra Washed Peru in the archive; first Luis Abarca lot. Barista confirmed 1:17 and 93°C as house standard, rarely modified. Roast date deliberately NOT logged — retail bag dates disregarded per Hari's instruction as the brewed batch may differ from shelf stock.</t>
  </si>
  <si>
    <t xml:space="preserve">Live Field Audit — Sixth Visit | Barista confirmation (ratio 1:17, temp 93°C, OREA dripper) + Hari direct visual verification of brewer + retail bag photo (name and tasting notes only; roast date excluded per instruction) + menu board photo</t>
  </si>
  <si>
    <t xml:space="preserve">Double Shot Coffee (Shenton Way)</t>
  </si>
  <si>
    <t xml:space="preserve">Ruli</t>
  </si>
  <si>
    <t xml:space="preserve">Rwanda — Ruli</t>
  </si>
  <si>
    <t xml:space="preserve">OREA (Flat-Bottom, Plastic)</t>
  </si>
  <si>
    <t xml:space="preserve">1:13.8</t>
  </si>
  <si>
    <t xml:space="preserve">92°C (Constant — barista-confirmed 90–92°C band, logged at upper end)</t>
  </si>
  <si>
    <t xml:space="preserve">Mahlkönig EK43 S (98mm Flat Burr)</t>
  </si>
  <si>
    <t xml:space="preserve">Cranberry | Stewed Apple | Caramel</t>
  </si>
  <si>
    <t xml:space="preserve">HOT: Cranberry immediate and unmistakable — bright, acidic, clean entry. Red fruit reads as genuine cranberry rather than generic berry, which is unusual and immediately noticeable. Washed clarity fully present from the first sip, no muddiness. MID: Brightness holds. Cranberry does not fade or hand over to a different note the way most fruit-forward washed coffees do at mid-temperature — the signal simply persists. COOL: Cranberry still present and still clear. Full three-phase thermal consistency. OVERALL: Surprised by the level of berry expression and by how stable it was hot through cold. Damn clear cup. Not bad at all — honest, direct, clean, and at S$8 a strong value proposition. Bright and acidic throughout, which suits the Palate DNA well.</t>
  </si>
  <si>
    <t xml:space="preserve">Mahlkönig EK43 S (barista-confirmed) carries the same 98 mm flat cast-steel burr set as the full-size EK43 in a compact body — the largest burr diameter logged in the archive alongside the EK Omnia. A 98 mm burr presents roughly 2.3× the cutting surface area of a 64 mm burr, producing a narrow particle size distribution with very low fines yield; fines are the primary driver of micro-channelling and selective over-extraction of bitter chlorogenic acid lactones, so their suppression here is what preserved the cranberry signal as a clean single line rather than a muddied red-fruit blur. OREA flat-bottom (plastic body, barista-confirmed) contributes wide unrestricted drainage and even bed saturation across a shallow uniform bed. On the ratio: 1:13.8 sits well below the 1:15–1:17 Palate DNA band and is a concentrated format, yet the cup carried no bitter tail. The reason is process chemistry — Washed processing strips the cherry skin entirely before drying, so there is minimal procyanidin and tannin load available to enter solution. A concentrated ratio therefore amplifies malic and citric acid density (perceived as cranberry brightness) without an accompanying polyphenol penalty. The thermal stability across all three phases points to high organic acid concentration from slow high-altitude maturation in Rwanda's volcanic highlands, where cool nights extend the cherry ripening cycle and drive acid accumulation.</t>
  </si>
  <si>
    <t xml:space="preserve">Solo visit — 06 Aug 2026, 13:30 SGT, Thursday lunchtime. Double Shot Coffee Shenton Way branch — a separate venue from the Kampong Bahru outlet already in the archive; same chain, different location, logged as a distinct café per archive branch convention. Filter menu offered three pour overs: Rwanda Ruli Washed S$8 (ordered), Colombia La Quebraditas D.A. Washed S$14, and Ethiopia Alo Mosto 96 Hours S$15; iced brew also listed at S$6.50. Barista confirmed all brew parameters directly: Mahlkönig EK43 S grinder, OREA flat-bottom plastic dripper, 13 g dose to 180 g water, temperature held constant in the 90–92°C band (logged at the 92°C upper end per Hari). Barista also mentioned the café sells single-origin drip bags — noted as a potential home-brew purchase, which would allow this lot to be re-brewed at the preferred 1:15–1:17 band. Venue sits in Eon Shenton, the same building as Abseil (#01-14). Small unit, largely outdoor bench seating. Roast level not stated on menu or by barista. Varietal not stated on menu or by barista — logged Unknown rather than inferred.</t>
  </si>
  <si>
    <t xml:space="preserve">Live Field Audit — Menu board photo (origin, lot name, process, price, tasting notes) + barista confirmation (grinder EK43 S, OREA flat-bottom plastic dripper, 13 g dose, 180 g yield, 90–92°C) + Google Places address verification</t>
  </si>
  <si>
    <t xml:space="preserve">70 Shenton Way, #01-05, Eon Shenton, Singapore 079118</t>
  </si>
  <si>
    <t xml:space="preserve">Kōhī Roastery + Coffee Bar</t>
  </si>
  <si>
    <t xml:space="preserve">Rwenzori Kisinga</t>
  </si>
  <si>
    <t xml:space="preserve">Uganda — Rwenzori Kisinga</t>
  </si>
  <si>
    <t xml:space="preserve">SL14, SL28</t>
  </si>
  <si>
    <t xml:space="preserve">Light-Medium (dual-purpose espresso/filter lot — barista-confirmed)</t>
  </si>
  <si>
    <t xml:space="preserve">Hario V60 Pour-over (Conical percolation)</t>
  </si>
  <si>
    <t xml:space="preserve">92°C (Constant — barista-confirmed)</t>
  </si>
  <si>
    <t xml:space="preserve">Stone Fruit | Mixed Berries | Pink Pomelo</t>
  </si>
  <si>
    <t xml:space="preserve">Rated average to above-average — not bad, not excellent, and fair value at S$8.50. HOT: bright entry, stone fruit and berries reading clearly and cleanly; medium body as expected of a Natural. MID-COOL: berry dominates, strawberry specifically; a slight bitter aftertaste emerges — mild, non-escalating, and barista-confirmed as the INTENDED pink pomelo / bitter-orange character, a consequence of this lot being roasted light-to-mid so it can serve espresso as well as filter. All three roaster notes therefore confirmed on the palate. COOL: still fruity but less intense than before — the cup fades rather than evolves; no new sugar layer emerges. Clarity is compromised by fruit density: stone fruit and strawberry overlap rather than separate, making individual notes tricky to resolve — Hari's own summary was 'in one word, fruity'. Natural processing is unmistakable here and clearly differentiated from washed. FIRST UGANDA ORIGIN IN ARCHIVE (country #15) and first Natural-process SL28 in the archive. Worth logging for the origin; would not reorder. Barista friendly and knowledgeable (name not captured — archive gap). Monday morning Gesha pop-up flagged for return visit.</t>
  </si>
  <si>
    <t xml:space="preserve">Hario V60 conical percolation at 92°C and 1:16 (15g / 240g, barista-confirmed), ground on a Mahlkönig EK43 S 98mm flat burr set — the near-unimodal particle distribution starved the fines migration that has driven the over-extraction flag in prior conical entries (Agora Beloya, Kurasu Rwanda, PPP Suke Quto), so the bitter-citrus present here is ROAST INTENT, not extraction fault: it stayed mild and stable across all three thermal phases rather than sharpening. Fourth conical entry to show a bitter tail and the first to keep it slight — evidence that the conical over-extraction penalty scales with the grinder's fines population, not with geometry alone. 1:16 sat mid-band of the 1:15–1:17 Palate DNA window, correct for a high-solubles Natural. Separately, the Natural process layer overwrote the SL28 phosphoric acid spine entirely, delivering fruit density at the cost of the note separation the same genetics show washed (cf. Kenya Nyeri Hill, Kiamugumo AA).</t>
  </si>
  <si>
    <t xml:space="preserve">Solo visit — 07 Aug 2026, ~13:40 SGT, Friday lunchtime. First visit to Kōhī Roastery + Coffee Bar; venue #40 in the archive. Filter menu was four lots, ALL Natural process (Uganda Rwenzori Kisinga S$8.50 · Ethiopia Sidamo Guji Harsu G1 S$8.50 · Costa Rica Aquiares Estate Entre Rios S$8.50 · Peru Finca Los Santos Gesha S$12.00; iced option +S$1). Espresso bar running Honduras Guara Verde and Ethiopia Sidama G2. Uganda selected as a country-novelty audit. Hario Switch also available on bar but NOT used for this lot — barista selected standard V60 percolation. Barista noted as friendly and knowledgeable; name not recorded (archive gap). Kōhī runs a Monday morning Gesha pop-up with multiple Gesha varieties — flagged as high-priority return. OUTLET NOT CONFIRMED: Kōhī operates two Singapore coffee bars.</t>
  </si>
  <si>
    <t xml:space="preserve">Live Field Audit — First Visit | Bean card photo (origin, varietal SL14/SL28, process, tasting notes) + filter menu board photo (price S$8.50) + barista confirmation (ratio 1:16 = 15g dose / 240g yield, 92°C, Mahlkönig EK43 S, Hario V60 standard percolation, dual-purpose espresso/filter roast intent behind the bitter-citrus finish)</t>
  </si>
  <si>
    <t xml:space="preserve">Unknown — outlet not confirmed. Kōhī SG coffee bars: 5 Shenton Way, #01-01 UIC Building, S068808 · 432 Joo Chiat Rd, S427647</t>
  </si>
  <si>
    <t xml:space="preserve">Berlina — Washed Panama Geisha</t>
  </si>
  <si>
    <t xml:space="preserve">Casa Ruiz</t>
  </si>
  <si>
    <t xml:space="preserve">Nectarine | Orange | Jasmine Tea</t>
  </si>
  <si>
    <t xml:space="preserve">HOT: Bright and clean — orange and nectarine hit together, immediate and simultaneous. High clarity from the first sip; the washed character is unmistakable. MID-COOL: Body thins into a tea-like structure. Diluted orange juice character with hints of nectarine underneath. Clarity holds as body drops. COOL: Sweet and still fruity. Nectarine returns clearly and cleanly — 'like sweet nectarine, and I love to drink as much as possible when it's cool.' VERDICT: Overall a great one. Thoroughly enjoyed. Cool phase is the reward window.</t>
  </si>
  <si>
    <t xml:space="preserve">Casa Ruiz (Boquete, Chiriquí) washed Geisha at 13 days rest — brewed batch roasted 27 Jul 2026, barista-confirmed. NOTE: the retail bag on shelf showed 3 Aug — a different lot. Retail roast dates are never logged; only the barista-confirmed brewed batch. 13 days sits one day inside Fluid's stated 14-day optimal rest, so degassing complete and aromatics fully developed. Washed processing delivers orange and nectarine SIMULTANEOUSLY rather than sequentially — no fermentation layer to stagger arrival. Hari identified the washed character in-cup before confirming the process. Jasmine tea note expresses structurally as a thinning tea-like body in the mid-cool phase rather than as discrete flavour. Cool-phase nectarine return (malic re-emergence as volatiles dissipate) now confirmed across Gara Agena, Alo Peaberry and Berlina — three consecutive washed cups behaving identically. VALUE FINDING: at SGD 9 this is the cheapest Gesha/Geisha in the entire archive, undercutting Apartment Selegie (S$9.50) — and the cheapest Panama Geisha by a wide margin (vs S$60 Finca Sophia Torcaza Washed, S$32 Finca Sophia Natural, S$14 Hiu Los Lajones Honey). Hardware and 70→90→70°C protocol unchanged from prior Fluid visits.</t>
  </si>
  <si>
    <t xml:space="preserve">Fluid Collective visit, Sunday 9 August 2026, 16:00 — visited WITH AANYA (her second archive appearance after Finca La Siberia at Narrative, March 2026). First of two filters this session (S$18 total, S$9 each). Ong Shen Choy — 2025 Singapore National Brewers Cup Champion — on the bar. The barista mentioned she reads Hari's Google reviews of Fluid and likes them — the archive reaching the people it documents. Crispiliano Natural Panama Geisha (S$32) was on bar and deliberately declined: spend discipline after S$60 + S$32 on Geisha within the prior 26 days. Berlina 200g retail also purchased.</t>
  </si>
  <si>
    <t xml:space="preserve">Live Field Audit — with Aanya | Bean card + retail bag photo</t>
  </si>
  <si>
    <t xml:space="preserve">Rosa Marina — Washed Nicaragua</t>
  </si>
  <si>
    <t xml:space="preserve">Finca La Lima</t>
  </si>
  <si>
    <t xml:space="preserve">Red Catuai</t>
  </si>
  <si>
    <t xml:space="preserve">Orange | Raisin | Hawthorn</t>
  </si>
  <si>
    <t xml:space="preserve">HOT: Clear and clean. Orange PEEL hit — rind and pith character, not just juice — arriving alongside a distinct grape note. Everything landing at once. MID-COOL: Clarity climbs further. Orange shifts from lead to backdrop and a light sweet aftertaste begins to appear. COOL: Nice and relaxed. Orange becomes more apparent again — the cup completes a full circle. Ends with a light sugar finish and a developing aftertaste. VERDICT: I love this coffee. Amazing.</t>
  </si>
  <si>
    <t xml:space="preserve">FIRST NICARAGUAN FILTER IN THE ARCHIVE — both prior Nicaragua entries (Finca La Virgen, Buena Vista) were espresso format; this closes a genuine origin gap. Red Catuai (Bourbon × Mundo Novo hybrid) under washed processing at Finca La Lima: compact high-yield varietal delivering clean citric structure with dried-fruit sweetness beneath. Orange peel read — limonene plus rind bitterness registering as structure, not defect — is a more precise capture than plain orange; Hari identified the pith character specifically. Grape in the hot phase is the raisin note in pre-concentration form; as the cup cools the sugars consolidate and the light sugar finish emerges. NOTABLE THERMAL BEHAVIOUR: orange RETURNS in the cool phase rather than being replaced — a circular arc, distinct from the washed Geishas where nectarine displaces the opening note. New pattern for the archive. Hawthorn (floral-herbal, subtle) not separately identified in cup. Last remaining box at Fluid — unlikely to recur. Hardware and protocol unchanged.</t>
  </si>
  <si>
    <t xml:space="preserve">Fluid Collective visit, Sunday 9 August 2026, 16:00 — visited WITH AANYA. Second of two filters this session (S$18 total, S$9 each). Ordered after the Berlina; barista flagged this as the LAST REMAINING BOX of Rosa Marina. Chosen deliberately over the Crispiliano Natural Panama Geisha (S$32) — scarcity of an unrepresented origin format ranked above a fourth Panama Geisha in under a month. Ong Shen Choy on the bar. Barista noted she reads and likes Hari's Google reviews of Fluid.</t>
  </si>
  <si>
    <t xml:space="preserve">Live Field Audit — with Aanya | Bean card photo</t>
  </si>
  <si>
    <t xml:space="preserve">Grey Area Coffee Roasters</t>
  </si>
  <si>
    <t xml:space="preserve">La Papaya TM</t>
  </si>
  <si>
    <t xml:space="preserve">Hacienda La Papaya (Juan Peña)</t>
  </si>
  <si>
    <t xml:space="preserve">Unknown — not stated on menu board or by barista; farm releases TM in Washed, Natural, Anaerobic Washed and Yeast-Inoculated Washed. Pending café confirmation.</t>
  </si>
  <si>
    <t xml:space="preserve">Solo Dripper by Mazelab (Flat-Bottom, 40° angle, Wave filter, PCTG plastic) + in-cup bypass</t>
  </si>
  <si>
    <t xml:space="preserve">Unknown — dripper removed and bypass water added in-cup, volume not captured</t>
  </si>
  <si>
    <t xml:space="preserve">1:13.3 through-bed (200g) + unquantified in-cup bypass — final ratio Unknown</t>
  </si>
  <si>
    <t xml:space="preserve">58.7g first pour (1:3.9) — saturating pour, not a degassing bloom</t>
  </si>
  <si>
    <t xml:space="preserve">Apricot | Red Apple</t>
  </si>
  <si>
    <t xml:space="preserve">HOT: Bright and acidic — apple and apricot arrived together and competed for space, neither resolving. MID-COOL: Stewed apple became the dominant impression; apricot receded to a light, juice-like presence. COOL: Apricot took over the cup outright. Overall very good — reads like apple juice at points. No bitterness at any thermal phase despite the sub-band through-bed ratio. INVERSE THERMAL SEQUENCE vs Entry #034 (Ecuador La Papaya Geisha Washed, Pocket by Flip, 19 May 2026): that cup ran apricot-first then malic apple on cooling; this one ran apple-forward then apricot on cooling. Same farm, same descriptor pair, reversed thermal order. No thymol terpene coat and no floral top note — Typica Mejorado has no terpene pathway, so this is a pure malic/lactone architecture.</t>
  </si>
  <si>
    <t xml:space="preserve">SECOND HACIENDA LA PAPAYA ENTRY AND FIRST NON-GESHA LOT FROM THE FARM — enables a varietal delta (Typica Mejorado vs Geisha) against Entry #034 with producer, terroir and altitude band held constant. THIRD SOLO DRIPPER ENTRY IN THE ARCHIVE (after #062 and #067, both Pour.traits Roasters) AND THE FIRST OUTSIDE POUR.TRAITS — all three ran the same Mahlkönig EK43S 98mm flat burrs, so brewer and grinder are held constant and RATIO ARCHITECTURE is the isolated variable: #062 and #067 both ran a straight ~1:15, this one ran 1:13.3 through-bed plus in-cup bypass. SOLO GEOMETRY (Mazelab, designed by Jackie Tran, Czech Republic Brewers Cup Champion 2024): 40 degree wall angle, curved base, single large central hole, FLAT wave-filter bed, PCTG plastic. Barista-stated selection rationale — she wanted water to travel OUTWARDS across the bed rather than converge, and reserves the V60 for iced service. Flat bed gives uniform path length across the full diameter, structurally avoiding the conical fines-drain over-extraction signature (Law 1). PCTG is thermally near-neutral — no heat-sink behaviour vs stainless (Law 7). CONCENTRATE-PLUS-BYPASS ARCHITECTURE: 200g through the bed on a 15g dose (1:13.3), then dripper and filter removed and hot water added directly to the cup. This decouples extraction yield (set by through-bed water plus the Solo's fast drain) from final TDS (set by bypass volume) — and is why a sub-band 1:13.3 produced NO polyphenolic cool-phase bitterness, QUALIFYING LAW 2. Opening pour of 58.7g (1:3.9) is a saturating first pour, not a degassing bloom.</t>
  </si>
  <si>
    <t xml:space="preserve">Solo visit — Grey Area Coffee Roasters, 12 Aug 2026, ~13:00 SGT, Wednesday lunchtime. First visit; venue #41 in the archive. Busy lunch service — water temperature and final cup weight not captured, logged as honest nulls rather than estimated. Café founded by Xiang Sheng and Luke, both ex-Alchemist Coffee; Luke roasts in-house. Selected from a five-strong filter board (Nano Challa 8.5 / La Papaya TM 9.5 / La Papaya B7 10.0 / Emerson Filipe 8.0 / Los Rodriguez 10.5) on clarity grounds — TM chosen for the same-farm varietal delta against Entry #034.</t>
  </si>
  <si>
    <t xml:space="preserve">Live Field Audit — First Visit | Menu board photo (filter list + prices) + brew-in-progress photo (Solo Dripper with wave filter) + grinder photo (Mahlkönig) | Hari-stated hardware: EK43S grinder, Solo Dripper 40 degree, plastic | Barista-stated brewer selection rationale | Pour weights recorded live (58.7 / 140 / 200 cumulative) | PROCESS NOT STATED on board or by barista — pending café confirmation</t>
  </si>
  <si>
    <t xml:space="preserve">13 Kampong Bahru Rd, Singapore 169345</t>
  </si>
  <si>
    <t xml:space="preserve">Suzuki Cafe &amp; Roastery</t>
  </si>
  <si>
    <t xml:space="preserve">117 Jairo Arcila Gesha Natural EF2</t>
  </si>
  <si>
    <t xml:space="preserve">Finca Santa Mónica — Jairo Arcila &amp; family (Cofinet)</t>
  </si>
  <si>
    <t xml:space="preserve">Extended Dry Anaerobic Natural (EF2) — two-stage: 24h dry aerobic ferment, then ~50h sealed in GrainPro below 22°C, then slow raised-bed drying to 11% moisture</t>
  </si>
  <si>
    <t xml:space="preserve">Hario V60 Glass 02 (Conical, 60°, single central aperture, olive wood collar) — glass body</t>
  </si>
  <si>
    <t xml:space="preserve">Lychee | Raspberries | Honey</t>
  </si>
  <si>
    <t xml:space="preserve">HOT: High acidity, bright and fruity; floral character present; anaerobic ferment detectable but subordinate — nothing dominates the cup. Honey sweetness rises within the first few sips. HOT-MID: Syrupy texture develops, berry emerging, turning steadily. MID-COOL: Berries clarify and lead — sits on the fruity axis rather than floral, despite the barista calling it floral. Enjoyed it despite being a Natural; brew parameters worked. COOL: Mellows to a honey-sweet finish, nice medium body, light residual sourness. Strong sweet-sour aftertaste reading as sweet orange or sweet strawberry — lingered so long it persisted into the next cup. ZERO cool-phase bitterness: first Natural-family Gesha in the archive to avoid the polyphenol penalty. Lychee not detected. Upper-tier entry and the best Gesha value in the archive at S$13.</t>
  </si>
  <si>
    <t xml:space="preserve">FIRST V60 CONICAL ENTRY WITHOUT OVER-EXTRACTION — EK43S 98mm flat burrs produced a PSD tight enough that the conical fines-migration failure mode never activated (cf. Entry #031 Kurasu, Entry #044 PPP Funan). RATIO OUTRANKS GEOMETRY: 1:15 at 92°C suppressed Extended Dry Anaerobic polyphenols below palate threshold, where Entry #058 (Double Shot, Kotowa Natural Gesha) failed at 1:13.3 on superior flat-bottom geometry with tighter Ditting burrs — isolating brew ratio, not brewer geometry, as the controlling variable for Natural-process cool-phase bitterness. Light roast preserved malic acid; the EF2 two-stage cold-held ferment kept fermentation subordinate to varietal expression. Glass brewer body = fourth material datapoint on Extraction Law 7 (after plastic, ceramic, stainless).</t>
  </si>
  <si>
    <t xml:space="preserve">Solo visit — Suzuki Cafe &amp; Roastery, 15 Aug 2026, Saturday late morning, first cup of a two-cup session. First visit; venue #42 in the archive. Boon Lay industrial estate, Kyoto-teahouse interior with indoor shishi-odoshi. Café packed at peak weekend rush; barista conversation limited by service volume. Barista confirmed 1:15 ratio, 92°C and Hario dripper; recommended this lot and described it as the more floral of the two (palate disagreed — see verdict). House flavour map plotted 117 in the Fruity quadrant, matching the palate reading over the barista testimony.</t>
  </si>
  <si>
    <t xml:space="preserve">Live Field Audit — First Visit | Barista-confirmed ratio, temperature and brewer | Bean card + wall card + retail bag photographed (varietal, altitude, process, EF2 designation, roast/intensity/acidity scores) | Dripper identified from direct photographs | Price from menu board</t>
  </si>
  <si>
    <t xml:space="preserve">8 Chin Bee Ave, Singapore 619932</t>
  </si>
  <si>
    <t xml:space="preserve">119 Gargari Gutity</t>
  </si>
  <si>
    <t xml:space="preserve">Gargari Gutiti Washing Station — Banko kebele smallholders</t>
  </si>
  <si>
    <t xml:space="preserve">Ethiopia Heirloom</t>
  </si>
  <si>
    <t xml:space="preserve">Supernatural (Extended Aerobic Natural) — thick-layer drying in a semi-permeable chamber with restricted sunlight and limited airflow; extended drying time increases fermentation of latent sugars; temperature, Brix and moisture monitored to ~12.5%</t>
  </si>
  <si>
    <t xml:space="preserve">Pineapple | Marmalade | Black Tea</t>
  </si>
  <si>
    <t xml:space="preserve">HOT: Very acidic and bright; tea-floral character leads; medium body; orange marmalade immediate and unmistakable — a clear citrus hit. HOT-MID: Unripe pineapple emerges — tropical ester family, not stone fruit. MID: Citrus and orange marmalade dominant; floral and fruit interleaved rather than one dominating; complex and layered — "a very complicated coffee with floral and fruit mixed together". COOL: Syrupy; sweet orange, pineapple and marmalade integrate; tea structure holds; decent and mellow, a slow-sipping tea-coffee that improves as it cools. All three official notes confirmed. Rated EQUAL to Entry #082 Gesha. No over-extraction — parameters judged built to perfection. Softened the stance on Natural process: syrupy and enjoyable, distinctly different from the washed cohort.</t>
  </si>
  <si>
    <t xml:space="preserve">ARCHIVE-DEFINING SESSION FINDING — AEROBIC vs ANAEROBIC ISOLATION: brewed on identical hardware, ratio, temperature and day as Entry #082, isolating fermentation architecture as the sole variable. The sealed anaerobic EF2 (#082) masked varietal and floral expression under berry esters; this open aerobic extended drying preserved florals, citrus and tea structure with fruit in support. Third same-session confirmation that 1:15 at 92°C suppresses extended-ferment polyphenols on V60 conical geometry when paired with 98mm flat burrs. ETHIOPIAN TERROIR CONSTANT CONFIRMED: orange/citrus now spans Guji, Sidamo and Gedeo zones across Washed, Natural and Supernatural processing — hypothesis promoted to established finding. WHITE PEACH ABSENT, supporting Guji-specificity rather than a pan-Ethiopian or JARC-lineage fingerprint. Station-level records indicate the Gargari Gutiti smallholder population is JARC 74110/7412/74165 — logged as Heirloom per bean card (source hierarchy).</t>
  </si>
  <si>
    <t xml:space="preserve">Solo visit — Suzuki Cafe &amp; Roastery, 15 Aug 2026, Saturday, second cup of a two-cup session. Palate reset compromised: nut-and-raisin rye bread consumed between cups, plus a long-lingering sweet-orange aftertaste carried over from Entry #082 — hot-phase reading treated as provisional at the time. Reading subsequently accepted as CLEAN: orange marmalade appeared hot, persisted through mid and was still present at cool; a residue artifact would have faded rather than intensified. TWO-CUP CONSISTENCY FINDING: two different origins and two different processing architectures, brewed back to back during peak weekend rush, both landing clean — evidence of a systematic house recipe rather than a single lucky cup.</t>
  </si>
  <si>
    <t xml:space="preserve">Live Field Audit — First Visit | Barista-confirmed ratio, temperature and brewer | Bean card photographed (varietal, altitude 1,983 m.a.s.l., Supernatural process, Light roast, intensity 2.5/5, acidity 4.5/5 — highest on the house board) | Process mechanism from station documentation | Price from menu board</t>
  </si>
  <si>
    <t xml:space="preserve">Sweet Blossom Coffee Roasters</t>
  </si>
  <si>
    <t xml:space="preserve">AB Mwirua Getuya #006</t>
  </si>
  <si>
    <t xml:space="preserve">Unknown — AB is a screen-size grade, not an estate; washing station not stated on bean card or by barista</t>
  </si>
  <si>
    <t xml:space="preserve">SL28 &amp; SL34, Batian, Ruiru 11</t>
  </si>
  <si>
    <t xml:space="preserve">Unknown — not stated on bean card or by barista</t>
  </si>
  <si>
    <t xml:space="preserve">Hario — ceramic conical wall with spiral ribs and a FLAT RECESSED FOUR-HOLE BASE PLATE (multi-aperture restricted base, not a single central aperture); model Unknown</t>
  </si>
  <si>
    <t xml:space="preserve">Unknown — four-pour structure barista-confirmed; individual pour weights not captured</t>
  </si>
  <si>
    <t xml:space="preserve">Currants | Rosehip | Brown Sugar | Strawberry Tea</t>
  </si>
  <si>
    <t xml:space="preserve">HOT: Bright and properly acidic; currants immediate and running the full length of the cup. MID: Berries opening out while clarity holds — no loss of definition as the profile moves from acid-led to fruit-led; brightness undiminished. COOL: Brown sugar arrives exactly on cue and resolves cleanly, with a quiet berry aftertaste persisting underneath and brightness still intact. No cool-phase bitterness at any point. The house card's three-phase prediction verified in all three bands. Preferred cup of the two-cup session.</t>
  </si>
  <si>
    <t xml:space="preserve">HOUSE CARD THERMAL PREDICTION VERIFIED — FIRST ARCHIVE INSTANCE. Sweet Blossom's bean card commits to a falsifiable three-phase arc (currants/rosehip hot, aromatic brown sugar as it cools, strawberry-tea aftertaste) and the cup matched it in all three phases. Elevates the printed bean card above generic menu descriptors in the source hierarchy for this venue. VARIETAL COMPOSITION: AB denotes screen size, not varietal. This lot blends SL28 &amp; SL34 with Batian and Ruiru 11 — the modern disease-resistant Kenyan cultivars — which typically round the sharp linear phosphoric-malic attack of pure SL selections. The currant-led rather than piercing-blackcurrant profile is consistent with that dilution and is the likely explanation for the unusually smooth acid delivery. HARDWARE: EK43 98mm flats at 1:16 / 93°C across four pours. The brewer is the notable variable — a ceramic conical-wall cone terminating in a flat recessed base plate with FOUR discrete holes rather than the single wide aperture of a V60. Four separated exits cap maximum flow rate independent of grind size, so the documented V60 apex-choke failure mode (Entries #031, #044 — fines migrating to a single outlet and over-extracting) is structurally unavailable on this geometry. First archive entry on a multi-aperture restricted-base cone; behaviourally closer to Kalita Wave contact-time dominance than to V60 percolation despite the conical wall.</t>
  </si>
  <si>
    <t xml:space="preserve">Day trip to Johor Bahru with Anusha, 22 Aug 2026. Second stop of six; arrived 13:37 by Grab from Komtar JBCC, departed 14:38 — 61 minutes at the bar. First cup of a deliberate two-cup controlled comparison (Washed vs Anaerobic Washed) on identical grinder, ratio, temperature, brewer and barista. Coffee-only venue — no food, no pastries, no distraction. Baristas: Grace, plus a second barista whose name was not captured (the visit's one data regret) who brewed both cups and argued the case for the Indonesian lot on its merits. Green sack wall observed and photographed: Nordic Approach (Sítio Cachoeira #4, Rodrigo Pereira, NORDIC29, Red Catuaí, Brazil), Café Tuxpal El Salvador El Condor Bourbon FW, Pirineos washed, plus Colombia and Brazil lots. Untried on the filter list: Colectivo Cedrobamba Peru natural RM20, Santa Rosa P50 El Salvador Pacamara honey RM23, Maguta Kenya nitrogen-flushed natural Lot L2 RM30 (resting).</t>
  </si>
  <si>
    <t xml:space="preserve">Live Field Audit — First Visit | Barista-confirmed grinder, dose, yield, ratio, temperature and pour count | Bean card photographed (varietal, process, three-phase house notes) | Filter menu photographed (RM22) | Brewer and grinder photographed — four-hole base plate clearly visible; model not identified and logged Unknown per no-inference rule | Payment RM43 for both cups, NETS debit S$13.93 @ 0.323869 | Archive price converted at the standing 1 SGD = 3.15 MYR reference rate</t>
  </si>
  <si>
    <t xml:space="preserve">28 Jalan Maju, Taman Pelangi, 80400 Johor Bahru, Johor, Malaysia</t>
  </si>
  <si>
    <t xml:space="preserve">Cibeureum Lot 41</t>
  </si>
  <si>
    <t xml:space="preserve">Unknown — lot 41, Cibeureum; producer and washing station not stated on menu or by barista</t>
  </si>
  <si>
    <t xml:space="preserve">Indonesia — sub-region not stated</t>
  </si>
  <si>
    <t xml:space="preserve">Mixed varietals — not specified on menu or by barista</t>
  </si>
  <si>
    <t xml:space="preserve">Unknown — not stated on menu or by barista</t>
  </si>
  <si>
    <t xml:space="preserve">Red Grapes | Hibiscus | Water Chestnut</t>
  </si>
  <si>
    <t xml:space="preserve">HOT: Bright, with the washed base clearly legible beneath the ferment — process character reads first, fermentation second. MID: A little funky as the anaerobic layer asserts itself, but contained and never muddy; a clear mandarin orange note comes through the middle. COOL: Brightness holds; ferment expresses as lift and texture rather than as jam or wine. No cool-phase bitterness. Good cup, but the Kenya was the better of the two.</t>
  </si>
  <si>
    <t xml:space="preserve">CONTROLLED FERMENTATION ISOLATION — SECOND OF TWO CUPS, SINGLE VARIABLE MOVED. Identical grinder (EK43 98mm flat), ratio (1:16), temperature (93°C), pour count (4), brewer geometry and barista as Entry #084; only the process differs — Washed vs Anaerobic Washed. RESULT: the washed base remained legible underneath the ferment, and the fermentation expressed as controlled funk and aromatic lift rather than as ester masking. This is a materially different outcome from the sealed-anaerobic-on-natural EF2 result at Suzuki (Entry #082), where the ferment buried varietal and floral expression under berry esters. WORKING CONCLUSION: anaerobic fermentation applied over a WASHED base is substantially less occlusive than the same fermentation applied over a NATURAL base — mucilage removed prior to sealing appears to cap the ester load available to the ferment. This refines Law 9 (fermentation architecture governs varietal expression) by identifying the pre-ferment substrate, not merely the vessel, as a controlling term. DIVERGENCE FROM HOUSE CARD: the card claimed red grapes, hibiscus and water chestnut; the cup delivered mandarin orange as the dominant fruit descriptor. Unlike Entry #084 the card did not predict this cup — card reliability at this venue is therefore process-dependent, strong on washed and weaker on fermented lots. RATIO: 1:16 sits mid-band of the 1:15–1:17 Palate DNA window and well clear of the ≤1:14 concentration threshold at which fermented lots have historically failed in this archive.</t>
  </si>
  <si>
    <t xml:space="preserve">Day trip to Johor Bahru with Anusha, 22 Aug 2026. Second cup of a two-cup session at Sweet Blossom, same date, venue, hardware and barista as Entry #084. Ordered second by design so that ferment esters could not contaminate the washed reference cup; approximately 15 minutes and a water reset between cups. Brewed by the second barista (name not captured), who had recommended this lot unprompted and made a substantive case for Indonesian coffee generally.</t>
  </si>
  <si>
    <t xml:space="preserve">Live Field Audit — First Visit | Barista-confirmed grinder, dose, yield, ratio, temperature and pour count | Filter menu photographed (lot name, origin, process, house notes, RM21) | Brewer and grinder photographed; model not identified and logged Unknown per no-inference rule | Payment RM43 for both cups, NETS debit S$13.93 @ 0.323869 | Archive price converted at the standing 1 SGD = 3.15 MYR reference rate</t>
  </si>
  <si>
    <t xml:space="preserve">August Drip Coffee</t>
  </si>
  <si>
    <t xml:space="preserve">La Mariposa — Panama Boquete</t>
  </si>
  <si>
    <t xml:space="preserve">Unknown — "La Mariposa" is a blended Boquete lot; producing farm not stated on bean card or by barista</t>
  </si>
  <si>
    <t xml:space="preserve">Boquete, Panama</t>
  </si>
  <si>
    <t xml:space="preserve">Gesha (70%) &amp; Typica (30%) — BLEND, not a single-varietal lot</t>
  </si>
  <si>
    <t xml:space="preserve">Unknown — no roast badge on the bean card photographed; venue roasts predominantly light but not confirmed for this lot</t>
  </si>
  <si>
    <t xml:space="preserve">Switch dripper — full immersion with valve-controlled release; non-Hario (Chinese-made unit; house Hario switches failed repeatedly), model Unknown</t>
  </si>
  <si>
    <t xml:space="preserve">Unknown — not stated by barista</t>
  </si>
  <si>
    <t xml:space="preserve">Unknown — served in glass carafe; brew-water charge 210–215 g confirmed, final beverage yield not measured</t>
  </si>
  <si>
    <t xml:space="preserve">Unknown — dose not stated; water charge 210–215 g confirmed</t>
  </si>
  <si>
    <t xml:space="preserve">N/A — no bloom phase in this protocol; single 20-second charge poured with the valve CLOSED, then undisturbed full immersion to 2:50</t>
  </si>
  <si>
    <t xml:space="preserve">Mahlkönig EK43S (98mm Flat Burr) — setting #7</t>
  </si>
  <si>
    <t xml:space="preserve">Floral Fragrance | Citrus | Apple | Plum</t>
  </si>
  <si>
    <t xml:space="preserve">HOT: Floral on the nose and immediately into orange and lime; bright, high clarity, unmistakably tea-like in body. MID: Apple emerging as temperature drops, fruit sweetness broadening without any loss of definition. COOL: Citrus and fruit holding to the final sip — no decay, no thinning, no cool-phase bitterness; intensity essentially flat across the thermal range rather than declining. NOT DETECTED: berry, jam, wine or solvent character. For a sealed anaerobic natural on a Gesha-dominant lot the ferment left almost no fingerprint. Among the strongest cups in the archive.</t>
  </si>
  <si>
    <t xml:space="preserve">ARCHIVE-DEFINING METHOD ENTRY — FIRST FULL-IMMERSION SWITCH PROTOCOL LOGGED. House method confirmed directly by co-owner and barista Pei: 95°C water, EK43S setting #7 (fine), valve CLOSED, the entire 210–215 ml charge delivered in a SINGLE POUR OF 20 SECONDS with no pulsing, circling or agitation, undisturbed full immersion until 2:50, then valve opened for a single drawdown. Pour time was originally field-recorded as "30 seconds or less" and subsequently corrected to 20 s by Pei on 23 Aug 2026 — barista confirmation overrides field recall. CANDIDATE EXTRACTION LAW 10 — IMMERSION DECOUPLES GRIND SIZE FROM FLOW RATE: in percolation, grind governs surface area and drawdown rate simultaneously, so extraction yield cannot be pursued without paying in flow; with the valve shut there is no flow to choke, and fineness can be pushed to a level that would trigger apex choke in a conical cone. EK43S #7 would be reckless in a V60 and is unremarkable here. Two supporting mechanisms: (i) a static column cannot compact, so channelling and fines migration are structurally unavailable rather than merely avoided; (ii) colloids and lipids remain in suspension for the full steep instead of being progressively stripped and filtered by continuous flow — the origin of the body Pei explicitly optimises for. SYSTEM DESIGN NOTE: removing pour rate, pour pattern, agitation and pulse timing leaves only grind, temperature, water mass and a clock — variables that can be handed to a barista on a first shift. Applied team-wide with per-lot tuning only; a protocol engineered for cross-barista consistency rather than individual virtuosity. FERMENTATION FINDING — consistent with Entry #085 and contrary to Entry #082: anaerobic ferment failed to mask varietal expression, with orange and lime leading and no berry or wine register at any temperature. VARIETAL CAVEAT: this is a 70/30 Gesha-Typica blend, so varietal attribution is partial and the Typica fraction may account for some of the body and the mid-phase apple. Gesha_Alert fires on Gesha-dominant composition; the blend is flagged explicitly here to prevent downstream analysis reading it as a single-varietal Gesha lot. ORANGE/CITRUS CROSS-TERROIR NOTE: orange appears again here, now outside Ethiopia — open question whether this is a Gesha genetic marker rather than an Ethiopian terroir constant.</t>
  </si>
  <si>
    <t xml:space="preserve">Day trip to Johor Bahru with Anusha, 22 Aug 2026. Sixth and final stop of the day; arrived 19:27 by Grab from Bangkok Spa, departed 20:48 — 81 minutes on site. Venue deliberately scheduled last because it trades until 22:00. Asked whether the bar carried any Gesha and was shown MORE THAN TEN distinct Gesha lots, predominantly anaerobic — the deepest single-venue Gesha bench encountered in the archive to date. Approximately 45 minutes in conversation with co-owner and barista Pei, who shared the full house brewing protocol unprompted, reviewed the Hari Coffee Archive spreadsheet, and exchanged contact details; common ground on whisky, and she knows Homeground. Added to the barista leaderboard alongside Jason (Prodigal), Ong Shen Choy (Fluid Collective) and Elysia Tan (Homeground). Also consumed: Bite Me Brownie (78% dark chocolate, mousse layer) RM17.90 and banana chocolate pound cake RM12.90, both rated highly — patisserie quality matches the coffee programme. Seven retail drip bags purchased on departure for RM52.20 (invoice T01-013385). Venue named default Johor Bahru destination going forward; return planned for a morning visit to allow multiple cups.</t>
  </si>
  <si>
    <t xml:space="preserve">Live Field Audit — First Visit | Full brewing protocol barista-confirmed direct from co-owner Pei (temperature, grinder setting, water charge, pour duration, steep time, valve sequence), with pour time corrected by her from 30 s to 20 s in follow-up 23 Aug 2026 | Bean card photographed (grade SHB, variety, altitude 1600–1700 m, process, 70/30 blend composition, house notes) | Itemised invoice T01-013384, JIA Coffee House Sdn Bhd (Reg 1221078W), 211 Jalan Dato Sulaiman, RM81.80 total with the cup at RM37 | Brewer confirmed by Pei as a non-Hario switch-type immersion dripper; model not identified and logged Unknown per no-inference rule | Archive price converted at the standing 1 SGD = 3.15 MYR reference rate</t>
  </si>
  <si>
    <t xml:space="preserve">211 Jalan Dato Sulaiman, Taman Abad, 80250 Johor Bahru, Johor, Malaysia</t>
  </si>
  <si>
    <t xml:space="preserve">Wilder Garcia — Peru Geisha</t>
  </si>
  <si>
    <t xml:space="preserve">Jaen, Cajamarca, Peru</t>
  </si>
  <si>
    <t xml:space="preserve">Hario V60 — ceramic conical (matte black) over glass server; cone PREHEATED and paper filter rinsed (barista-confirmed); bloom + 3 subsequent pours (4 pours total); model number Unknown</t>
  </si>
  <si>
    <t xml:space="preserve">71 → 92 (ascending two-stage: 71°C bloom, 92°C subsequent pours — barista-confirmed; profile is barista-discretionary, not house-fixed)</t>
  </si>
  <si>
    <t xml:space="preserve">Yes — pour 1 is the bloom (barista-confirmed); individual pour weights not captured</t>
  </si>
  <si>
    <t xml:space="preserve">Mahlkönig EK43 (98mm Flat Burr) — full-size EK43, explicitly not the EK43S (barista-confirmed)</t>
  </si>
  <si>
    <t xml:space="preserve">Yuzu | Yellow Floral | Tarragon</t>
  </si>
  <si>
    <t xml:space="preserve">PRIMARY SENSORY RECORD (in-cup, blind of the correct bean card): honeysuckle identified on the finish — a direct independent hit on the card's YELLOW FLORAL, named before the correct card was ever seen. Acid read as soft stewed apple, described in the moment as 'like drinking a light apple juice'; no citrus lift, no tarragon, light body, low aromatic intensity throughout. Peach and red currant impressions sat faintly in the background. HOT phase NOT captured — cup delivered already descended; MID to COOL only. RETROSPECTIVE REVISION (post-label, flagged, does not overwrite): on seeing the correct Geisha card, Hari revised the apple read toward yuzu. Methodological note: the original read was made while Hari ALREADY believed the cup was Geisha, making it the less label-influenced of the two accounts; both are retained side by side. ⚠️ CARD DISCREPANCY (Rule 5, resolved): a BOURBON card from the same producer (Stewed Red Apple / Yellow Peach / Red Currant / Demerara) was mis-supplied to the table by the barista. Barista's verbal GEISHA call was correct and subsequently card-confirmed when the correct Geisha card was located. All Bourbon-card data struck from this entry.</t>
  </si>
  <si>
    <t xml:space="preserve">TEMPERATURE ISOLATED AS THE SOLE FAILURE VARIABLE — every other controllable was sound. Cone preheated and filter rinsed (barista-confirmed), ratio 1:15 inside the Palate DNA band, EK43 98mm flat burr = benchmark hardware. The ascending two-stage profile OPENS AT 71°C, far below the threshold at which volatile monoterpenes mobilise. Limonene, linalool and gamma-terpinene carry yuzu's identity and require thermal energy both to extract from the bed and to achieve retronasal release; estragole/anethole carry tarragon and behave identically. The first pour — with full access to a fresh bed and the steepest concentration gradient — stripped the fast, low-volatility citric/malic acid fraction while leaving the aromatic fraction behind. What reached the cup was yuzu's ACID SKELETON with its aromatic signature removed, which reads as soft apple. Linalool, least volatile of the group, survived and surfaced as honeysuckle — the surviving aromatic is diagnostic of the deficit's depth. Preheat confirmation EXCLUDES Law 7 thermal mass as a contributing cause, isolating bloom temperature. VENUE PROTOCOL NOTE: barista confirmed the profile is HER OWN, not a fixed house recipe — temperature varies by who is on bar, so the same lot at this venue on a different shift constitutes a valid single-variable comparison. NEW V60 FAILURE MODE FOR THE ARCHIVE: thermal-deficit de-aromatisation — mechanically OPPOSITE to the standing Law 1 conical fines-migration over-extraction pattern.</t>
  </si>
  <si>
    <t xml:space="preserve">Solo visit, Pocket by Flip Coffee Roasters, 25 Aug 2026. Second archive visit to this venue (first was Entry #034, 19 May 2026, Ecuador La Papaya Geisha at S$18). Five filter lots on the display wall; pre-visit shortlist ran the Wilder Garcia Geisha first on Palate DNA fit (Washed + Gesha + citrus/floral/stone-fruit), with Kirinyaga Kii Lot 6211 as the paired-comparison candidate and Inmaculada (Natural Anaerobic) and Los Rodriguez (Coco Natural) both declined on ferment load and roast development. Single cup taken; no second cup ordered. RELATIONSHIP EVENT: Marshella, owner of Boon Cafe Dutamas (Duta Mas, West Jakarta, Indonesia), was seated alongside — in Singapore as a visitor, at Pocket seeking Panama coffee, which was unavailable. She identified the mis-supplied bean card and retrieved the correct Geisha card. Extended conversation on the Indonesian coffee context; contacts exchanged by WhatsApp and Hari's 95-venue Singapore café list shared. Standing invitation to visit Boon Cafe — approximately one hour from central Jakarta. FIRST INDONESIAN INDUSTRY CONTACT IN THE ARCHIVE and the first with a café owner rather than a barista. Barista name NOT captured — reserved during the brew, then approached Hari unprompted to ask how the cup was; quoted every parameter precisely and held the correct varietal against a mislabelled card. Capture her name on return.</t>
  </si>
  <si>
    <t xml:space="preserve">Live Field Audit — Second Visit | Barista-confirmed: dose, yield, ratio, two-stage temperature profile, pour count, bloom placement, grinder model (full-size EK43, explicitly NOT the EK43S), cone preheat and filter rinse, and that the temperature profile is her own rather than house-fixed | Correct Geisha bean card photographed (region, varietal, elevation, process, roaster notes) | Incorrect Bourbon card also photographed and struck | Brewer geometry directly observed (Hario ceramic conical, black, glass server) | Roast level and roast date NOT captured — logged Unknown per no-inference rule | Venue signage photographed (Pocket by Flip Coffee Roasters)</t>
  </si>
  <si>
    <t xml:space="preserve">Om Koi, Chiang Mai — Washed Bio Control</t>
  </si>
  <si>
    <t xml:space="preserve">Om Koi, Chiang Mai</t>
  </si>
  <si>
    <t xml:space="preserve">Om Koi, Chiang Mai, Thailand · 1300 masl</t>
  </si>
  <si>
    <t xml:space="preserve">Catuai, Catimor</t>
  </si>
  <si>
    <t xml:space="preserve">Washed (Bio Control)</t>
  </si>
  <si>
    <t xml:space="preserve">Unknown (barista busy at lunch service — not confirmed)</t>
  </si>
  <si>
    <t xml:space="preserve">Red Apple, Nectarine, Berries</t>
  </si>
  <si>
    <t xml:space="preserve">HOT: Red apple and berries arrive together — apple reads as the white flesh, not the skin (malic acid without tannic/phenolic edge, a clean crisp note). Berries add light anthocyanin brightness. Nectarine not yet present. MID-COOL: Malic-to-citric transition — orange emerges with a slight sourness like a normal orange, with lime hints starting; nectarine and orange blur together (chemically adjacent malic/citric expressions at this band). COOL: Clarity increases — apple and berries recede to the background while brighter aromatic esters move forward; fruity lime-mandarin-orange comes to the foreground, described as 'diluted lime juice' — clean, bright, thin, a clear malic acid hit Harry connects with easily. A fine nectarine note lands at cool phase. Best enjoyed cool. Verdict: very good for the price — an enjoyable, easy cup and the best of the mid-tier entries. Not a top-tier flagship, but a genuinely likeable washed cup that rewards patience as it cools. Archive first: first washed Thailand coffee (previous Thai entries were Natural/Anaerobic — Sirinya Geisha Amarone and Toki); first Catuai/Catimor varietal from Thailand; first Om Koi (Chiang Mai) origin.</t>
  </si>
  <si>
    <t xml:space="preserve">Pour.traits in-house roast (Om Koi, Chiang Mai, 1300 masl, Catuai/Catimor, Washed Bio Control). 'Bio Control' processing detail not confirmed with barista (lunch service) — term typically refers to controlled/managed fermentation using selected microbial cultures or biological pest/quality management at the washing station; logged as observed on bean card without over-interpretation. Brew parameters (brewer, grinder, dose, yield, ratio, temperature) all Unknown — barista too busy at lunch to confirm, and per archive integrity rules NOT assumed from prior visits. Sensory arc consistent with a cleanly processed washed coffee: apple/berry structural notes dominant hot, brighter citric/malic esters (lime, mandarin, orange) emerging and moving to foreground as the cup cools — classic washed-process clarity progression. The cool-phase 'diluted lime juice' malic expression is squarely within Harry's documented palate preference.</t>
  </si>
  <si>
    <t xml:space="preserve">Lunchtime solo visit — Pour.traits Roasters, Outram Park, Singapore. Tuesday 26 August 2026, ~12:30–13:30 SGT. Repeat visit to Pour.traits (previous entries include: 11 Jul Thailand Sirinya Geisha Amarone; 14 Jul TaoTao WBRC crown entry; 21 Jul Toki). Ordered from the updated in-house filter menu. MENU DISCREPANCY LOGGED: Ethiopia Nensenbo Mewa Washed was printed on the menu but confirmed unavailable by barista Elaine — Om Koi ordered as the top available alternative. Barista Elaine busy during lunch service — brew parameters not confirmed this visit, logged as Unknown per archive integrity rules rather than assumed.</t>
  </si>
  <si>
    <t xml:space="preserve">Live Field Audit — bean card photo (Pour.traits Om Koi card, authoritative: Catuai/Catimor, 1300 masl, Washed Bio Control) + Harry's sensory notes. Brew hardware not confirmed (barista busy) — logged Unknown.</t>
  </si>
  <si>
    <t xml:space="preserve">La Lucuma</t>
  </si>
  <si>
    <t xml:space="preserve">Approx 12.5 (barista-stated; exact figure uncertain)</t>
  </si>
  <si>
    <t xml:space="preserve">Approx 210–220 (barista-stated; exact figure uncertain)</t>
  </si>
  <si>
    <t xml:space="preserve">Slightly less than 1:17 (barista-confirmed — deviation from house standard on the day)</t>
  </si>
  <si>
    <t xml:space="preserve">93°C (Constant — house standard)</t>
  </si>
  <si>
    <t xml:space="preserve">Kaffir Lime | Yellow Peach | Jasmine | Earl Grey</t>
  </si>
  <si>
    <t xml:space="preserve">HOT: Bright and acidic on the tongue. Lime hits immediately. Slight bitter tinge in the aftertaste. Possible trace of peach. Light body, disappears quickly. MID: Brightness and acidity hold without reduction — lime clearly dominant. COOL: Bitter aftertaste develops further even with lime still encapsulated — described as an unripe lime character. POST-CUP: Bitter lime still perceptible in the mouth five minutes after leaving the café — confirmed at 150% certainty. OVERALL: Not bad, but a riper lime would have been more interesting — preference is for sweet-sour over bitter. Rated AVERAGE at S$10.</t>
  </si>
  <si>
    <t xml:space="preserve">Bitterness attributed primarily to the green, with ratio as a contributing variable. Barista confirmed the brew ran slightly leaner than the 1:17 house standard on the day (approx 12.5g dose, 210–220g yield — exact figures uncertain), so this is NOT a clean single-variable comparison against the 05 Aug El Romerillo, which used house-standard 1:17 on identical hardware and finished with zero bitter tail. Two factors still point away from extraction as the primary cause: the bitterness was present from the HOT phase rather than emerging on cooling (concentration-driven bitterness typically builds as sweetness contrast fades), and it persisted in the mouth five minutes after the cup — a duration inconsistent with a marginal ratio shift and consistent with compounds structurally bound to the bean. The 'unripe lime' descriptor is diagnostic: bitterness fused to the citrus as pith/rind character, distinct from the flat, dry CGA lactone signature logged on the 08 Jul Natural Bourbon. Most consistent with underripe cherry in the lot — elevated chlorogenic acids and low sugar development, which washed processing conceals nothing of. Extraction physics otherwise near-ideal: Geisha's low bean density gives up volatiles readily at 93°C, and the OREA's wide unrestricted drain keeps contact time short, protecting monoterpenes. GESHA HYPOTHESIS: lime present in HOT and dominant by MID from Peruvian terroir, washed, no Ethiopian lineage — supports citrus as a genetic varietal marker rather than an Ethiopian terroir signature. Yellow peach appeared only as a trace in HOT, consistent with white peach being Guji-specific rather than a universal varietal fingerprint.</t>
  </si>
  <si>
    <t xml:space="preserve">Solo visit — 29 Aug 2026. Seventh Nylon audit. Filter menu rotated again since 05 Aug: El Romerillo retained at S$7.50; three new additions — Peru La Lucuma (Geisha/Washed, S$10.00), Ethiopia Banko Gotiti (Dega, Wolisho, Kurume/Washed, S$8.50 — returning lot, previously audited 07 May 2026), Nicaragua Finca Libre (Yellow Catuai/Natural Anaerobic, S$8.50). Colombia El Pinal rotated off. Espresso line: Peru Los Cedros (Caturra/Washed) and Brazil Nossa Senhora Aparecida (Yellow Bourbon/Natural). Seasonal special: Summer Cola espresso tonic, S$8.50. Ordered as a direct test of the open Gesha citrus hypothesis. First Peruvian Geisha in the archive. BARISTA EXCHANGE: Hari raised the bitter aftertaste on the way out; barista appeared surprised, then suggested it could be a bitter lime character that some people perceive — read as accommodation rather than confirmation of a known lot issue. Producer name not obtained. Roast date not logged.</t>
  </si>
  <si>
    <t xml:space="preserve">Live Field Audit — Seventh Visit | Barista confirmation (ratio slightly under 1:17 on the day; approximate dose and yield) + menu board photo + house-standard temperature and brewer (barista-confirmed 05 Aug 2026)</t>
  </si>
  <si>
    <t xml:space="preserve">☕   T H E   H A R I   C O F F E E   A R C H I V E   ·   2 0 2 6</t>
  </si>
  <si>
    <t xml:space="preserve">Master Extraction Archivist  ·  Singapore · Bali · Mumbai · Johor Bahru  ·  Clarity over Complexity  ·  three-phase thermal record</t>
  </si>
  <si>
    <t xml:space="preserve">  ▸  ARCHIVE VITALS   —   every figure below is a live formula; add a row and the dashboard moves with it</t>
  </si>
  <si>
    <t xml:space="preserve">TOTAL ENTRIES</t>
  </si>
  <si>
    <t xml:space="preserve">UNIQUE CAFÉS</t>
  </si>
  <si>
    <t xml:space="preserve">CITIES</t>
  </si>
  <si>
    <t xml:space="preserve">⭐ GESHA CUPS</t>
  </si>
  <si>
    <t xml:space="preserve">WASHED SHARE</t>
  </si>
  <si>
    <t xml:space="preserve">ARCHIVE SPEND</t>
  </si>
  <si>
    <t xml:space="preserve">AVG CUP</t>
  </si>
  <si>
    <t xml:space="preserve">AVG GESHA</t>
  </si>
  <si>
    <t xml:space="preserve">PEAK CUP</t>
  </si>
  <si>
    <t xml:space="preserve">ORIGINS</t>
  </si>
  <si>
    <t xml:space="preserve">field-audited cups</t>
  </si>
  <si>
    <t xml:space="preserve">venues audited</t>
  </si>
  <si>
    <t xml:space="preserve">SG · Bali · Mumbai · JB</t>
  </si>
  <si>
    <t xml:space="preserve">process-family share</t>
  </si>
  <si>
    <t xml:space="preserve">total S$ logged</t>
  </si>
  <si>
    <t xml:space="preserve">live</t>
  </si>
  <si>
    <t xml:space="preserve">  ▸  LATEST CUP IN THE ARCHIVE   —   auto-pulls the final row; never needs editing</t>
  </si>
  <si>
    <t xml:space="preserve">DATE</t>
  </si>
  <si>
    <t xml:space="preserve">CAFÉ</t>
  </si>
  <si>
    <t xml:space="preserve">COFFEE</t>
  </si>
  <si>
    <t xml:space="preserve">ORIGIN</t>
  </si>
  <si>
    <t xml:space="preserve">VARIETAL</t>
  </si>
  <si>
    <t xml:space="preserve">PROCESS</t>
  </si>
  <si>
    <t xml:space="preserve">RATIO</t>
  </si>
  <si>
    <t xml:space="preserve">TEMP °C</t>
  </si>
  <si>
    <t xml:space="preserve">PRICE</t>
  </si>
  <si>
    <t xml:space="preserve">#</t>
  </si>
  <si>
    <t xml:space="preserve">Café</t>
  </si>
  <si>
    <t xml:space="preserve">Origin · Farm</t>
  </si>
  <si>
    <t xml:space="preserve">Price</t>
  </si>
  <si>
    <t xml:space="preserve">Archive Flag</t>
  </si>
  <si>
    <t xml:space="preserve">Panama · Finca Sophia Torcaza</t>
  </si>
  <si>
    <t xml:space="preserve">👑 ARCHIVE #1</t>
  </si>
  <si>
    <t xml:space="preserve">Panama · Boot / Hartmann / Pohl</t>
  </si>
  <si>
    <t xml:space="preserve">Colombia · El Sauce</t>
  </si>
  <si>
    <t xml:space="preserve">Colombia · Valle (Inmaculada)</t>
  </si>
  <si>
    <t xml:space="preserve">Pocket by Flip</t>
  </si>
  <si>
    <t xml:space="preserve">Ecuador · Loja</t>
  </si>
  <si>
    <t xml:space="preserve">Panama · Boquete (Kotowa)</t>
  </si>
  <si>
    <t xml:space="preserve">Panama · Bambito Estate</t>
  </si>
  <si>
    <t xml:space="preserve">Colombia · La Esmaralda</t>
  </si>
  <si>
    <t xml:space="preserve">Colombia · Huila</t>
  </si>
  <si>
    <t xml:space="preserve">Colombia · El Obraje</t>
  </si>
  <si>
    <t xml:space="preserve">★ 6-mo former #1</t>
  </si>
  <si>
    <t xml:space="preserve">Colombia · Quindío (Santa Mónica)</t>
  </si>
  <si>
    <t xml:space="preserve">Anaerobic Nat.</t>
  </si>
  <si>
    <t xml:space="preserve">Peru · Jaén</t>
  </si>
  <si>
    <t xml:space="preserve">Panama · Boquerón</t>
  </si>
  <si>
    <t xml:space="preserve">Peru · Cajamarca</t>
  </si>
  <si>
    <t xml:space="preserve">Peru · Finca Los Santos</t>
  </si>
  <si>
    <t xml:space="preserve">Peru · Jaén, Cajamarca (Wilder Garcia)</t>
  </si>
  <si>
    <t xml:space="preserve">🆕 25 AUG · FIRST PERU-GESHA AT POCKET</t>
  </si>
  <si>
    <t xml:space="preserve">Panama · Boquete ("La Mariposa")</t>
  </si>
  <si>
    <t xml:space="preserve">22 AUG · FIRST JB GESHA</t>
  </si>
  <si>
    <t xml:space="preserve">Colombia · Valle (Las Margaritas)</t>
  </si>
  <si>
    <t xml:space="preserve">29 JUL 2026</t>
  </si>
  <si>
    <t xml:space="preserve">Thailand · Chiang Rai (Sirinya)</t>
  </si>
  <si>
    <t xml:space="preserve">Colombia · Valle (Las Nubes)</t>
  </si>
  <si>
    <t xml:space="preserve">Peru · Wilder Garcia</t>
  </si>
  <si>
    <t xml:space="preserve">Panama · Casa Ruiz (Berlina)</t>
  </si>
  <si>
    <t xml:space="preserve">9 AUG · CHEAPEST GESHA</t>
  </si>
  <si>
    <t xml:space="preserve">  ▸  PROCESS FINGERPRINT   —   live wildcard families; hybrids intentionally count in both parents</t>
  </si>
  <si>
    <t xml:space="preserve">Process Family</t>
  </si>
  <si>
    <t xml:space="preserve">Cups</t>
  </si>
  <si>
    <t xml:space="preserve">% Archive</t>
  </si>
  <si>
    <t xml:space="preserve">Palate Signal</t>
  </si>
  <si>
    <t xml:space="preserve">Affinity &amp; Archive Note</t>
  </si>
  <si>
    <t xml:space="preserve">Washed (all forms)</t>
  </si>
  <si>
    <t xml:space="preserve">Malic clarity · jasmine lift · clean thermal arcs</t>
  </si>
  <si>
    <t xml:space="preserve">★★★★★  PRIMARY — the palate's home ground</t>
  </si>
  <si>
    <t xml:space="preserve">Natural (all forms)</t>
  </si>
  <si>
    <t xml:space="preserve">Stone fruit · berry depth · terroir expression</t>
  </si>
  <si>
    <t xml:space="preserve">★★★★  SECONDARY — best when altitude keeps it clean</t>
  </si>
  <si>
    <t xml:space="preserve">Honey / Mucilage</t>
  </si>
  <si>
    <t xml:space="preserve">Sucrose bridge · ketone fruit layer · rounded finish</t>
  </si>
  <si>
    <t xml:space="preserve">★★★★  BRIDGE — Las Margaritas (29 Jul) the newest proof</t>
  </si>
  <si>
    <t xml:space="preserve">Anaerobic (all forms)</t>
  </si>
  <si>
    <t xml:space="preserve">Controlled funk · ester density · tropical edge</t>
  </si>
  <si>
    <t xml:space="preserve">★★★  EXPERIMENTAL — ceiling confirmed at Entry #059</t>
  </si>
  <si>
    <t xml:space="preserve">Co-Ferment / Mosto / Yeast</t>
  </si>
  <si>
    <t xml:space="preserve">Frontier zone — yeast, mosto, watermelon co-ferment</t>
  </si>
  <si>
    <t xml:space="preserve">★★  EXPLORATORY — logged as data, rarely reordered</t>
  </si>
  <si>
    <t xml:space="preserve">Wet-Hulled (Giling Basah)</t>
  </si>
  <si>
    <t xml:space="preserve">Earthy · syrupy body · Indonesian terroir marker</t>
  </si>
  <si>
    <t xml:space="preserve">★  REFERENCE — single-entry texture study</t>
  </si>
  <si>
    <t xml:space="preserve">  ▸  ORIGIN LEAGUE   —   live COUNTIF; Colombia's lead is the archive's defining terroir story</t>
  </si>
  <si>
    <t xml:space="preserve">Share</t>
  </si>
  <si>
    <t xml:space="preserve">Bar</t>
  </si>
  <si>
    <t xml:space="preserve">Terroir Signal</t>
  </si>
  <si>
    <t xml:space="preserve">HIGHEST — malic depth + Gesha heartland of the archive</t>
  </si>
  <si>
    <t xml:space="preserve">HIGH — linalool florals · 74158 white-peach fingerprint</t>
  </si>
  <si>
    <t xml:space="preserve">HIGH — Cajamarca washed clarity, repeatedly excellent</t>
  </si>
  <si>
    <t xml:space="preserve">HIGH — phosphoric acid · blackcurrant benchmark</t>
  </si>
  <si>
    <t xml:space="preserve">MED — body and Maillard sweetness baseline</t>
  </si>
  <si>
    <t xml:space="preserve">HIGHEST — Gesha heartland (Sophia · Kotowa · Bambito)</t>
  </si>
  <si>
    <t xml:space="preserve">Indonesia</t>
  </si>
  <si>
    <t xml:space="preserve">MED — wet-hulled texture study · Bali chapter</t>
  </si>
  <si>
    <t xml:space="preserve">HIGH — malic stone fruit · clean finish</t>
  </si>
  <si>
    <t xml:space="preserve">Thailand</t>
  </si>
  <si>
    <t xml:space="preserve">EMERGING — 2026 discovery, high clarity at altitude</t>
  </si>
  <si>
    <t xml:space="preserve">Guatemala</t>
  </si>
  <si>
    <t xml:space="preserve">NEW — Huehuetenango debut 24 Jul (El Frutal, Castillo)</t>
  </si>
  <si>
    <t xml:space="preserve">  ▸  BREW RATIO INTELLIGENCE   —   the 1:15–1:17 Palate DNA band, measured live</t>
  </si>
  <si>
    <t xml:space="preserve">Ratio Band</t>
  </si>
  <si>
    <t xml:space="preserve">Reading</t>
  </si>
  <si>
    <t xml:space="preserve">Extraction Chemistry Note</t>
  </si>
  <si>
    <t xml:space="preserve">1:13 – 1:14  (concentrated)</t>
  </si>
  <si>
    <t xml:space="preserve">⚠️ Below band</t>
  </si>
  <si>
    <t xml:space="preserve">High TDS. Documented CGA-lactone and polyphenolic bitterness at cool phase — Law 2.</t>
  </si>
  <si>
    <t xml:space="preserve">1:15  (archive default)</t>
  </si>
  <si>
    <t xml:space="preserve">✅ In band</t>
  </si>
  <si>
    <t xml:space="preserve">Highest-frequency setting. Balances body against clarity; the archive's reference point.</t>
  </si>
  <si>
    <t xml:space="preserve">1:16  (lean-balanced)</t>
  </si>
  <si>
    <t xml:space="preserve">Sweet spot for honey and washed lots — La Betania 25 Jul at 1:16.1 scored excellent.</t>
  </si>
  <si>
    <t xml:space="preserve">1:17  (lean)</t>
  </si>
  <si>
    <t xml:space="preserve">Upper edge of the Palate DNA band. Lean extraction preserves aromatic headspace; carries CGA-lactone risk on Naturals (Law 3).</t>
  </si>
  <si>
    <t xml:space="preserve">  ▸  HARDWARE SNAPSHOT   —   flat burrs and flat beds keep winning</t>
  </si>
  <si>
    <t xml:space="preserve">Hardware Signal</t>
  </si>
  <si>
    <t xml:space="preserve">Physics Note</t>
  </si>
  <si>
    <t xml:space="preserve">EK43 / EK43S (98mm flat)</t>
  </si>
  <si>
    <t xml:space="preserve">Café workhorse and the archive's most-logged grinder. Competition-grade particle uniformity.</t>
  </si>
  <si>
    <t xml:space="preserve">Option-O Lagom (P64/P80)</t>
  </si>
  <si>
    <t xml:space="preserve">Precision boutique platform — Fluid, Asylum, Abseil, Oaks. Minimal fines migration.</t>
  </si>
  <si>
    <t xml:space="preserve">Flat-bottom brewers</t>
  </si>
  <si>
    <t xml:space="preserve">✅ PRIMARY GEOMETRY — even bed saturation, zero bypass. Delivers the highest-rated cups.</t>
  </si>
  <si>
    <t xml:space="preserve">Conical V60 (all materials)</t>
  </si>
  <si>
    <t xml:space="preserve">⚠️ Standing over-extraction flag (Law 1). Steel V60 debut 29 Jul at Alchemist Funan.</t>
  </si>
  <si>
    <t xml:space="preserve">Immersion hybrids (Switch etc.)</t>
  </si>
  <si>
    <t xml:space="preserve">Full saturation before drawdown — strongest on honey-process lots.</t>
  </si>
  <si>
    <t xml:space="preserve">🧬  PALATE DNA FINGERPRINT</t>
  </si>
  <si>
    <t xml:space="preserve">  📖  THE PALATE THESIS</t>
  </si>
  <si>
    <t xml:space="preserve">  🌡️  TEMPERATURE PROTOCOLS  —  88–93°C sweet spot</t>
  </si>
  <si>
    <t xml:space="preserve">Entries</t>
  </si>
  <si>
    <t xml:space="preserve">%</t>
  </si>
  <si>
    <t xml:space="preserve">Affinity</t>
  </si>
  <si>
    <t xml:space="preserve">Protocol</t>
  </si>
  <si>
    <t xml:space="preserve">Context</t>
  </si>
  <si>
    <t xml:space="preserve">Malic acid clarity · jasmine lift · clean thermal arcs</t>
  </si>
  <si>
    <t xml:space="preserve">★★★★★ Primary</t>
  </si>
  <si>
    <t xml:space="preserve">85–89°C</t>
  </si>
  <si>
    <t xml:space="preserve">Delicate / Nordic style — Abseil 88°C constant for LAB ester preservation</t>
  </si>
  <si>
    <t xml:space="preserve">Stone fruit · berry complexity · terroir depth</t>
  </si>
  <si>
    <t xml:space="preserve">★★★★ Secondary</t>
  </si>
  <si>
    <t xml:space="preserve">90–91°C</t>
  </si>
  <si>
    <t xml:space="preserve">Clean balanced extraction — Keryi descending protocol</t>
  </si>
  <si>
    <t xml:space="preserve">Mucilage sweetness bridge · ketone fruit layer</t>
  </si>
  <si>
    <t xml:space="preserve">★★★★ Bridge</t>
  </si>
  <si>
    <t xml:space="preserve">92–94°C ⭐</t>
  </si>
  <si>
    <t xml:space="preserve">Sweet spot — dominant single-temp protocol in Singapore cafés</t>
  </si>
  <si>
    <t xml:space="preserve">Anaerobic</t>
  </si>
  <si>
    <t xml:space="preserve">Controlled funk · ester complexity · tropical esters</t>
  </si>
  <si>
    <t xml:space="preserve">★★★ Experimental</t>
  </si>
  <si>
    <t xml:space="preserve">95°C</t>
  </si>
  <si>
    <t xml:space="preserve">Full extraction — bold washed profiles · Apartment Jalan Riang</t>
  </si>
  <si>
    <t xml:space="preserve">Co-Ferment / Yeast / Mosto</t>
  </si>
  <si>
    <t xml:space="preserve">Frontier zone — logged as data, rarely reordered</t>
  </si>
  <si>
    <t xml:space="preserve">★★ Exploratory</t>
  </si>
  <si>
    <t xml:space="preserve">70→90→70°C 🏆</t>
  </si>
  <si>
    <t xml:space="preserve">7</t>
  </si>
  <si>
    <t xml:space="preserve">Fluid Collective signature oscillation — highest-rated cups in archive</t>
  </si>
  <si>
    <t xml:space="preserve">Indonesian terroir · syrupy body · reference entry</t>
  </si>
  <si>
    <t xml:space="preserve">★ Reference</t>
  </si>
  <si>
    <t xml:space="preserve">90→70°C (descending)</t>
  </si>
  <si>
    <t xml:space="preserve">4</t>
  </si>
  <si>
    <t xml:space="preserve">Keryi / Pinhole / Double Shot — terpene preservation on honey/gesha</t>
  </si>
  <si>
    <t xml:space="preserve">80→95→80°C</t>
  </si>
  <si>
    <t xml:space="preserve">1</t>
  </si>
  <si>
    <t xml:space="preserve">Kurasu Frinsa — honey process mucilage management</t>
  </si>
  <si>
    <t xml:space="preserve">88°C constant</t>
  </si>
  <si>
    <t xml:space="preserve">Oaks — LAB lactic ester preservation (Bolivia Pacamara)</t>
  </si>
  <si>
    <t xml:space="preserve">  ⭐  COLOMBIA GESHA PROCESS TRILOGY  —  Completed 2026 · Three processes · One verdict</t>
  </si>
  <si>
    <t xml:space="preserve">  ⚖️  RATIO BAND ANALYSIS  —  1:15–1:17 Optimal Window</t>
  </si>
  <si>
    <t xml:space="preserve">Sensory Arc</t>
  </si>
  <si>
    <t xml:space="preserve">Verdict</t>
  </si>
  <si>
    <t xml:space="preserve">Band</t>
  </si>
  <si>
    <t xml:space="preserve">Count</t>
  </si>
  <si>
    <t xml:space="preserve">Status</t>
  </si>
  <si>
    <t xml:space="preserve">Chemistry Note</t>
  </si>
  <si>
    <t xml:space="preserve">Washed ⭐</t>
  </si>
  <si>
    <t xml:space="preserve">Fluid Collective (El Obraje)</t>
  </si>
  <si>
    <t xml:space="preserve">Mango · Orange Blossom · Nectarine · Honey — linalool apex</t>
  </si>
  <si>
    <t xml:space="preserve">CUP OF THE YEAR</t>
  </si>
  <si>
    <t xml:space="preserve">&lt;1:13</t>
  </si>
  <si>
    <t xml:space="preserve">⚠️ Espresso</t>
  </si>
  <si>
    <t xml:space="preserve">Concentration removes filter brewing purpose</t>
  </si>
  <si>
    <t xml:space="preserve">Keryi Coffee (Finca La Esmaralda)</t>
  </si>
  <si>
    <t xml:space="preserve">Jasmine · Caramel · Stone Fruit · Tangerine — smooth arc</t>
  </si>
  <si>
    <t xml:space="preserve">EXCELLENT</t>
  </si>
  <si>
    <t xml:space="preserve">1:13–1:14</t>
  </si>
  <si>
    <t xml:space="preserve">⚠️ Dense</t>
  </si>
  <si>
    <t xml:space="preserve">Polyphenolic bitterness amplified · sucrose suppressed (Entry #055)</t>
  </si>
  <si>
    <t xml:space="preserve">Pinhole Coffee Bar (Santa Barbara #1)</t>
  </si>
  <si>
    <t xml:space="preserve">Bergamot · Lychee · Mandarin · Honey — cold-cup revelation</t>
  </si>
  <si>
    <t xml:space="preserve">VERY GOOD</t>
  </si>
  <si>
    <t xml:space="preserve">1:14–1:15</t>
  </si>
  <si>
    <t xml:space="preserve">⚠️ Edge</t>
  </si>
  <si>
    <t xml:space="preserve">Aromatic headspace compressed vs optimal</t>
  </si>
  <si>
    <t xml:space="preserve">Homeground (Inmaculada Estate)</t>
  </si>
  <si>
    <t xml:space="preserve">Hibiscus · Pomegranate · Darjeeling Tea — relaxing depth</t>
  </si>
  <si>
    <t xml:space="preserve">1:15–1:17 ✅</t>
  </si>
  <si>
    <t xml:space="preserve">✅ OPTIMAL</t>
  </si>
  <si>
    <t xml:space="preserve">Cowpresso (Las Nubes)</t>
  </si>
  <si>
    <t xml:space="preserve">Lychee · Berry · Tropical — aggressive Natural expression</t>
  </si>
  <si>
    <t xml:space="preserve">GOOD</t>
  </si>
  <si>
    <t xml:space="preserve">&gt;1:17</t>
  </si>
  <si>
    <t xml:space="preserve">—</t>
  </si>
  <si>
    <t xml:space="preserve">CGA lactone risk on Naturals — confirmed Entry #056 Nylon</t>
  </si>
  <si>
    <t xml:space="preserve">Archive verdict on the Colombia Gesha Trilogy: Washed = genetic purity (apex). Honey = sweetness amplified. Natural = fermentation over clarity. Washed remains unmatched.</t>
  </si>
  <si>
    <t xml:space="preserve">Early entries pre-hardware protocol · improving each visit</t>
  </si>
  <si>
    <t xml:space="preserve">🌍  ORIGIN &amp; TERROIR ATLAS</t>
  </si>
  <si>
    <t xml:space="preserve">  🗺️  ORIGIN LEAGUE TABLE  —  live formula, auto-updates with new entries</t>
  </si>
  <si>
    <t xml:space="preserve">Gesha?</t>
  </si>
  <si>
    <t xml:space="preserve">Palate DNA Fit</t>
  </si>
  <si>
    <t xml:space="preserve">Metric</t>
  </si>
  <si>
    <t xml:space="preserve">Value</t>
  </si>
  <si>
    <t xml:space="preserve">HIGHEST — malic + Gesha depth</t>
  </si>
  <si>
    <t xml:space="preserve">Total Gesha/Geisha entries</t>
  </si>
  <si>
    <t xml:space="preserve">HIGH — linalool florals · heirloom terroir</t>
  </si>
  <si>
    <t xml:space="preserve">Washed Gesha</t>
  </si>
  <si>
    <t xml:space="preserve">MED — body · Maillard sweetness baseline</t>
  </si>
  <si>
    <t xml:space="preserve">Honey Gesha</t>
  </si>
  <si>
    <t xml:space="preserve">Natural Gesha</t>
  </si>
  <si>
    <t xml:space="preserve">MED — wet-hulled texture study</t>
  </si>
  <si>
    <t xml:space="preserve">Avg Gesha price (SGD)</t>
  </si>
  <si>
    <t xml:space="preserve">HIGH — washed Gesha clarity (Wilder Garcia)</t>
  </si>
  <si>
    <t xml:space="preserve">Avg non-Gesha price (SGD)</t>
  </si>
  <si>
    <t xml:space="preserve">Gesha price premium</t>
  </si>
  <si>
    <t xml:space="preserve">HIGHEST — Gesha heartland (Kotowa · Corpachi)</t>
  </si>
  <si>
    <t xml:space="preserve">Origins with Gesha entry</t>
  </si>
  <si>
    <t xml:space="preserve">Colombia · Peru · Panama · Ecuador · Honduras</t>
  </si>
  <si>
    <t xml:space="preserve">MED — clean washed + anaerobic contrast</t>
  </si>
  <si>
    <t xml:space="preserve">Highest-priced Gesha</t>
  </si>
  <si>
    <t xml:space="preserve">HIGH — Lactic Honey Pacamara · new frontier</t>
  </si>
  <si>
    <t xml:space="preserve">Best-value Gesha</t>
  </si>
  <si>
    <t xml:space="preserve">Ecuador</t>
  </si>
  <si>
    <t xml:space="preserve">HIGHEST — #1 palate fit (Loja Gesha)</t>
  </si>
  <si>
    <t xml:space="preserve">Archive verdict — apex process</t>
  </si>
  <si>
    <t xml:space="preserve">Washed (genetic purity over fermentation)</t>
  </si>
  <si>
    <t xml:space="preserve">MED — anaerobic exploration · Subko/Grey Soul</t>
  </si>
  <si>
    <t xml:space="preserve">Malaysia</t>
  </si>
  <si>
    <t xml:space="preserve">REF — Liberica · archive first non-Arabica</t>
  </si>
  <si>
    <t xml:space="preserve">China</t>
  </si>
  <si>
    <t xml:space="preserve">REF — Yunnan Purple Leaf Caturra · surprise entry</t>
  </si>
  <si>
    <t xml:space="preserve">MED — baked apple · citric-malic duality</t>
  </si>
  <si>
    <t xml:space="preserve">Myanmar</t>
  </si>
  <si>
    <t xml:space="preserve">REF — batch-brew study · Catimor lineage</t>
  </si>
  <si>
    <t xml:space="preserve">MED — Pacamara Natural · Aanya's first filter</t>
  </si>
  <si>
    <t xml:space="preserve">EMERGING — 2026 discovery; high clarity at Chiang Rai / Chiang Mai altitude</t>
  </si>
  <si>
    <t xml:space="preserve">Uganda</t>
  </si>
  <si>
    <t xml:space="preserve">NEW — Rwenzori debut 07 Aug (Kisinga, SL14/SL28 Natural) · country #15</t>
  </si>
  <si>
    <t xml:space="preserve">  🎯  VARIETAL TARGET REGISTER  —  what's been captured &amp; what remains</t>
  </si>
  <si>
    <t xml:space="preserve">Archive Entry</t>
  </si>
  <si>
    <t xml:space="preserve">Process Encountered</t>
  </si>
  <si>
    <t xml:space="preserve">Note</t>
  </si>
  <si>
    <t xml:space="preserve">Gesha/Geisha</t>
  </si>
  <si>
    <t xml:space="preserve">✅ CAPTURED</t>
  </si>
  <si>
    <t xml:space="preserve">Multiple — Entry #017 onward</t>
  </si>
  <si>
    <t xml:space="preserve">Washed · Honey · Natural · Anaerobic Washed</t>
  </si>
  <si>
    <t xml:space="preserve">Entry #049 — Oaks Coffee Co.</t>
  </si>
  <si>
    <t xml:space="preserve">Lactic Honey (90hr)</t>
  </si>
  <si>
    <t xml:space="preserve">First Bolivia · first Pacamara</t>
  </si>
  <si>
    <t xml:space="preserve">Entry #059 — Oaks Coffee Co.</t>
  </si>
  <si>
    <t xml:space="preserve">Finca El Diviso · Nestor Lasso</t>
  </si>
  <si>
    <t xml:space="preserve">Entry #018 — Maxi Coffee Bar</t>
  </si>
  <si>
    <t xml:space="preserve">Yellow variant also at Asylum #038</t>
  </si>
  <si>
    <t xml:space="preserve">Entry #048 — Zerah Roasters</t>
  </si>
  <si>
    <t xml:space="preserve">Finca Villarazo · DF83V debut · 2nd capture Entry #075 (El Origen, Quindío — Lume)</t>
  </si>
  <si>
    <t xml:space="preserve">Entry #011 — Apartment Selegie</t>
  </si>
  <si>
    <t xml:space="preserve">Tea-like clarity standout</t>
  </si>
  <si>
    <t xml:space="preserve">Entry #035 — Alchemist OFC</t>
  </si>
  <si>
    <t xml:space="preserve">Low-caffeine mutation</t>
  </si>
  <si>
    <t xml:space="preserve">Entry #025 — Zerah Roasters</t>
  </si>
  <si>
    <t xml:space="preserve">Elongated Gesha-adjacent cell</t>
  </si>
  <si>
    <t xml:space="preserve">Liberica</t>
  </si>
  <si>
    <t xml:space="preserve">Entry #039 — Corner Corner</t>
  </si>
  <si>
    <t xml:space="preserve">JH Natural</t>
  </si>
  <si>
    <t xml:space="preserve">Archive's only non-Arabica</t>
  </si>
  <si>
    <t xml:space="preserve">Entry #036 — Apartment</t>
  </si>
  <si>
    <t xml:space="preserve">China Yunnan · anthocyanin clarity</t>
  </si>
  <si>
    <t xml:space="preserve">Entry #023 — Clod Coffee Bar · Entry #081 — Grey Area</t>
  </si>
  <si>
    <t xml:space="preserve">Anaerobic Washed · Unknown (La Papaya TM — pending café confirmation)</t>
  </si>
  <si>
    <t xml:space="preserve">JB cross-border audit · 2nd capture Entry #081 (Hacienda La Papaya, Loja — first non-Gesha lot from that farm; pure malic/lactone architecture, no terpene layer)</t>
  </si>
  <si>
    <t xml:space="preserve">SL14 (with SL28)</t>
  </si>
  <si>
    <t xml:space="preserve">Entry #078 — Kōhī Roastery + Coffee Bar</t>
  </si>
  <si>
    <t xml:space="preserve">First Uganda · Scott Labs selection outside Kenya — Natural process suppressed the SL28 phosphoric spine</t>
  </si>
  <si>
    <t xml:space="preserve">Batian &amp; Ruiru 11 (with SL28/SL34)</t>
  </si>
  <si>
    <t xml:space="preserve">Entry #084 — Sweet Blossom Coffee Roasters</t>
  </si>
  <si>
    <t xml:space="preserve">First modern disease-resistant Kenyan cultivars in the archive · blended with SL28 &amp; SL34 in an AB-grade lot · rounds the linear phosphoric-malic attack of pure SL selections</t>
  </si>
  <si>
    <t xml:space="preserve">Maragogipe</t>
  </si>
  <si>
    <t xml:space="preserve">❌ MISSING</t>
  </si>
  <si>
    <t xml:space="preserve">Large-bean ancestor of Pacamara — watchlist</t>
  </si>
  <si>
    <t xml:space="preserve">Eugenioides</t>
  </si>
  <si>
    <t xml:space="preserve">HIGHEST PRIORITY MISSING VARIETAL</t>
  </si>
  <si>
    <t xml:space="preserve">Sidra</t>
  </si>
  <si>
    <t xml:space="preserve">Watchlist — Fahrenheit Coffee target</t>
  </si>
  <si>
    <t xml:space="preserve">⚙️  HARDWARE &amp; EXTRACTION PHYSICS</t>
  </si>
  <si>
    <t xml:space="preserve">  🔩  GRINDER PLATFORM REGISTER  —  flat burr platforms deliver the archive's best cups</t>
  </si>
  <si>
    <t xml:space="preserve">Platform</t>
  </si>
  <si>
    <t xml:space="preserve">Burr Size</t>
  </si>
  <si>
    <t xml:space="preserve">Palate Impact</t>
  </si>
  <si>
    <t xml:space="preserve">Archive Entries</t>
  </si>
  <si>
    <t xml:space="preserve">Option-O Lagom P80</t>
  </si>
  <si>
    <t xml:space="preserve">80mm flat</t>
  </si>
  <si>
    <t xml:space="preserve">First P80 in archive — Entry #049 Oaks. Unimodal PSD on oversized Pacamara beans.</t>
  </si>
  <si>
    <t xml:space="preserve">Oaks Coffee Co. ×2</t>
  </si>
  <si>
    <t xml:space="preserve">64mm flat</t>
  </si>
  <si>
    <t xml:space="preserve">Preferred precision platform — Fluid, Asylum, Abseil. Minimal fines.</t>
  </si>
  <si>
    <t xml:space="preserve">Fluid · Asylum · Zerah · Abseil</t>
  </si>
  <si>
    <t xml:space="preserve">Mahlkönig EK43/EK43S</t>
  </si>
  <si>
    <t xml:space="preserve">98mm flat</t>
  </si>
  <si>
    <t xml:space="preserve">Café workhorse — widest flat burr in archive. High throughput, competition heritage.</t>
  </si>
  <si>
    <t xml:space="preserve">Homeground · Lume · Keryi · Agora · Sweet Blossom · August Drip · Pocket by Flip</t>
  </si>
  <si>
    <t xml:space="preserve">EK43 successor — Nylon standard grinder across all 6 visits.</t>
  </si>
  <si>
    <t xml:space="preserve">Nylon Coffee Roasters ×4</t>
  </si>
  <si>
    <t xml:space="preserve">Ditting (63.5/98mm)</t>
  </si>
  <si>
    <t xml:space="preserve">63.5–98mm flat</t>
  </si>
  <si>
    <t xml:space="preserve">Lab-grade narrow PSD — Double Shot + Keryi. Licensed aggressive ratios.</t>
  </si>
  <si>
    <t xml:space="preserve">Double Shot · Keryi Coffee</t>
  </si>
  <si>
    <t xml:space="preserve">DF83V (83mm flat)</t>
  </si>
  <si>
    <t xml:space="preserve">83mm flat</t>
  </si>
  <si>
    <t xml:space="preserve">First DF83 in archive — Zerah Pink Bourbon. Zero fines at 83mm.</t>
  </si>
  <si>
    <t xml:space="preserve">78mm flat</t>
  </si>
  <si>
    <t xml:space="preserve">Compact 78mm — Maxi Coffee Bar · mid-range precision tier.</t>
  </si>
  <si>
    <t xml:space="preserve">Maxi Coffee Bar ×2</t>
  </si>
  <si>
    <t xml:space="preserve">FM 120mm Hybrid</t>
  </si>
  <si>
    <t xml:space="preserve">120mm hybrid</t>
  </si>
  <si>
    <t xml:space="preserve">Largest burr in archive — extreme fines reduction for SL28/SL34 Kenya.</t>
  </si>
  <si>
    <t xml:space="preserve">Kyuukei Coffee × 2</t>
  </si>
  <si>
    <t xml:space="preserve">Mazzer MM (83mm)</t>
  </si>
  <si>
    <t xml:space="preserve">PPP Funan — wider fines than 98mm reference. Over-extraction documented.</t>
  </si>
  <si>
    <t xml:space="preserve">Timemore Conical Gold</t>
  </si>
  <si>
    <t xml:space="preserve">Conical</t>
  </si>
  <si>
    <t xml:space="preserve">Corner Corner — Liberica. Only conical burr in archive. Softer extraction.</t>
  </si>
  <si>
    <t xml:space="preserve">  ☕  BREWER GEOMETRY ANALYSIS  —  flat-bottom wins every documented comparison</t>
  </si>
  <si>
    <t xml:space="preserve">Geometry</t>
  </si>
  <si>
    <t xml:space="preserve">Archive Status</t>
  </si>
  <si>
    <t xml:space="preserve">Flat-Bottom (Origami/OREA/April/xBloom/Alpha/Switch)</t>
  </si>
  <si>
    <t xml:space="preserve">✅ PRIMARY PREFERENCE</t>
  </si>
  <si>
    <t xml:space="preserve">Even bed saturation · zero bypass · full contact geometry. Delivers archive's highest-rated cups consistently.</t>
  </si>
  <si>
    <t xml:space="preserve">CT62 (Engineered Conical — 24-groove flow compensation)</t>
  </si>
  <si>
    <t xml:space="preserve">✅ EXEMPTED</t>
  </si>
  <si>
    <t xml:space="preserve">Entry #057 Abseil. 12 long + 12 short grooves regulate flow rate = flat-bottom equivalent extraction consistency.</t>
  </si>
  <si>
    <t xml:space="preserve">Standard Conical (V60)</t>
  </si>
  <si>
    <t xml:space="preserve">⚠️ OVER-EXTRACTION FLAG</t>
  </si>
  <si>
    <t xml:space="preserve">Documented over-extraction pattern at Agora (Beloya), Kurasu (Rwanda), PPP (Sukun) — fines migrate to the cone apex and over-extract.  ⚠️ EXEMPTION ESTABLISHED 15 Aug 2026 (Entries #082–#083, Suzuki): with EK43S 98mm flat burrs at 1:15 / 92°C, the failure mode did NOT activate on two consecutive extended-ferment lots. The conical flag is conditional on burr quality and ratio, not on geometry alone.</t>
  </si>
  <si>
    <t xml:space="preserve">Automated (xBloom batch)</t>
  </si>
  <si>
    <t xml:space="preserve">⚠️ METHODOLOGY NOTE</t>
  </si>
  <si>
    <t xml:space="preserve">xBloom at Nylon — flat-bottom geometry, but automation removes barista pour adjustment. Clips thermal arc expressiveness.</t>
  </si>
  <si>
    <t xml:space="preserve">Immersion-assist (Hario Switch/Deep27)</t>
  </si>
  <si>
    <t xml:space="preserve">✅ SECONDARY PREFERENCE</t>
  </si>
  <si>
    <t xml:space="preserve">Full bed saturation in immersion phase before drawdown. Strong on honey process (Keryi). Deep27 flat-bed. Entry #086 (August Drip) is the archive's first FULL-immersion switch protocol: valve closed, single 20-second charge, undisturbed steep to 2:50, single release.</t>
  </si>
  <si>
    <t xml:space="preserve">Automated Tap Dispenser</t>
  </si>
  <si>
    <t xml:space="preserve">❌ REJECTED CONCEPT</t>
  </si>
  <si>
    <t xml:space="preserve">Entry #045 — 2050 Coffee. Hari's verdict: automation and pourover are philosophically incompatible. Not a return target.</t>
  </si>
  <si>
    <t xml:space="preserve">  └ Solo Dripper (Mazelab — 40° wall, flat wave bed) — subset of the flat-bottom row above</t>
  </si>
  <si>
    <t xml:space="preserve">✅ FLAT-BED CLASS</t>
  </si>
  <si>
    <t xml:space="preserve">Entries #062, #067 (Pour.traits) and #081 (Grey Area) — all three on EK43S 98mm flats. Hybrid geometry: steep 40° conical walls but a FLAT wave-filter bed, so uniform path length and no apex convergence. Large central hole gives a fast drain, which is what licenses concentrate ratios without over-extraction — #081 ran 1:13.3 through-bed plus in-cup bypass with no cool-phase bitterness, vs straight 1:15 at #062/#067. PCTG plastic is thermally near-neutral (cf. Law 7). Already counted within the flat-bottom cohort above; shown here as a breakout, not an additional geometry class.</t>
  </si>
  <si>
    <t xml:space="preserve">  └ Restricted Multi-Aperture Cone (conical wall + flat FOUR-HOLE base plate)</t>
  </si>
  <si>
    <t xml:space="preserve">✅ CHOKE-IMMUNE</t>
  </si>
  <si>
    <t xml:space="preserve">Entries #084–#085 (Sweet Blossom). Four separated exits cap maximum flow rate independent of grind size, so the V60 apex-choke failure mode is structurally unavailable. Conical wall but flat-bottom drawdown behaviour — contact-time dominant. Model unidentified; logged Unknown.</t>
  </si>
  <si>
    <t xml:space="preserve">Law 1:  Flat-bottom geometry outperforms conical for this palate. Every conical V60 entry carries a standing over-extraction risk flag in this archive.</t>
  </si>
  <si>
    <t xml:space="preserve">Law 2:  1:13–1:14 concentration amplifies polyphenolic bitterness at cool phase and suppresses sucrose emergence. Documented at Double Shot (Entry #055) and Equate (Entry #039).</t>
  </si>
  <si>
    <t xml:space="preserve">Law 3:  1:17 lean on Natural-process coffees risks CGA lactone bitterness at cool phase by failing to build adequate sucrose-ester mass. Confirmed at Nylon (Entry #056).</t>
  </si>
  <si>
    <t xml:space="preserve">Law 4:  Barista confirmation overrides visual inference for hardware identification — always. This is the archive's primary source hierarchy rule.</t>
  </si>
  <si>
    <t xml:space="preserve">Law 5:  Large flat burrs (63–98mm) are non-negotiable for oversized varietals (Pacamara, Maragogipe-lineage). P80 80mm confirmed at Oaks Entry #049.</t>
  </si>
  <si>
    <t xml:space="preserve">Law 6:  Thermal Shock Anaerobic Natural (Finca El Diviso, Entry #059) confirmed the archive's upper intensity threshold. Fermentation signal dominated all three thermal phases without evolution — process-preference misalignment ceiling established.</t>
  </si>
  <si>
    <t xml:space="preserve">Law 7:  Brewer MATERIAL is a live variable, not a footnote. The stainless steel V60 logged at Alchemist Funan (29 Jul 2026) carries lower thermal mass and higher conductivity than ceramic — the cup sheds heat faster through the brew, compressing the usual florals-first / sugars-later sequence and pulling mucilage sweetness forward into the HOT phase. Log brewer material explicitly from this entry forward.</t>
  </si>
  <si>
    <t xml:space="preserve">Law 8:  A DUAL-PURPOSE ROAST carries a structural bitter-citrus floor onto the filter cup. When one lot is roasted light-to-mid so it serves espresso as well as filter (Kōhī, Uganda Rwenzori Kisinga, Entry #078, 07 Aug 2026), the extra development builds a naringin-type bitter-orange / pomelo layer that is ROAST INTENT, not extraction fault. Distinguish it by stability: roast-intent bitterness holds constant across all three thermal phases, while over-extraction bitterness sharpens as the cup cools. Ask the barista whether a filter lot is also on espresso before attributing a bitter finish to hardware.</t>
  </si>
  <si>
    <t xml:space="preserve">Law 9:  FERMENTATION ARCHITECTURE, NOT FERMENTATION LENGTH, GOVERNS VARIETAL EXPRESSION. Isolated at Suzuki 15 Aug 2026 on identical hardware, ratio, temperature and day — sealed ANAEROBIC fermentation (Entry #082, Jairo Arcila Gesha EF2) masked varietal and floral expression beneath berry esters, while open AEROBIC extended drying (Entry #083, Gargari Gutity Supernatural) preserved florals, citrus and tea structure. Corollary to Law 2: at 1:15 with light roast development, both architectures ran clean through cool phase — brew ratio outranks brewer geometry as the controlling variable for polyphenolic bitterness (cf. Entry #058 failing at 1:13.3 on superior flat-bottom geometry).</t>
  </si>
  <si>
    <t xml:space="preserve">Law 10: IMMERSION DECOUPLES GRIND SIZE FROM FLOW RATE. In percolation, grind governs surface area and drawdown rate simultaneously — extraction yield cannot be pursued without paying in flow, the mechanism behind the V60 apex-choke flag. With a switch valve closed there is no flow to choke: the bed cannot compact, fines cannot migrate, and colloids stay in suspension until a single release. Fineness that would be reckless in a cone (EK43S #7) is unremarkable in immersion. Proven at Entry #086, August Drip Coffee — protocol confirmed by co-owner Pei.</t>
  </si>
  <si>
    <t xml:space="preserve">  🌏  CITY COVERAGE OVERVIEW</t>
  </si>
  <si>
    <t xml:space="preserve">Cafés</t>
  </si>
  <si>
    <t xml:space="preserve">Coverage</t>
  </si>
  <si>
    <t xml:space="preserve">Character</t>
  </si>
  <si>
    <t xml:space="preserve">Roaster-owned specialty scene · transparent parameters · competition hardware standard</t>
  </si>
  <si>
    <t xml:space="preserve">Archive origin chapter — Seniman Coffee Studio</t>
  </si>
  <si>
    <t xml:space="preserve">India frontier chapter — Subko + Grey Soul</t>
  </si>
  <si>
    <t xml:space="preserve">Cross-border audit — Clod · Sweet Blossom (coffee-only) · August Drip (10+ Gesha, Pei protocol)</t>
  </si>
  <si>
    <t xml:space="preserve">  ☕  COMPLETE VERIFIED DIRECTORY  —  44 venues (43 visited + 1 pending)</t>
  </si>
  <si>
    <t xml:space="preserve">Avg</t>
  </si>
  <si>
    <t xml:space="preserve">Verified Address</t>
  </si>
  <si>
    <t xml:space="preserve">Instagram</t>
  </si>
  <si>
    <t xml:space="preserve">Website</t>
  </si>
  <si>
    <t xml:space="preserve">Conf.</t>
  </si>
  <si>
    <t xml:space="preserve">Notes</t>
  </si>
  <si>
    <t xml:space="preserve">4 Everton Park, #01-40</t>
  </si>
  <si>
    <t xml:space="preserve">@nyloncoffeeroasters</t>
  </si>
  <si>
    <t xml:space="preserve">nyloncoffee.sg</t>
  </si>
  <si>
    <t xml:space="preserve">✅ HIGH</t>
  </si>
  <si>
    <t xml:space="preserve">Reliability anchor · 6 visits</t>
  </si>
  <si>
    <t xml:space="preserve">24 Opal Crescent, Singapore</t>
  </si>
  <si>
    <t xml:space="preserve">@fluidcollective</t>
  </si>
  <si>
    <t xml:space="preserve">Cup of Year · 2025 Brewers Cup champion</t>
  </si>
  <si>
    <t xml:space="preserve">311 Jalan Besar, S208970</t>
  </si>
  <si>
    <t xml:space="preserve">4 visits · 2 Gesha entries</t>
  </si>
  <si>
    <t xml:space="preserve">465 North Bridge Road, #02-5063</t>
  </si>
  <si>
    <t xml:space="preserve">@zerahroasters</t>
  </si>
  <si>
    <t xml:space="preserve">zerahcoffeeroasters.com</t>
  </si>
  <si>
    <t xml:space="preserve">Barista Aqil — joint #2</t>
  </si>
  <si>
    <t xml:space="preserve">121 Bukit Merah Ln 1 #01-06 · 5 Kadayanallur St #01-04</t>
  </si>
  <si>
    <t xml:space="preserve">@kyuukeicoffee</t>
  </si>
  <si>
    <t xml:space="preserve">kyuukeicoffee.com</t>
  </si>
  <si>
    <t xml:space="preserve">Two outlets · 3 archive visits</t>
  </si>
  <si>
    <t xml:space="preserve">70 Shenton Way, #01-14, Eon Shenton, S079118</t>
  </si>
  <si>
    <t xml:space="preserve">@abseil.coffee</t>
  </si>
  <si>
    <t xml:space="preserve">abseilcoffee.com</t>
  </si>
  <si>
    <t xml:space="preserve">Barista Glenda — joint #2 · CT62 + P64</t>
  </si>
  <si>
    <t xml:space="preserve">619H Bukit Timah Road, S269728</t>
  </si>
  <si>
    <t xml:space="preserve">@oakscoffeeco</t>
  </si>
  <si>
    <t xml:space="preserve">oakscoffeeco.com</t>
  </si>
  <si>
    <t xml:space="preserve">✅ LOCK</t>
  </si>
  <si>
    <t xml:space="preserve">2 visits · Day 4 at first audit · 5 archive firsts</t>
  </si>
  <si>
    <t xml:space="preserve">911 Bukit Timah Road, Singapore</t>
  </si>
  <si>
    <t xml:space="preserve">@homegroundcoffeeroasters</t>
  </si>
  <si>
    <t xml:space="preserve">homegroundcoffee.sg</t>
  </si>
  <si>
    <t xml:space="preserve">Experience Room concept</t>
  </si>
  <si>
    <t xml:space="preserve">27 Purvis Street, #01-02, S188604</t>
  </si>
  <si>
    <t xml:space="preserve">@pinholecoffeebar</t>
  </si>
  <si>
    <t xml:space="preserve">pinhole.cafe</t>
  </si>
  <si>
    <t xml:space="preserve">19 Kampong Bahru Road, Singapore</t>
  </si>
  <si>
    <t xml:space="preserve">dblshotcoffee.com</t>
  </si>
  <si>
    <t xml:space="preserve">Concentrated 1:13.3 house ratio</t>
  </si>
  <si>
    <t xml:space="preserve">139 Selegie Road, #01-01, S188309</t>
  </si>
  <si>
    <t xml:space="preserve">@apartmentcoffee.co</t>
  </si>
  <si>
    <t xml:space="preserve">apartmentcoffee.co</t>
  </si>
  <si>
    <t xml:space="preserve">#6 world ranked filter café</t>
  </si>
  <si>
    <t xml:space="preserve">Roastery branch of Apartment · 2 visits · weekends only</t>
  </si>
  <si>
    <t xml:space="preserve">161 Lavender Street, #01-08, S338750</t>
  </si>
  <si>
    <t xml:space="preserve">@keryicoffee</t>
  </si>
  <si>
    <t xml:space="preserve">keryicoffee.com</t>
  </si>
  <si>
    <t xml:space="preserve">Closed Fri for production · owners Mel &amp; You Quan · 2 visits</t>
  </si>
  <si>
    <t xml:space="preserve">64 Club Street (back entrance), S069438</t>
  </si>
  <si>
    <t xml:space="preserve">maxicoffeebar.com</t>
  </si>
  <si>
    <t xml:space="preserve">~4.7 Google · Ann Siang Hill</t>
  </si>
  <si>
    <t xml:space="preserve">@flipcoffeeroasters</t>
  </si>
  <si>
    <t xml:space="preserve">2 visits · Entry #034 (19 May 2026, Ecuador La Papaya Geisha S$18) and Entry #087 (25 Aug 2026, Wilder Garcia Peru Geisha S$12) · Novotel Stevens building · EK43 98mm + ceramic V60 · ⚠️ BREW PROTOCOL IS BARISTA-DISCRETIONARY, NOT HOUSE-FIXED — temperature profile varies by who is on bar (barista-confirmed 25 Aug 2026); parameters cannot be pre-audited at this venue · address corrected 26 Aug 2026 (previously carried Oaks Coffee Co. address in error)</t>
  </si>
  <si>
    <t xml:space="preserve">32 Seah Street, S188388</t>
  </si>
  <si>
    <t xml:space="preserve">@askcoffeeroastery</t>
  </si>
  <si>
    <t xml:space="preserve">Experimental ferments · co-ferments</t>
  </si>
  <si>
    <t xml:space="preserve">31 Club Street, #01-02, S069468</t>
  </si>
  <si>
    <t xml:space="preserve">@agoracoffeecs</t>
  </si>
  <si>
    <t xml:space="preserve">3 visits · V60 over-extraction flag</t>
  </si>
  <si>
    <t xml:space="preserve">1 Tanjong Pagar Plaza, #02-25, S082001</t>
  </si>
  <si>
    <t xml:space="preserve">@equatecoffee</t>
  </si>
  <si>
    <t xml:space="preserve">equate.sg</t>
  </si>
  <si>
    <t xml:space="preserve">2 visits · 1 Gesha (Peru Cajamarca Washed)</t>
  </si>
  <si>
    <t xml:space="preserve">21 Lor Kilat, #01-07, S598123</t>
  </si>
  <si>
    <t xml:space="preserve">@cowpressocoffee</t>
  </si>
  <si>
    <t xml:space="preserve">cowpressocoffee.sg</t>
  </si>
  <si>
    <t xml:space="preserve">Barista Aung · complimentary sea salt latte</t>
  </si>
  <si>
    <t xml:space="preserve">10 Collyer Quay, #01-K1, S049315</t>
  </si>
  <si>
    <t xml:space="preserve">@alchemist.sg</t>
  </si>
  <si>
    <t xml:space="preserve">alchemist.global</t>
  </si>
  <si>
    <t xml:space="preserve">Laurina Anaerobic entry</t>
  </si>
  <si>
    <t xml:space="preserve">Alchemist (Raffles Place)</t>
  </si>
  <si>
    <t xml:space="preserve">16 Raffles Quay, #01-08, Hong Leong Bldg, S048581</t>
  </si>
  <si>
    <t xml:space="preserve">El Morito Marshell Washed</t>
  </si>
  <si>
    <t xml:space="preserve">108 Robinson Road, #01-01, S068900</t>
  </si>
  <si>
    <t xml:space="preserve">@lume_sg</t>
  </si>
  <si>
    <t xml:space="preserve">lume.sg</t>
  </si>
  <si>
    <t xml:space="preserve">Panama Geisha Red Honey</t>
  </si>
  <si>
    <t xml:space="preserve">170 Stirling Road, #01-1133, S140170 (flagship)</t>
  </si>
  <si>
    <t xml:space="preserve">tionghoe.com</t>
  </si>
  <si>
    <t xml:space="preserve">10 outlets islandwide</t>
  </si>
  <si>
    <t xml:space="preserve">261 Waterloo Street, #01-24, S180261</t>
  </si>
  <si>
    <t xml:space="preserve">@kurasu.sg</t>
  </si>
  <si>
    <t xml:space="preserve">kurasu.sg</t>
  </si>
  <si>
    <t xml:space="preserve">Japanese origin · honey process lots</t>
  </si>
  <si>
    <t xml:space="preserve">16 Duxton Road, S089482 (daytime inside RPM)</t>
  </si>
  <si>
    <t xml:space="preserve">@corner___corner</t>
  </si>
  <si>
    <t xml:space="preserve">Vinyl/kissaten · Liberica · daytime only</t>
  </si>
  <si>
    <t xml:space="preserve">267 Beach Road, #01-01, S199545</t>
  </si>
  <si>
    <t xml:space="preserve">@2050.coffee</t>
  </si>
  <si>
    <t xml:space="preserve">Automated tap dispenser · rejected format</t>
  </si>
  <si>
    <t xml:space="preserve">Funan Mall, 107 North Bridge Road</t>
  </si>
  <si>
    <t xml:space="preserve">Over-extraction documented on EK Omnia+V60</t>
  </si>
  <si>
    <t xml:space="preserve">Hamilton Road, Singapore</t>
  </si>
  <si>
    <t xml:space="preserve">⚠️ LOW</t>
  </si>
  <si>
    <t xml:space="preserve">Area confirmed · exact unit unverified</t>
  </si>
  <si>
    <t xml:space="preserve">No fixed address (pop-up/stand format)</t>
  </si>
  <si>
    <t xml:space="preserve">Small independent · 2 visits</t>
  </si>
  <si>
    <t xml:space="preserve">Jl. Sriwedari, Ubud, Bali</t>
  </si>
  <si>
    <t xml:space="preserve">@senimancoffee</t>
  </si>
  <si>
    <t xml:space="preserve">senimancoffee.com</t>
  </si>
  <si>
    <t xml:space="preserve">◐ MED</t>
  </si>
  <si>
    <t xml:space="preserve">Archive origin venue · 3 entries</t>
  </si>
  <si>
    <t xml:space="preserve">Bandra/Khar area, Mumbai, India</t>
  </si>
  <si>
    <t xml:space="preserve">@subkocoffee</t>
  </si>
  <si>
    <t xml:space="preserve">subko.coffee</t>
  </si>
  <si>
    <t xml:space="preserve">City-level verified</t>
  </si>
  <si>
    <t xml:space="preserve">Mumbai, India</t>
  </si>
  <si>
    <t xml:space="preserve">@greysoulcoffee</t>
  </si>
  <si>
    <t xml:space="preserve">123, Jln Beringin, Taman Melodies, 80250 JB, Malaysia</t>
  </si>
  <si>
    <t xml:space="preserve">Direct confirmation · cross-border audit</t>
  </si>
  <si>
    <t xml:space="preserve">@prodigalroasters</t>
  </si>
  <si>
    <t xml:space="preserve">prodigalroasters.com</t>
  </si>
  <si>
    <t xml:space="preserve">Roastery, not a standalone café — serves visitors by arrangement, no public seating yet. Barista/roaster Jason — 'great conversations' recognition. Same street as Alchemist (Khong Guan Building).</t>
  </si>
  <si>
    <t xml:space="preserve">2 visits (24–25 Jul 2026) · full sit-down format with bar seating facing brew station, unlike smaller takeaway Alchemist branches · same street as Prodigal Roasters (MacTaggart Rd)</t>
  </si>
  <si>
    <t xml:space="preserve">No fixed address (pop-up / roaster residency format)</t>
  </si>
  <si>
    <t xml:space="preserve">@pour.traits</t>
  </si>
  <si>
    <t xml:space="preserve">🏆 Cup of the Year venue · 3 visits · 2 Gesha · TaoTao (Thailand Brewers Cup Champion, WBRC #7) guest pop-up</t>
  </si>
  <si>
    <t xml:space="preserve">Unknown — pending confirmation</t>
  </si>
  <si>
    <t xml:space="preserve">@20gramsroastery</t>
  </si>
  <si>
    <t xml:space="preserve">2 visits · pour-over menu format · relationship to Alchemist pending Hari confirmation</t>
  </si>
  <si>
    <t xml:space="preserve">Sands Expo &amp; Convention Centre (SIGEP Asia 2026 — event booth, not permanent)</t>
  </si>
  <si>
    <t xml:space="preserve">@mame.coffee</t>
  </si>
  <si>
    <t xml:space="preserve">Festival booth · Bambito Estate Panama Geisha Washed S$16 · Entry #066 · event format, not a standing venue</t>
  </si>
  <si>
    <t xml:space="preserve">10th-anniversary Las Margaritas Geisha (Entry #074) · Funan Mall · stainless steel V60 debut · plastic takeaway cup at S$10.50 price point</t>
  </si>
  <si>
    <t xml:space="preserve">Second Double Shot branch in archive · Kampong Bahru logged separately · concentrated 1:13.x house ratio confirmed chain-wide · EK43 S + OREA flat-bottom · same building as Abseil (#01-14) · food-free, small unit, mostly outdoor bench seating</t>
  </si>
  <si>
    <t xml:space="preserve">Unknown — outlet not confirmed (5 Shenton Way #01-01 UIC Bldg S068808 · 432 Joo Chiat Rd S427647)</t>
  </si>
  <si>
    <t xml:space="preserve">@kohi_sg</t>
  </si>
  <si>
    <t xml:space="preserve">kohi-roastery.com</t>
  </si>
  <si>
    <t xml:space="preserve">Bangkok-origin roaster · first visit 07 Aug 2026 (Uganda Rwenzori Kisinga, Entry #078) · Monday morning Gesha pop-up flagged · outlet pending Hari confirmation</t>
  </si>
  <si>
    <t xml:space="preserve">@greyarea.sg</t>
  </si>
  <si>
    <t xml:space="preserve">— (Facebook page only)</t>
  </si>
  <si>
    <t xml:space="preserve">First visit 12 Aug 2026 (La Papaya TM, Entry #081) · founded by Xiang Sheng &amp; Luke, both ex-Alchemist Coffee · roasts in-house · Solo Dripper house brewer, V60 reserved for iced · closed Tuesdays</t>
  </si>
  <si>
    <t xml:space="preserve">@suzukicoffee</t>
  </si>
  <si>
    <t xml:space="preserve">suzukicoffee.com.sg</t>
  </si>
  <si>
    <t xml:space="preserve">First visit 15 Aug 2026 (Entries #082–#083) · Boon Lay industrial estate, Kyoto-teahouse interior · roasting since 1979, Sumiyaki charcoal lineage traced to Kiyoshi Suzuki's 1944 Tokyo kissaten · numbered filter selection with bean cards + house flavour map · EK43S + Hario V60 Glass at 1:15 / 92°C · two cups clean back-to-back at peak rush</t>
  </si>
  <si>
    <t xml:space="preserve">28 Jalan Maju, Taman Pelangi, 80400 Johor Bahru, Malaysia</t>
  </si>
  <si>
    <t xml:space="preserve">@sweetblossomcoffee</t>
  </si>
  <si>
    <t xml:space="preserve">First visit 22 Aug 2026 (Entries #084–#085) · coffee-only, no food · EK43 98mm · four-hole restricted-base cone · baristas Grace + one unnamed</t>
  </si>
  <si>
    <t xml:space="preserve">211 Jalan Dato Sulaiman, Taman Abad, 80250 Johor Bahru, Malaysia</t>
  </si>
  <si>
    <t xml:space="preserve">@augustdripcoffee</t>
  </si>
  <si>
    <t xml:space="preserve">First visit 22 Aug 2026 (Entry #086) · JIA Coffee House Sdn Bhd · 10+ Gesha lots on bar · co-owner Pei — full-immersion switch protocol · default JB venue</t>
  </si>
  <si>
    <t xml:space="preserve">  🔑  ADDRESS VERIFICATION LEGEND</t>
  </si>
  <si>
    <t xml:space="preserve">Badge</t>
  </si>
  <si>
    <t xml:space="preserve">Meaning</t>
  </si>
  <si>
    <t xml:space="preserve">Sources used</t>
  </si>
  <si>
    <t xml:space="preserve">Direct confirmation by Hari — overrides all AI sources</t>
  </si>
  <si>
    <t xml:space="preserve">Personal visit + direct recall</t>
  </si>
  <si>
    <t xml:space="preserve">2+ independent sources agree</t>
  </si>
  <si>
    <t xml:space="preserve">SuperGrok + ChatGPT / Gemini / Project Knowledge</t>
  </si>
  <si>
    <t xml:space="preserve">1 source only or area-level verified</t>
  </si>
  <si>
    <t xml:space="preserve">Single source or archive observation primary</t>
  </si>
  <si>
    <t xml:space="preserve">No fixed address — pop-up or micro-independent</t>
  </si>
  <si>
    <t xml:space="preserve">Archive visit record only</t>
  </si>
  <si>
    <t xml:space="preserve">📖  LEGEND &amp; MAINTENANCE GUIDE</t>
  </si>
  <si>
    <t xml:space="preserve">How to read, how to maintain, and how to grow this archive</t>
  </si>
  <si>
    <t xml:space="preserve">  🎨  COLOUR LEGEND  —  Coffee Audit sheet</t>
  </si>
  <si>
    <t xml:space="preserve">Colour</t>
  </si>
  <si>
    <t xml:space="preserve">Even-row banding — auto conditional formatting</t>
  </si>
  <si>
    <t xml:space="preserve">Odd-row banding — auto conditional formatting</t>
  </si>
  <si>
    <t xml:space="preserve">⭐ GESHA row — auto-applied when Varietal contains Gesha or Geisha</t>
  </si>
  <si>
    <t xml:space="preserve">Header row — dark espresso with cream text</t>
  </si>
  <si>
    <t xml:space="preserve">  🛠️  HOW TO ADD A NEW ENTRY  —  7 steps, keeps everything live</t>
  </si>
  <si>
    <t xml:space="preserve">1.  Add the new row directly below the last entry on the Coffee Audit sheet — columns A through V (22 data columns).</t>
  </si>
  <si>
    <t xml:space="preserve">2.  Copy the Gesha_Alert formula (column W) down from the row above — it self-detects any Gesha or Geisha variant spelling.</t>
  </si>
  <si>
    <t xml:space="preserve">3.  Row colours (blue/yellow banding and Gesha purple) apply automatically via conditional formatting — no manual fill needed.</t>
  </si>
  <si>
    <t xml:space="preserve">4.  The Dashboard KPI tiles, all formula tables, Café Directory counts, Price &amp; Value stats, and Origin league tables all scan to row 2000 and update instantly.</t>
  </si>
  <si>
    <t xml:space="preserve">5.  Enter Price, Dose and Yield as plain numbers where known. Text "Unknown" is safely ignored by all statistical formulas.</t>
  </si>
  <si>
    <t xml:space="preserve">6.  New café not in the Directory? Add one row to the Café Directory table with the exact café name matching column C of the Coffee Audit sheet — live counts update immediately.</t>
  </si>
  <si>
    <t xml:space="preserve">7.  Editorial panels (Archive Thesis, Honours Board, Gesha Hall of Fame, Extraction Laws) are curated by hand — update these after milestone visits or at each month's end.</t>
  </si>
  <si>
    <t xml:space="preserve">  📜  ARCHIVE INTEGRITY RULES</t>
  </si>
  <si>
    <t xml:space="preserve">Uploaded files are the authoritative baseline — entries are appended, never reconstructed from memory.</t>
  </si>
  <si>
    <t xml:space="preserve">Source hierarchy: receipts + bean card photos &gt; barista confirmation &gt; café DM response &gt; direct observation &gt; AI reconstruction.</t>
  </si>
  <si>
    <t xml:space="preserve">No silent corrections — all data discrepancies must be flagged explicitly before any correction is applied.</t>
  </si>
  <si>
    <t xml:space="preserve">Barista confirmation overrides visual inference for hardware identification.</t>
  </si>
  <si>
    <t xml:space="preserve">Gesha spelling: "Gesha" (botanically accurate) and "Geisha" (Panamanian commercial) — archive uses whichever appears on the bean card as authoritative.</t>
  </si>
  <si>
    <t xml:space="preserve">Primary sensory record from Entry #031 onward: sensory notes are the archive record; brew parameters logged only when barista offers or they are observable.</t>
  </si>
  <si>
    <t xml:space="preserve">The archive records one palate only — external roaster or barista tasting notes are reference, never overwrite Hari's direct observation.</t>
  </si>
  <si>
    <t xml:space="preserve">N/A vs Unknown: "Unknown" = data exists but was not captured; "N/A" with reason = structurally inapplicable (e.g. batch-dispensed format).</t>
  </si>
  <si>
    <t xml:space="preserve">Address verification tiers: ✅ LOCK (direct confirmation) &gt; ✅ HIGH (2+ sources) &gt; ◐ MED (area-level) &gt; ⚠️ LOW (archive only).</t>
  </si>
  <si>
    <t xml:space="preserve">Consolidation Summary</t>
  </si>
  <si>
    <t xml:space="preserve">Total unique entries</t>
  </si>
  <si>
    <t xml:space="preserve">Merged (both sources)</t>
  </si>
  <si>
    <t xml:space="preserve">ChatGPT-only (new)</t>
  </si>
  <si>
    <t xml:space="preserve">Gemini-only (retained)</t>
  </si>
  <si>
    <t xml:space="preserve">Cities covered</t>
  </si>
  <si>
    <t xml:space="preserve">Unique cafes</t>
  </si>
  <si>
    <t xml:space="preserve">Date range</t>
  </si>
  <si>
    <t xml:space="preserve">  🛡️  ARCHIVE INTEGRITY MONITOR  —  self-auditing; re-evaluates on every open</t>
  </si>
  <si>
    <t xml:space="preserve">Check</t>
  </si>
  <si>
    <t xml:space="preserve">Result</t>
  </si>
  <si>
    <t xml:space="preserve">What it protects against</t>
  </si>
  <si>
    <t xml:space="preserve">Row count</t>
  </si>
  <si>
    <t xml:space="preserve">Blank or truncated data block</t>
  </si>
  <si>
    <t xml:space="preserve">Gesha flag integrity</t>
  </si>
  <si>
    <t xml:space="preserve">Stale Gesha_Alert formulas after insert_rows (the 21 Jul bug)</t>
  </si>
  <si>
    <t xml:space="preserve">Missing dates</t>
  </si>
  <si>
    <t xml:space="preserve">Text dates or blank date cells breaking chronology</t>
  </si>
  <si>
    <t xml:space="preserve">Café name blanks</t>
  </si>
  <si>
    <t xml:space="preserve">Entries logged without a venue</t>
  </si>
  <si>
    <t xml:space="preserve">Price sanity</t>
  </si>
  <si>
    <t xml:space="preserve">Negative or corrupted price values</t>
  </si>
  <si>
    <t xml:space="preserve">Directory reconciliation</t>
  </si>
  <si>
    <t xml:space="preserve">Venue counts not summing to total entries</t>
  </si>
  <si>
    <t xml:space="preserve">Latest entry date</t>
  </si>
  <si>
    <t xml:space="preserve">Archive not updated with newest visit</t>
  </si>
</sst>
</file>

<file path=xl/styles.xml><?xml version="1.0" encoding="utf-8"?>
<styleSheet xmlns="http://schemas.openxmlformats.org/spreadsheetml/2006/main">
  <numFmts count="6">
    <numFmt numFmtId="164" formatCode="General"/>
    <numFmt numFmtId="165" formatCode="yyyy\-mm\-dd"/>
    <numFmt numFmtId="166" formatCode="&quot;S$&quot;0.00"/>
    <numFmt numFmtId="167" formatCode="General"/>
    <numFmt numFmtId="168" formatCode="&quot;S$&quot;#,##0.00"/>
    <numFmt numFmtId="169" formatCode="dd\ mmm\ yyyy"/>
  </numFmts>
  <fonts count="31">
    <font>
      <sz val="11"/>
      <color theme="1"/>
      <name val="Calibri"/>
      <family val="2"/>
      <charset val="1"/>
    </font>
    <font>
      <sz val="10"/>
      <name val="Arial"/>
      <family val="0"/>
    </font>
    <font>
      <sz val="10"/>
      <name val="Arial"/>
      <family val="0"/>
    </font>
    <font>
      <sz val="10"/>
      <name val="Arial"/>
      <family val="0"/>
    </font>
    <font>
      <b val="true"/>
      <sz val="8"/>
      <color rgb="FFFDF8EE"/>
      <name val="Calibri"/>
      <family val="0"/>
      <charset val="1"/>
    </font>
    <font>
      <sz val="8"/>
      <color rgb="FF2D1F0F"/>
      <name val="Calibri"/>
      <family val="0"/>
      <charset val="1"/>
    </font>
    <font>
      <b val="true"/>
      <sz val="8"/>
      <color rgb="FF6A1B9A"/>
      <name val="Calibri"/>
      <family val="0"/>
      <charset val="1"/>
    </font>
    <font>
      <sz val="8"/>
      <name val="Calibri"/>
      <family val="0"/>
      <charset val="1"/>
    </font>
    <font>
      <sz val="10"/>
      <name val="Arial"/>
      <family val="2"/>
    </font>
    <font>
      <b val="true"/>
      <sz val="18"/>
      <color rgb="FFFDF8EE"/>
      <name val="Calibri"/>
      <family val="0"/>
      <charset val="1"/>
    </font>
    <font>
      <sz val="9"/>
      <color rgb="FFC9902A"/>
      <name val="Calibri"/>
      <family val="0"/>
      <charset val="1"/>
    </font>
    <font>
      <b val="true"/>
      <sz val="10"/>
      <color rgb="FFFDF8EE"/>
      <name val="Calibri"/>
      <family val="0"/>
      <charset val="1"/>
    </font>
    <font>
      <b val="true"/>
      <sz val="7"/>
      <color rgb="FFC9902A"/>
      <name val="Calibri"/>
      <family val="0"/>
      <charset val="1"/>
    </font>
    <font>
      <b val="true"/>
      <sz val="20"/>
      <color rgb="FFC9902A"/>
      <name val="Calibri"/>
      <family val="0"/>
      <charset val="1"/>
    </font>
    <font>
      <b val="true"/>
      <sz val="13"/>
      <color rgb="FFFDF8EE"/>
      <name val="Calibri"/>
      <family val="0"/>
      <charset val="1"/>
    </font>
    <font>
      <sz val="7"/>
      <color rgb="FFCCB48A"/>
      <name val="Calibri"/>
      <family val="0"/>
      <charset val="1"/>
    </font>
    <font>
      <b val="true"/>
      <sz val="7"/>
      <color rgb="FF120A00"/>
      <name val="Calibri"/>
      <family val="0"/>
      <charset val="1"/>
    </font>
    <font>
      <b val="true"/>
      <sz val="8.5"/>
      <color rgb="FF2D1F0F"/>
      <name val="Calibri"/>
      <family val="0"/>
      <charset val="1"/>
    </font>
    <font>
      <b val="true"/>
      <sz val="8"/>
      <color rgb="FF2D1F0F"/>
      <name val="Calibri"/>
      <family val="0"/>
      <charset val="1"/>
    </font>
    <font>
      <b val="true"/>
      <sz val="7"/>
      <color rgb="FF6A1B9A"/>
      <name val="Calibri"/>
      <family val="0"/>
      <charset val="1"/>
    </font>
    <font>
      <sz val="7.5"/>
      <color rgb="FF2D1F0F"/>
      <name val="Calibri"/>
      <family val="0"/>
      <charset val="1"/>
    </font>
    <font>
      <b val="true"/>
      <sz val="7.5"/>
      <color rgb="FF6A4A20"/>
      <name val="Calibri"/>
      <family val="0"/>
      <charset val="1"/>
    </font>
    <font>
      <sz val="7"/>
      <color rgb="FFC9902A"/>
      <name val="Calibri"/>
      <family val="0"/>
      <charset val="1"/>
    </font>
    <font>
      <b val="true"/>
      <sz val="7.5"/>
      <color rgb="FF2D1F0F"/>
      <name val="Calibri"/>
      <family val="0"/>
      <charset val="1"/>
    </font>
    <font>
      <b val="true"/>
      <sz val="7.5"/>
      <color rgb="FF1B5E20"/>
      <name val="Calibri"/>
      <family val="0"/>
      <charset val="1"/>
    </font>
    <font>
      <i val="true"/>
      <sz val="7.5"/>
      <color rgb="FF2D1F0F"/>
      <name val="Calibri"/>
      <family val="0"/>
      <charset val="1"/>
    </font>
    <font>
      <sz val="8.5"/>
      <color rgb="FF2D1F0F"/>
      <name val="Calibri"/>
      <family val="0"/>
      <charset val="1"/>
    </font>
    <font>
      <i val="true"/>
      <sz val="9"/>
      <color rgb="FFC9902A"/>
      <name val="Calibri"/>
      <family val="0"/>
      <charset val="1"/>
    </font>
    <font>
      <i val="true"/>
      <sz val="8.5"/>
      <color rgb="FF2D1F0F"/>
      <name val="Calibri"/>
      <family val="0"/>
      <charset val="1"/>
    </font>
    <font>
      <sz val="10"/>
      <name val="Calibri"/>
      <family val="0"/>
      <charset val="1"/>
    </font>
    <font>
      <b val="true"/>
      <sz val="10"/>
      <name val="Calibri"/>
      <family val="0"/>
      <charset val="1"/>
    </font>
  </fonts>
  <fills count="16">
    <fill>
      <patternFill patternType="none"/>
    </fill>
    <fill>
      <patternFill patternType="gray125"/>
    </fill>
    <fill>
      <patternFill patternType="solid">
        <fgColor rgb="FF1A0F00"/>
        <bgColor rgb="FF120A00"/>
      </patternFill>
    </fill>
    <fill>
      <patternFill patternType="solid">
        <fgColor rgb="FF120A00"/>
        <bgColor rgb="FF1A0F00"/>
      </patternFill>
    </fill>
    <fill>
      <patternFill patternType="solid">
        <fgColor rgb="FF3B2200"/>
        <bgColor rgb="FF2D1F0F"/>
      </patternFill>
    </fill>
    <fill>
      <patternFill patternType="solid">
        <fgColor rgb="FF7A5230"/>
        <bgColor rgb="FF6A4A20"/>
      </patternFill>
    </fill>
    <fill>
      <patternFill patternType="solid">
        <fgColor rgb="FFC9902A"/>
        <bgColor rgb="FF9E8060"/>
      </patternFill>
    </fill>
    <fill>
      <patternFill patternType="solid">
        <fgColor rgb="FFEDE0FF"/>
        <bgColor rgb="FFE8D5FF"/>
      </patternFill>
    </fill>
    <fill>
      <patternFill patternType="solid">
        <fgColor rgb="FFF5ECD7"/>
        <bgColor rgb="FFFFF3E0"/>
      </patternFill>
    </fill>
    <fill>
      <patternFill patternType="solid">
        <fgColor rgb="FFFFF9C4"/>
        <bgColor rgb="FFFFF3E0"/>
      </patternFill>
    </fill>
    <fill>
      <patternFill patternType="solid">
        <fgColor rgb="FFE8F5E9"/>
        <bgColor rgb="FFE3F2FD"/>
      </patternFill>
    </fill>
    <fill>
      <patternFill patternType="solid">
        <fgColor rgb="FFFDF8EE"/>
        <bgColor rgb="FFFFF3E0"/>
      </patternFill>
    </fill>
    <fill>
      <patternFill patternType="solid">
        <fgColor rgb="FFE8D5FF"/>
        <bgColor rgb="FFEDE0FF"/>
      </patternFill>
    </fill>
    <fill>
      <patternFill patternType="solid">
        <fgColor rgb="FFFFE0E0"/>
        <bgColor rgb="FFF5ECD7"/>
      </patternFill>
    </fill>
    <fill>
      <patternFill patternType="solid">
        <fgColor rgb="FFFFF3E0"/>
        <bgColor rgb="FFFDF8EE"/>
      </patternFill>
    </fill>
    <fill>
      <patternFill patternType="solid">
        <fgColor rgb="FFE3F2FD"/>
        <bgColor rgb="FFE8F5E9"/>
      </patternFill>
    </fill>
  </fills>
  <borders count="5">
    <border diagonalUp="false" diagonalDown="false">
      <left/>
      <right/>
      <top/>
      <bottom/>
      <diagonal/>
    </border>
    <border diagonalUp="false" diagonalDown="false">
      <left style="thin">
        <color rgb="FF9E8060"/>
      </left>
      <right style="thin">
        <color rgb="FF9E8060"/>
      </right>
      <top style="thin">
        <color rgb="FF9E8060"/>
      </top>
      <bottom style="thin">
        <color rgb="FF9E8060"/>
      </bottom>
      <diagonal/>
    </border>
    <border diagonalUp="false" diagonalDown="false">
      <left style="thin"/>
      <right style="thin"/>
      <top style="thin"/>
      <bottom style="thin"/>
      <diagonal/>
    </border>
    <border diagonalUp="false" diagonalDown="false">
      <left style="medium">
        <color rgb="FF6B4428"/>
      </left>
      <right/>
      <top style="medium">
        <color rgb="FF6B4428"/>
      </top>
      <bottom/>
      <diagonal/>
    </border>
    <border diagonalUp="false" diagonalDown="false">
      <left style="thin">
        <color rgb="FF9E8060"/>
      </left>
      <right/>
      <top style="thin">
        <color rgb="FF9E8060"/>
      </top>
      <bottom style="thin">
        <color rgb="FF9E806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5" fontId="7" fillId="0"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4" borderId="0" xfId="0" applyFont="true" applyBorder="true" applyAlignment="true" applyProtection="false">
      <alignment horizontal="center" vertical="center" textRotation="0" wrapText="false" indent="0" shrinkToFit="false"/>
      <protection locked="true" hidden="false"/>
    </xf>
    <xf numFmtId="164" fontId="11" fillId="4" borderId="0" xfId="0" applyFont="true" applyBorder="true" applyAlignment="true" applyProtection="false">
      <alignment horizontal="left" vertical="center" textRotation="0" wrapText="false" indent="0" shrinkToFit="false"/>
      <protection locked="true" hidden="false"/>
    </xf>
    <xf numFmtId="164" fontId="12" fillId="3" borderId="0" xfId="0" applyFont="true" applyBorder="true" applyAlignment="true" applyProtection="false">
      <alignment horizontal="center" vertical="center" textRotation="0" wrapText="false" indent="0" shrinkToFit="false"/>
      <protection locked="true" hidden="false"/>
    </xf>
    <xf numFmtId="164" fontId="12" fillId="3" borderId="0" xfId="0" applyFont="true" applyBorder="false" applyAlignment="true" applyProtection="false">
      <alignment horizontal="center" vertical="center" textRotation="0" wrapText="false" indent="0" shrinkToFit="false"/>
      <protection locked="true" hidden="false"/>
    </xf>
    <xf numFmtId="167" fontId="13" fillId="4" borderId="0" xfId="0" applyFont="true" applyBorder="true" applyAlignment="true" applyProtection="false">
      <alignment horizontal="center" vertical="center" textRotation="0" wrapText="false" indent="0" shrinkToFit="false"/>
      <protection locked="true" hidden="false"/>
    </xf>
    <xf numFmtId="167" fontId="13" fillId="4" borderId="0" xfId="0" applyFont="true" applyBorder="false" applyAlignment="true" applyProtection="false">
      <alignment horizontal="center" vertical="center" textRotation="0" wrapText="false" indent="0" shrinkToFit="false"/>
      <protection locked="true" hidden="false"/>
    </xf>
    <xf numFmtId="168" fontId="14" fillId="4" borderId="0" xfId="0" applyFont="true" applyBorder="false" applyAlignment="true" applyProtection="false">
      <alignment horizontal="center" vertical="center" textRotation="0" wrapText="false" indent="0" shrinkToFit="false"/>
      <protection locked="true" hidden="false"/>
    </xf>
    <xf numFmtId="167" fontId="14" fillId="4" borderId="0" xfId="0" applyFont="true" applyBorder="false" applyAlignment="true" applyProtection="false">
      <alignment horizontal="center" vertical="center" textRotation="0" wrapText="false" indent="0" shrinkToFit="false"/>
      <protection locked="true" hidden="false"/>
    </xf>
    <xf numFmtId="164" fontId="15" fillId="4" borderId="0" xfId="0" applyFont="true" applyBorder="true" applyAlignment="true" applyProtection="false">
      <alignment horizontal="center" vertical="center" textRotation="0" wrapText="false" indent="0" shrinkToFit="false"/>
      <protection locked="true" hidden="false"/>
    </xf>
    <xf numFmtId="164" fontId="15" fillId="4" borderId="0" xfId="0" applyFont="true" applyBorder="false" applyAlignment="true" applyProtection="false">
      <alignment horizontal="center" vertical="center" textRotation="0" wrapText="false" indent="0" shrinkToFit="false"/>
      <protection locked="true" hidden="false"/>
    </xf>
    <xf numFmtId="164" fontId="11" fillId="5" borderId="0" xfId="0" applyFont="true" applyBorder="true" applyAlignment="true" applyProtection="false">
      <alignment horizontal="left" vertical="center" textRotation="0" wrapText="false" indent="0" shrinkToFit="false"/>
      <protection locked="true" hidden="false"/>
    </xf>
    <xf numFmtId="164" fontId="16" fillId="6" borderId="0" xfId="0" applyFont="true" applyBorder="true" applyAlignment="true" applyProtection="false">
      <alignment horizontal="center" vertical="center" textRotation="0" wrapText="false" indent="0" shrinkToFit="false"/>
      <protection locked="true" hidden="false"/>
    </xf>
    <xf numFmtId="164" fontId="16" fillId="6" borderId="0" xfId="0" applyFont="true" applyBorder="false" applyAlignment="true" applyProtection="false">
      <alignment horizontal="center" vertical="center" textRotation="0" wrapText="false" indent="0" shrinkToFit="false"/>
      <protection locked="true" hidden="false"/>
    </xf>
    <xf numFmtId="169" fontId="17" fillId="7" borderId="0" xfId="0" applyFont="true" applyBorder="true" applyAlignment="true" applyProtection="false">
      <alignment horizontal="center" vertical="center" textRotation="0" wrapText="true" indent="0" shrinkToFit="false"/>
      <protection locked="true" hidden="false"/>
    </xf>
    <xf numFmtId="164" fontId="17" fillId="7" borderId="0" xfId="0" applyFont="true" applyBorder="false" applyAlignment="true" applyProtection="false">
      <alignment horizontal="center" vertical="center" textRotation="0" wrapText="true" indent="0" shrinkToFit="false"/>
      <protection locked="true" hidden="false"/>
    </xf>
    <xf numFmtId="164" fontId="17" fillId="7" borderId="0" xfId="0" applyFont="true" applyBorder="true" applyAlignment="true" applyProtection="false">
      <alignment horizontal="center" vertical="center" textRotation="0" wrapText="true" indent="0" shrinkToFit="false"/>
      <protection locked="true" hidden="false"/>
    </xf>
    <xf numFmtId="168" fontId="17" fillId="7" borderId="0" xfId="0" applyFont="true" applyBorder="true" applyAlignment="true" applyProtection="false">
      <alignment horizontal="center" vertical="center" textRotation="0" wrapText="tru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true" applyAlignment="true" applyProtection="false">
      <alignment horizontal="center" vertical="center" textRotation="0" wrapText="false" indent="0" shrinkToFit="false"/>
      <protection locked="true" hidden="false"/>
    </xf>
    <xf numFmtId="164" fontId="18" fillId="6" borderId="0" xfId="0" applyFont="true" applyBorder="false" applyAlignment="true" applyProtection="false">
      <alignment horizontal="center" vertical="center" textRotation="0" wrapText="false" indent="0" shrinkToFit="false"/>
      <protection locked="true" hidden="false"/>
    </xf>
    <xf numFmtId="164" fontId="5" fillId="6" borderId="0" xfId="0" applyFont="true" applyBorder="false" applyAlignment="true" applyProtection="false">
      <alignment horizontal="general" vertical="center" textRotation="0" wrapText="false" indent="0" shrinkToFit="false"/>
      <protection locked="true" hidden="false"/>
    </xf>
    <xf numFmtId="164" fontId="5" fillId="6" borderId="0" xfId="0" applyFont="true" applyBorder="false" applyAlignment="true" applyProtection="false">
      <alignment horizontal="center" vertical="center" textRotation="0" wrapText="false" indent="0" shrinkToFit="false"/>
      <protection locked="true" hidden="false"/>
    </xf>
    <xf numFmtId="168" fontId="18" fillId="6" borderId="0" xfId="0" applyFont="true" applyBorder="false" applyAlignment="true" applyProtection="false">
      <alignment horizontal="center" vertical="center" textRotation="0" wrapText="false" indent="0" shrinkToFit="false"/>
      <protection locked="true" hidden="false"/>
    </xf>
    <xf numFmtId="164" fontId="19" fillId="6" borderId="0"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64" fontId="18" fillId="8" borderId="0" xfId="0" applyFont="true" applyBorder="false" applyAlignment="true" applyProtection="false">
      <alignment horizontal="center" vertical="center" textRotation="0" wrapText="false" indent="0" shrinkToFit="false"/>
      <protection locked="true" hidden="false"/>
    </xf>
    <xf numFmtId="164" fontId="5" fillId="8" borderId="0" xfId="0" applyFont="true" applyBorder="false" applyAlignment="true" applyProtection="false">
      <alignment horizontal="general" vertical="center" textRotation="0" wrapText="false" indent="0" shrinkToFit="false"/>
      <protection locked="true" hidden="false"/>
    </xf>
    <xf numFmtId="164" fontId="5" fillId="8" borderId="0" xfId="0" applyFont="true" applyBorder="false" applyAlignment="true" applyProtection="false">
      <alignment horizontal="center" vertical="center" textRotation="0" wrapText="false" indent="0" shrinkToFit="false"/>
      <protection locked="true" hidden="false"/>
    </xf>
    <xf numFmtId="168" fontId="18" fillId="8" borderId="0" xfId="0" applyFont="true" applyBorder="false" applyAlignment="true" applyProtection="false">
      <alignment horizontal="center" vertical="center" textRotation="0" wrapText="false" indent="0" shrinkToFit="false"/>
      <protection locked="true" hidden="false"/>
    </xf>
    <xf numFmtId="164" fontId="19" fillId="8" borderId="0" xfId="0" applyFont="true" applyBorder="true" applyAlignment="true" applyProtection="false">
      <alignment horizontal="center" vertical="center" textRotation="0" wrapText="false" indent="0" shrinkToFit="false"/>
      <protection locked="true" hidden="false"/>
    </xf>
    <xf numFmtId="164" fontId="18" fillId="9" borderId="0" xfId="0" applyFont="true" applyBorder="false" applyAlignment="true" applyProtection="false">
      <alignment horizontal="center" vertical="center" textRotation="0" wrapText="false" indent="0" shrinkToFit="false"/>
      <protection locked="true" hidden="false"/>
    </xf>
    <xf numFmtId="164" fontId="5" fillId="9" borderId="0" xfId="0" applyFont="true" applyBorder="false" applyAlignment="true" applyProtection="false">
      <alignment horizontal="general" vertical="center" textRotation="0" wrapText="false" indent="0" shrinkToFit="false"/>
      <protection locked="true" hidden="false"/>
    </xf>
    <xf numFmtId="164" fontId="5" fillId="9" borderId="0" xfId="0" applyFont="true" applyBorder="false" applyAlignment="true" applyProtection="false">
      <alignment horizontal="center" vertical="center" textRotation="0" wrapText="false" indent="0" shrinkToFit="false"/>
      <protection locked="true" hidden="false"/>
    </xf>
    <xf numFmtId="168" fontId="18" fillId="9" borderId="0" xfId="0" applyFont="true" applyBorder="false" applyAlignment="true" applyProtection="false">
      <alignment horizontal="center" vertical="center" textRotation="0" wrapText="false" indent="0" shrinkToFit="false"/>
      <protection locked="true" hidden="false"/>
    </xf>
    <xf numFmtId="164" fontId="19" fillId="9" borderId="0" xfId="0" applyFont="true" applyBorder="true" applyAlignment="true" applyProtection="false">
      <alignment horizontal="center" vertical="center" textRotation="0" wrapText="false" indent="0" shrinkToFit="false"/>
      <protection locked="true" hidden="false"/>
    </xf>
    <xf numFmtId="164" fontId="18" fillId="7" borderId="0" xfId="0" applyFont="true" applyBorder="false" applyAlignment="true" applyProtection="false">
      <alignment horizontal="center" vertical="center" textRotation="0" wrapText="false" indent="0" shrinkToFit="false"/>
      <protection locked="true" hidden="false"/>
    </xf>
    <xf numFmtId="164" fontId="5" fillId="7" borderId="0" xfId="0" applyFont="true" applyBorder="false" applyAlignment="true" applyProtection="false">
      <alignment horizontal="general" vertical="center" textRotation="0" wrapText="false" indent="0" shrinkToFit="false"/>
      <protection locked="true" hidden="false"/>
    </xf>
    <xf numFmtId="164" fontId="5" fillId="7" borderId="0" xfId="0" applyFont="true" applyBorder="false" applyAlignment="true" applyProtection="false">
      <alignment horizontal="center" vertical="center" textRotation="0" wrapText="false" indent="0" shrinkToFit="false"/>
      <protection locked="true" hidden="false"/>
    </xf>
    <xf numFmtId="168" fontId="18" fillId="7" borderId="0" xfId="0" applyFont="true" applyBorder="false" applyAlignment="true" applyProtection="false">
      <alignment horizontal="center" vertical="center" textRotation="0" wrapText="false" indent="0" shrinkToFit="false"/>
      <protection locked="true" hidden="false"/>
    </xf>
    <xf numFmtId="164" fontId="19" fillId="7" borderId="0" xfId="0" applyFont="true" applyBorder="true" applyAlignment="true" applyProtection="false">
      <alignment horizontal="center" vertical="center" textRotation="0" wrapText="false" indent="0" shrinkToFit="false"/>
      <protection locked="true" hidden="false"/>
    </xf>
    <xf numFmtId="164" fontId="19" fillId="9" borderId="0" xfId="0" applyFont="true" applyBorder="false" applyAlignment="true" applyProtection="false">
      <alignment horizontal="center" vertical="center" textRotation="0" wrapText="false" indent="0" shrinkToFit="false"/>
      <protection locked="true" hidden="false"/>
    </xf>
    <xf numFmtId="164" fontId="20" fillId="7" borderId="0" xfId="0" applyFont="true" applyBorder="false" applyAlignment="true" applyProtection="false">
      <alignment horizontal="left" vertical="center"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left" vertical="center" textRotation="0" wrapText="false" indent="0" shrinkToFit="false"/>
      <protection locked="true" hidden="false"/>
    </xf>
    <xf numFmtId="164" fontId="18" fillId="9" borderId="0" xfId="0" applyFont="true" applyBorder="false" applyAlignment="true" applyProtection="false">
      <alignment horizontal="general" vertical="center" textRotation="0" wrapText="false" indent="0" shrinkToFit="false"/>
      <protection locked="true" hidden="false"/>
    </xf>
    <xf numFmtId="164" fontId="20" fillId="9" borderId="0" xfId="0" applyFont="true" applyBorder="false" applyAlignment="true" applyProtection="false">
      <alignment horizontal="general" vertical="center" textRotation="0" wrapText="false" indent="0" shrinkToFit="false"/>
      <protection locked="true" hidden="false"/>
    </xf>
    <xf numFmtId="164" fontId="21" fillId="9" borderId="0" xfId="0" applyFont="true" applyBorder="true" applyAlignment="true" applyProtection="false">
      <alignment horizontal="general" vertical="center" textRotation="0" wrapText="false" indent="0" shrinkToFit="false"/>
      <protection locked="true" hidden="false"/>
    </xf>
    <xf numFmtId="164" fontId="18" fillId="8" borderId="0" xfId="0" applyFont="true" applyBorder="false" applyAlignment="true" applyProtection="false">
      <alignment horizontal="general" vertical="center" textRotation="0" wrapText="false" indent="0" shrinkToFit="false"/>
      <protection locked="true" hidden="false"/>
    </xf>
    <xf numFmtId="164" fontId="20" fillId="8" borderId="0" xfId="0" applyFont="true" applyBorder="false" applyAlignment="true" applyProtection="false">
      <alignment horizontal="general" vertical="center" textRotation="0" wrapText="false" indent="0" shrinkToFit="false"/>
      <protection locked="true" hidden="false"/>
    </xf>
    <xf numFmtId="164" fontId="21" fillId="8" borderId="0" xfId="0" applyFont="true" applyBorder="true" applyAlignment="true" applyProtection="false">
      <alignment horizontal="general" vertical="center" textRotation="0" wrapText="false" indent="0" shrinkToFit="false"/>
      <protection locked="true" hidden="false"/>
    </xf>
    <xf numFmtId="164" fontId="21" fillId="8" borderId="0" xfId="0" applyFont="true" applyBorder="false" applyAlignment="true" applyProtection="false">
      <alignment horizontal="general" vertical="center" textRotation="0" wrapText="false" indent="0" shrinkToFit="false"/>
      <protection locked="true" hidden="false"/>
    </xf>
    <xf numFmtId="167" fontId="6" fillId="9" borderId="0" xfId="0" applyFont="true" applyBorder="false" applyAlignment="true" applyProtection="false">
      <alignment horizontal="center" vertical="center" textRotation="0" wrapText="false" indent="0" shrinkToFit="false"/>
      <protection locked="true" hidden="false"/>
    </xf>
    <xf numFmtId="164" fontId="22" fillId="9" borderId="0" xfId="0" applyFont="true" applyBorder="false" applyAlignment="true" applyProtection="false">
      <alignment horizontal="left" vertical="center" textRotation="0" wrapText="false" indent="0" shrinkToFit="false"/>
      <protection locked="true" hidden="false"/>
    </xf>
    <xf numFmtId="164" fontId="20" fillId="9" borderId="0" xfId="0" applyFont="true" applyBorder="true" applyAlignment="true" applyProtection="false">
      <alignment horizontal="general" vertical="center" textRotation="0" wrapText="false" indent="0" shrinkToFit="false"/>
      <protection locked="true" hidden="false"/>
    </xf>
    <xf numFmtId="167" fontId="6" fillId="8" borderId="0" xfId="0" applyFont="true" applyBorder="false" applyAlignment="true" applyProtection="false">
      <alignment horizontal="center" vertical="center" textRotation="0" wrapText="false" indent="0" shrinkToFit="false"/>
      <protection locked="true" hidden="false"/>
    </xf>
    <xf numFmtId="164" fontId="22" fillId="8" borderId="0" xfId="0" applyFont="true" applyBorder="false" applyAlignment="true" applyProtection="false">
      <alignment horizontal="left" vertical="center" textRotation="0" wrapText="false" indent="0" shrinkToFit="false"/>
      <protection locked="true" hidden="false"/>
    </xf>
    <xf numFmtId="164" fontId="20" fillId="8" borderId="0" xfId="0" applyFont="true" applyBorder="true" applyAlignment="true" applyProtection="false">
      <alignment horizontal="general" vertical="center" textRotation="0" wrapText="false" indent="0" shrinkToFit="false"/>
      <protection locked="true" hidden="false"/>
    </xf>
    <xf numFmtId="164" fontId="23" fillId="9" borderId="0" xfId="0" applyFont="true" applyBorder="false" applyAlignment="true" applyProtection="false">
      <alignment horizontal="center" vertical="center" textRotation="0" wrapText="false" indent="0" shrinkToFit="false"/>
      <protection locked="true" hidden="false"/>
    </xf>
    <xf numFmtId="164" fontId="23" fillId="8" borderId="0" xfId="0" applyFont="true" applyBorder="false" applyAlignment="true" applyProtection="false">
      <alignment horizontal="center" vertical="center" textRotation="0" wrapText="false" indent="0" shrinkToFit="false"/>
      <protection locked="true" hidden="false"/>
    </xf>
    <xf numFmtId="164" fontId="24" fillId="10" borderId="0" xfId="0" applyFont="true" applyBorder="false" applyAlignment="true" applyProtection="false">
      <alignment horizontal="general" vertical="center" textRotation="0" wrapText="fals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4" borderId="0" xfId="0" applyFont="true" applyBorder="true" applyAlignment="true" applyProtection="false">
      <alignment horizontal="center" vertical="center" textRotation="0" wrapText="true" indent="0" shrinkToFit="false"/>
      <protection locked="true" hidden="false"/>
    </xf>
    <xf numFmtId="164" fontId="11" fillId="4" borderId="0" xfId="0" applyFont="true" applyBorder="true" applyAlignment="true" applyProtection="false">
      <alignment horizontal="left" vertical="center" textRotation="0" wrapText="true" indent="0" shrinkToFit="false"/>
      <protection locked="true" hidden="false"/>
    </xf>
    <xf numFmtId="164" fontId="5" fillId="8" borderId="3" xfId="0" applyFont="true" applyBorder="true" applyAlignment="true" applyProtection="false">
      <alignment horizontal="general" vertical="top" textRotation="0" wrapText="true" indent="0" shrinkToFit="false"/>
      <protection locked="true" hidden="false"/>
    </xf>
    <xf numFmtId="164" fontId="4" fillId="5" borderId="1" xfId="0" applyFont="true" applyBorder="true" applyAlignment="true" applyProtection="false">
      <alignment horizontal="center" vertical="center" textRotation="0" wrapText="true" indent="0" shrinkToFit="false"/>
      <protection locked="true" hidden="false"/>
    </xf>
    <xf numFmtId="164" fontId="18" fillId="9" borderId="1" xfId="0" applyFont="true" applyBorder="true" applyAlignment="true" applyProtection="false">
      <alignment horizontal="general" vertical="center" textRotation="0" wrapText="false" indent="0" shrinkToFit="false"/>
      <protection locked="true" hidden="false"/>
    </xf>
    <xf numFmtId="164" fontId="5" fillId="9" borderId="1" xfId="0" applyFont="true" applyBorder="true" applyAlignment="true" applyProtection="false">
      <alignment horizontal="general" vertical="center" textRotation="0" wrapText="false" indent="0" shrinkToFit="false"/>
      <protection locked="true" hidden="false"/>
    </xf>
    <xf numFmtId="164" fontId="20" fillId="9" borderId="1" xfId="0" applyFont="true" applyBorder="true" applyAlignment="true" applyProtection="false">
      <alignment horizontal="general" vertical="center" textRotation="0" wrapText="true" indent="0" shrinkToFit="false"/>
      <protection locked="true" hidden="false"/>
    </xf>
    <xf numFmtId="164" fontId="23" fillId="9" borderId="1" xfId="0" applyFont="true" applyBorder="true" applyAlignment="true" applyProtection="false">
      <alignment horizontal="general" vertical="center" textRotation="0" wrapText="false" indent="0" shrinkToFit="false"/>
      <protection locked="true" hidden="false"/>
    </xf>
    <xf numFmtId="164" fontId="18" fillId="11" borderId="1" xfId="0" applyFont="true" applyBorder="true" applyAlignment="true" applyProtection="false">
      <alignment horizontal="general" vertical="top" textRotation="0" wrapText="true" indent="0" shrinkToFit="false"/>
      <protection locked="true" hidden="false"/>
    </xf>
    <xf numFmtId="167" fontId="5" fillId="11" borderId="1" xfId="0" applyFont="true" applyBorder="true" applyAlignment="true" applyProtection="false">
      <alignment horizontal="general" vertical="top" textRotation="0" wrapText="true" indent="0" shrinkToFit="false"/>
      <protection locked="true" hidden="false"/>
    </xf>
    <xf numFmtId="164" fontId="18" fillId="8" borderId="1" xfId="0" applyFont="true" applyBorder="true" applyAlignment="true" applyProtection="false">
      <alignment horizontal="general" vertical="center" textRotation="0" wrapText="false" indent="0" shrinkToFit="false"/>
      <protection locked="true" hidden="false"/>
    </xf>
    <xf numFmtId="164" fontId="5" fillId="8" borderId="1" xfId="0" applyFont="true" applyBorder="true" applyAlignment="true" applyProtection="false">
      <alignment horizontal="general" vertical="center" textRotation="0" wrapText="false" indent="0" shrinkToFit="false"/>
      <protection locked="true" hidden="false"/>
    </xf>
    <xf numFmtId="164" fontId="20" fillId="8" borderId="1" xfId="0" applyFont="true" applyBorder="true" applyAlignment="true" applyProtection="false">
      <alignment horizontal="general" vertical="center" textRotation="0" wrapText="true" indent="0" shrinkToFit="false"/>
      <protection locked="true" hidden="false"/>
    </xf>
    <xf numFmtId="164" fontId="23" fillId="8" borderId="1" xfId="0" applyFont="true" applyBorder="true" applyAlignment="true" applyProtection="false">
      <alignment horizontal="general" vertical="center" textRotation="0" wrapText="false" indent="0" shrinkToFit="false"/>
      <protection locked="true" hidden="false"/>
    </xf>
    <xf numFmtId="164" fontId="18" fillId="9" borderId="1" xfId="0" applyFont="true" applyBorder="true" applyAlignment="true" applyProtection="false">
      <alignment horizontal="general" vertical="top" textRotation="0" wrapText="true" indent="0" shrinkToFit="false"/>
      <protection locked="true" hidden="false"/>
    </xf>
    <xf numFmtId="167" fontId="5" fillId="9"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25" fillId="8" borderId="4" xfId="0" applyFont="true" applyBorder="true" applyAlignment="true" applyProtection="false">
      <alignment horizontal="general" vertical="top" textRotation="0" wrapText="true" indent="0" shrinkToFit="false"/>
      <protection locked="true" hidden="false"/>
    </xf>
    <xf numFmtId="167" fontId="5" fillId="7" borderId="1" xfId="0" applyFont="true" applyBorder="true" applyAlignment="true" applyProtection="false">
      <alignment horizontal="general" vertical="top" textRotation="0" wrapText="true" indent="0" shrinkToFit="false"/>
      <protection locked="true" hidden="false"/>
    </xf>
    <xf numFmtId="167" fontId="5" fillId="12" borderId="1" xfId="0" applyFont="true" applyBorder="true" applyAlignment="true" applyProtection="false">
      <alignment horizontal="general" vertical="top" textRotation="0" wrapText="true" indent="0" shrinkToFit="false"/>
      <protection locked="true" hidden="false"/>
    </xf>
    <xf numFmtId="164" fontId="5" fillId="9" borderId="0" xfId="0" applyFont="true" applyBorder="false" applyAlignment="true" applyProtection="false">
      <alignment horizontal="general" vertical="center" textRotation="0" wrapText="true" indent="0" shrinkToFit="false"/>
      <protection locked="true" hidden="false"/>
    </xf>
    <xf numFmtId="164" fontId="11" fillId="4" borderId="0" xfId="0" applyFont="true" applyBorder="false" applyAlignment="true" applyProtection="false">
      <alignment horizontal="left" vertical="center" textRotation="0" wrapText="true" indent="0" shrinkToFit="false"/>
      <protection locked="true" hidden="false"/>
    </xf>
    <xf numFmtId="164" fontId="18" fillId="10"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18" fillId="13" borderId="1" xfId="0" applyFont="true" applyBorder="true" applyAlignment="true" applyProtection="false">
      <alignment horizontal="general" vertical="top" textRotation="0" wrapText="true" indent="0" shrinkToFit="false"/>
      <protection locked="true" hidden="false"/>
    </xf>
    <xf numFmtId="164" fontId="5" fillId="13" borderId="1" xfId="0" applyFont="true" applyBorder="true" applyAlignment="true" applyProtection="false">
      <alignment horizontal="general" vertical="top" textRotation="0" wrapText="true" indent="0" shrinkToFit="false"/>
      <protection locked="true" hidden="false"/>
    </xf>
    <xf numFmtId="164" fontId="18" fillId="14" borderId="1" xfId="0" applyFont="true" applyBorder="true" applyAlignment="true" applyProtection="false">
      <alignment horizontal="general" vertical="top" textRotation="0" wrapText="true" indent="0" shrinkToFit="false"/>
      <protection locked="true" hidden="false"/>
    </xf>
    <xf numFmtId="167" fontId="5" fillId="14" borderId="1" xfId="0" applyFont="true" applyBorder="true" applyAlignment="true" applyProtection="false">
      <alignment horizontal="general" vertical="top" textRotation="0" wrapText="true" indent="0" shrinkToFit="false"/>
      <protection locked="true" hidden="false"/>
    </xf>
    <xf numFmtId="164" fontId="17" fillId="8" borderId="4" xfId="0" applyFont="true" applyBorder="true" applyAlignment="true" applyProtection="false">
      <alignment horizontal="general" vertical="top" textRotation="0" wrapText="true" indent="0" shrinkToFit="false"/>
      <protection locked="true" hidden="false"/>
    </xf>
    <xf numFmtId="164" fontId="26" fillId="11" borderId="4" xfId="0" applyFont="true" applyBorder="true" applyAlignment="true" applyProtection="false">
      <alignment horizontal="general" vertical="top" textRotation="0" wrapText="true" indent="0" shrinkToFit="false"/>
      <protection locked="true" hidden="false"/>
    </xf>
    <xf numFmtId="164" fontId="26" fillId="8" borderId="4" xfId="0" applyFont="true" applyBorder="true" applyAlignment="true" applyProtection="false">
      <alignment horizontal="general" vertical="top" textRotation="0" wrapText="true" indent="0" shrinkToFit="false"/>
      <protection locked="true" hidden="false"/>
    </xf>
    <xf numFmtId="164" fontId="20" fillId="7" borderId="0" xfId="0" applyFont="true" applyBorder="true" applyAlignment="true" applyProtection="false">
      <alignment horizontal="general" vertical="top" textRotation="0" wrapText="true" indent="0" shrinkToFit="false"/>
      <protection locked="true" hidden="false"/>
    </xf>
    <xf numFmtId="164" fontId="20" fillId="0" borderId="0" xfId="0" applyFont="true" applyBorder="true" applyAlignment="true" applyProtection="false">
      <alignment horizontal="general" vertical="top" textRotation="0" wrapText="true" indent="0" shrinkToFit="false"/>
      <protection locked="true" hidden="false"/>
    </xf>
    <xf numFmtId="164" fontId="27" fillId="4" borderId="0" xfId="0" applyFont="true" applyBorder="true" applyAlignment="true" applyProtection="false">
      <alignment horizontal="center" vertical="center" textRotation="0" wrapText="true" indent="0" shrinkToFit="false"/>
      <protection locked="true" hidden="false"/>
    </xf>
    <xf numFmtId="164" fontId="23" fillId="9" borderId="1" xfId="0" applyFont="true" applyBorder="true" applyAlignment="true" applyProtection="false">
      <alignment horizontal="general" vertical="top" textRotation="0" wrapText="true" indent="0" shrinkToFit="false"/>
      <protection locked="true" hidden="false"/>
    </xf>
    <xf numFmtId="164" fontId="20" fillId="9" borderId="1" xfId="0" applyFont="true" applyBorder="true" applyAlignment="true" applyProtection="false">
      <alignment horizontal="general" vertical="top" textRotation="0" wrapText="true" indent="0" shrinkToFit="false"/>
      <protection locked="true" hidden="false"/>
    </xf>
    <xf numFmtId="164" fontId="23" fillId="11" borderId="1" xfId="0" applyFont="true" applyBorder="true" applyAlignment="true" applyProtection="false">
      <alignment horizontal="general" vertical="top" textRotation="0" wrapText="true" indent="0" shrinkToFit="false"/>
      <protection locked="true" hidden="false"/>
    </xf>
    <xf numFmtId="164" fontId="20" fillId="11" borderId="1" xfId="0" applyFont="true" applyBorder="true" applyAlignment="true" applyProtection="false">
      <alignment horizontal="general" vertical="top" textRotation="0" wrapText="true" indent="0" shrinkToFit="false"/>
      <protection locked="true" hidden="false"/>
    </xf>
    <xf numFmtId="164" fontId="23" fillId="10" borderId="1" xfId="0" applyFont="true" applyBorder="true" applyAlignment="true" applyProtection="false">
      <alignment horizontal="general" vertical="top" textRotation="0" wrapText="true" indent="0" shrinkToFit="false"/>
      <protection locked="true" hidden="false"/>
    </xf>
    <xf numFmtId="164" fontId="20" fillId="10" borderId="1" xfId="0" applyFont="true" applyBorder="true" applyAlignment="true" applyProtection="false">
      <alignment horizontal="general" vertical="top" textRotation="0" wrapText="true" indent="0" shrinkToFit="false"/>
      <protection locked="true" hidden="false"/>
    </xf>
    <xf numFmtId="164" fontId="23" fillId="14" borderId="1" xfId="0" applyFont="true" applyBorder="true" applyAlignment="true" applyProtection="false">
      <alignment horizontal="general" vertical="top" textRotation="0" wrapText="true" indent="0" shrinkToFit="false"/>
      <protection locked="true" hidden="false"/>
    </xf>
    <xf numFmtId="164" fontId="20" fillId="14" borderId="1" xfId="0" applyFont="true" applyBorder="true" applyAlignment="true" applyProtection="false">
      <alignment horizontal="general" vertical="top" textRotation="0" wrapText="tru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0" fillId="15" borderId="1" xfId="0" applyFont="false" applyBorder="true" applyAlignment="true" applyProtection="false">
      <alignment horizontal="general" vertical="bottom" textRotation="0" wrapText="fals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0" fillId="9" borderId="1" xfId="0" applyFont="false" applyBorder="tru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28" fillId="8" borderId="4" xfId="0" applyFont="true" applyBorder="true" applyAlignment="true" applyProtection="false">
      <alignment horizontal="general" vertical="top" textRotation="0" wrapText="true" indent="0" shrinkToFit="false"/>
      <protection locked="true" hidden="false"/>
    </xf>
    <xf numFmtId="164" fontId="28" fillId="11" borderId="4" xfId="0" applyFont="true" applyBorder="true" applyAlignment="true" applyProtection="false">
      <alignment horizontal="general" vertical="top" textRotation="0" wrapText="tru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7" fontId="30" fillId="0" borderId="0" xfId="0" applyFont="true" applyBorder="fals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left" vertical="center" textRotation="0" wrapText="false" indent="0" shrinkToFit="false"/>
      <protection locked="true" hidden="false"/>
    </xf>
    <xf numFmtId="164" fontId="5" fillId="8" borderId="0" xfId="0" applyFont="true" applyBorder="false" applyAlignment="true" applyProtection="false">
      <alignment horizontal="general" vertical="center" textRotation="0" wrapText="true" indent="0" shrinkToFit="false"/>
      <protection locked="true" hidden="false"/>
    </xf>
    <xf numFmtId="169" fontId="5" fillId="9"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EDE0FF"/>
        </patternFill>
      </fill>
    </dxf>
    <dxf>
      <fill>
        <patternFill>
          <bgColor rgb="FFE3F2FD"/>
        </patternFill>
      </fill>
    </dxf>
    <dxf>
      <fill>
        <patternFill>
          <bgColor rgb="FFFFF9C4"/>
        </patternFill>
      </fill>
    </dxf>
  </dxfs>
  <colors>
    <indexedColors>
      <rgbColor rgb="FF000000"/>
      <rgbColor rgb="FFFDF8EE"/>
      <rgbColor rgb="FFFF0000"/>
      <rgbColor rgb="FF00FF00"/>
      <rgbColor rgb="FF0000FF"/>
      <rgbColor rgb="FFFFFF00"/>
      <rgbColor rgb="FFFF00FF"/>
      <rgbColor rgb="FF00FFFF"/>
      <rgbColor rgb="FF800000"/>
      <rgbColor rgb="FF1B5E20"/>
      <rgbColor rgb="FF120A00"/>
      <rgbColor rgb="FF808000"/>
      <rgbColor rgb="FF6A1B9A"/>
      <rgbColor rgb="FF008080"/>
      <rgbColor rgb="FFCCB48A"/>
      <rgbColor rgb="FF9E8060"/>
      <rgbColor rgb="FF9999FF"/>
      <rgbColor rgb="FF7A5230"/>
      <rgbColor rgb="FFFFF9C4"/>
      <rgbColor rgb="FFE3F2FD"/>
      <rgbColor rgb="FF660066"/>
      <rgbColor rgb="FFFF8080"/>
      <rgbColor rgb="FF1565C0"/>
      <rgbColor rgb="FFE8D5FF"/>
      <rgbColor rgb="FF000080"/>
      <rgbColor rgb="FFFF00FF"/>
      <rgbColor rgb="FFFFFF00"/>
      <rgbColor rgb="FF00FFFF"/>
      <rgbColor rgb="FF800080"/>
      <rgbColor rgb="FF800000"/>
      <rgbColor rgb="FF008080"/>
      <rgbColor rgb="FF0000FF"/>
      <rgbColor rgb="FF00CCFF"/>
      <rgbColor rgb="FFE8F5E9"/>
      <rgbColor rgb="FFF5ECD7"/>
      <rgbColor rgb="FFFFF3E0"/>
      <rgbColor rgb="FFEDE0FF"/>
      <rgbColor rgb="FFFF99CC"/>
      <rgbColor rgb="FFCC99FF"/>
      <rgbColor rgb="FFFFE0E0"/>
      <rgbColor rgb="FF3366FF"/>
      <rgbColor rgb="FF33CCCC"/>
      <rgbColor rgb="FF99CC00"/>
      <rgbColor rgb="FFFFCC00"/>
      <rgbColor rgb="FFC9902A"/>
      <rgbColor rgb="FFFF6600"/>
      <rgbColor rgb="FF546E7A"/>
      <rgbColor rgb="FF9E9E9E"/>
      <rgbColor rgb="FF1A0F00"/>
      <rgbColor rgb="FF2E7D32"/>
      <rgbColor rgb="FF2D1F0F"/>
      <rgbColor rgb="FF3B2200"/>
      <rgbColor rgb="FF6B4428"/>
      <rgbColor rgb="FF6A4A20"/>
      <rgbColor rgb="FF333399"/>
      <rgbColor rgb="FF4E34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1F0F"/>
    <pageSetUpPr fitToPage="false"/>
  </sheetPr>
  <dimension ref="A1:X9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1"/>
    <col collapsed="false" customWidth="true" hidden="false" outlineLevel="0" max="3" min="3" style="1" width="22"/>
    <col collapsed="false" customWidth="true" hidden="false" outlineLevel="0" max="4" min="4" style="1" width="26"/>
    <col collapsed="false" customWidth="true" hidden="false" outlineLevel="0" max="5" min="5" style="1" width="20"/>
    <col collapsed="false" customWidth="true" hidden="false" outlineLevel="0" max="7" min="6" style="1" width="16"/>
    <col collapsed="false" customWidth="true" hidden="false" outlineLevel="0" max="8" min="8" style="1" width="20"/>
    <col collapsed="false" customWidth="true" hidden="false" outlineLevel="0" max="9" min="9" style="1" width="11"/>
    <col collapsed="false" customWidth="true" hidden="false" outlineLevel="0" max="10" min="10" style="1" width="24"/>
    <col collapsed="false" customWidth="true" hidden="false" outlineLevel="0" max="12" min="11" style="1" width="7"/>
    <col collapsed="false" customWidth="true" hidden="false" outlineLevel="0" max="13" min="13" style="1" width="8"/>
    <col collapsed="false" customWidth="true" hidden="false" outlineLevel="0" max="14" min="14" style="1" width="12"/>
    <col collapsed="false" customWidth="true" hidden="false" outlineLevel="0" max="15" min="15" style="1" width="20"/>
    <col collapsed="false" customWidth="true" hidden="false" outlineLevel="0" max="16" min="16" style="1" width="26"/>
    <col collapsed="false" customWidth="true" hidden="false" outlineLevel="0" max="17" min="17" style="1" width="8"/>
    <col collapsed="false" customWidth="true" hidden="false" outlineLevel="0" max="18" min="18" style="1" width="26"/>
    <col collapsed="false" customWidth="true" hidden="false" outlineLevel="0" max="20" min="19" style="1" width="50"/>
    <col collapsed="false" customWidth="true" hidden="false" outlineLevel="0" max="21" min="21" style="1" width="40"/>
    <col collapsed="false" customWidth="true" hidden="false" outlineLevel="0" max="22" min="22" style="1" width="24"/>
    <col collapsed="false" customWidth="true" hidden="false" outlineLevel="0" max="23" min="23" style="1" width="10"/>
    <col collapsed="false" customWidth="true" hidden="false" outlineLevel="0" max="24" min="24" style="1" width="46"/>
  </cols>
  <sheetData>
    <row r="1" customFormat="false" ht="18"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customFormat="false" ht="20.25" hidden="false" customHeight="true" outlineLevel="0" collapsed="false">
      <c r="A2" s="3" t="n">
        <v>46025</v>
      </c>
      <c r="B2" s="4" t="s">
        <v>24</v>
      </c>
      <c r="C2" s="4" t="s">
        <v>25</v>
      </c>
      <c r="D2" s="4" t="s">
        <v>26</v>
      </c>
      <c r="E2" s="4" t="s">
        <v>27</v>
      </c>
      <c r="F2" s="4" t="s">
        <v>28</v>
      </c>
      <c r="G2" s="4" t="s">
        <v>27</v>
      </c>
      <c r="H2" s="4" t="s">
        <v>29</v>
      </c>
      <c r="I2" s="4" t="s">
        <v>30</v>
      </c>
      <c r="J2" s="4" t="s">
        <v>31</v>
      </c>
      <c r="K2" s="4" t="s">
        <v>27</v>
      </c>
      <c r="L2" s="4" t="s">
        <v>27</v>
      </c>
      <c r="M2" s="4" t="s">
        <v>27</v>
      </c>
      <c r="N2" s="4" t="s">
        <v>27</v>
      </c>
      <c r="O2" s="4" t="s">
        <v>27</v>
      </c>
      <c r="P2" s="4" t="s">
        <v>27</v>
      </c>
      <c r="Q2" s="4" t="s">
        <v>27</v>
      </c>
      <c r="R2" s="4" t="s">
        <v>32</v>
      </c>
      <c r="S2" s="4" t="s">
        <v>33</v>
      </c>
      <c r="T2" s="4" t="s">
        <v>34</v>
      </c>
      <c r="U2" s="4" t="s">
        <v>35</v>
      </c>
      <c r="V2" s="4" t="s">
        <v>36</v>
      </c>
      <c r="W2" s="5" t="str">
        <f aca="false">IF(OR(ISNUMBER(SEARCH("gesha",G2)),ISNUMBER(SEARCH("geisha",G2))),"⭐ GESHA","")</f>
        <v/>
      </c>
      <c r="X2" s="4" t="s">
        <v>37</v>
      </c>
    </row>
    <row r="3" customFormat="false" ht="20.25" hidden="false" customHeight="true" outlineLevel="0" collapsed="false">
      <c r="A3" s="3" t="n">
        <v>46026</v>
      </c>
      <c r="B3" s="4" t="s">
        <v>24</v>
      </c>
      <c r="C3" s="4" t="s">
        <v>25</v>
      </c>
      <c r="D3" s="4" t="s">
        <v>38</v>
      </c>
      <c r="E3" s="4" t="s">
        <v>27</v>
      </c>
      <c r="F3" s="4" t="s">
        <v>39</v>
      </c>
      <c r="G3" s="4" t="s">
        <v>27</v>
      </c>
      <c r="H3" s="4" t="s">
        <v>40</v>
      </c>
      <c r="I3" s="4" t="s">
        <v>41</v>
      </c>
      <c r="J3" s="4" t="s">
        <v>42</v>
      </c>
      <c r="K3" s="4" t="s">
        <v>27</v>
      </c>
      <c r="L3" s="4" t="s">
        <v>27</v>
      </c>
      <c r="M3" s="4" t="s">
        <v>27</v>
      </c>
      <c r="N3" s="4" t="s">
        <v>27</v>
      </c>
      <c r="O3" s="4" t="s">
        <v>27</v>
      </c>
      <c r="P3" s="4" t="s">
        <v>27</v>
      </c>
      <c r="Q3" s="4" t="s">
        <v>27</v>
      </c>
      <c r="R3" s="4" t="s">
        <v>43</v>
      </c>
      <c r="S3" s="4" t="s">
        <v>44</v>
      </c>
      <c r="T3" s="4" t="s">
        <v>45</v>
      </c>
      <c r="U3" s="4" t="s">
        <v>35</v>
      </c>
      <c r="V3" s="4" t="s">
        <v>36</v>
      </c>
      <c r="W3" s="5" t="str">
        <f aca="false">IF(OR(ISNUMBER(SEARCH("gesha",G3)),ISNUMBER(SEARCH("geisha",G3))),"⭐ GESHA","")</f>
        <v/>
      </c>
      <c r="X3" s="4" t="s">
        <v>37</v>
      </c>
    </row>
    <row r="4" customFormat="false" ht="20.25" hidden="false" customHeight="true" outlineLevel="0" collapsed="false">
      <c r="A4" s="3" t="n">
        <v>46026</v>
      </c>
      <c r="B4" s="4" t="s">
        <v>24</v>
      </c>
      <c r="C4" s="4" t="s">
        <v>25</v>
      </c>
      <c r="D4" s="4" t="s">
        <v>46</v>
      </c>
      <c r="E4" s="4" t="s">
        <v>27</v>
      </c>
      <c r="F4" s="4" t="s">
        <v>27</v>
      </c>
      <c r="G4" s="4" t="s">
        <v>27</v>
      </c>
      <c r="H4" s="4" t="s">
        <v>27</v>
      </c>
      <c r="I4" s="4" t="s">
        <v>47</v>
      </c>
      <c r="J4" s="4" t="s">
        <v>48</v>
      </c>
      <c r="K4" s="4" t="s">
        <v>27</v>
      </c>
      <c r="L4" s="4" t="s">
        <v>27</v>
      </c>
      <c r="M4" s="4" t="s">
        <v>27</v>
      </c>
      <c r="N4" s="4" t="s">
        <v>27</v>
      </c>
      <c r="O4" s="4" t="s">
        <v>27</v>
      </c>
      <c r="P4" s="4" t="s">
        <v>27</v>
      </c>
      <c r="Q4" s="4" t="s">
        <v>27</v>
      </c>
      <c r="R4" s="4" t="s">
        <v>49</v>
      </c>
      <c r="S4" s="4" t="s">
        <v>50</v>
      </c>
      <c r="T4" s="4" t="s">
        <v>51</v>
      </c>
      <c r="U4" s="4" t="s">
        <v>35</v>
      </c>
      <c r="V4" s="4" t="s">
        <v>36</v>
      </c>
      <c r="W4" s="5" t="str">
        <f aca="false">IF(OR(ISNUMBER(SEARCH("gesha",G4)),ISNUMBER(SEARCH("geisha",G4))),"⭐ GESHA","")</f>
        <v/>
      </c>
      <c r="X4" s="4" t="s">
        <v>37</v>
      </c>
    </row>
    <row r="5" customFormat="false" ht="69" hidden="false" customHeight="true" outlineLevel="0" collapsed="false">
      <c r="A5" s="3" t="n">
        <v>46063</v>
      </c>
      <c r="B5" s="4" t="s">
        <v>52</v>
      </c>
      <c r="C5" s="4" t="s">
        <v>53</v>
      </c>
      <c r="D5" s="4" t="s">
        <v>54</v>
      </c>
      <c r="E5" s="4" t="s">
        <v>55</v>
      </c>
      <c r="F5" s="4" t="s">
        <v>56</v>
      </c>
      <c r="G5" s="4" t="s">
        <v>57</v>
      </c>
      <c r="H5" s="4" t="s">
        <v>58</v>
      </c>
      <c r="I5" s="4" t="s">
        <v>27</v>
      </c>
      <c r="J5" s="4" t="s">
        <v>59</v>
      </c>
      <c r="K5" s="4" t="n">
        <v>15</v>
      </c>
      <c r="L5" s="4" t="n">
        <v>240</v>
      </c>
      <c r="M5" s="4" t="s">
        <v>60</v>
      </c>
      <c r="N5" s="4" t="s">
        <v>61</v>
      </c>
      <c r="O5" s="4" t="s">
        <v>27</v>
      </c>
      <c r="P5" s="4" t="s">
        <v>62</v>
      </c>
      <c r="Q5" s="6" t="n">
        <v>8</v>
      </c>
      <c r="R5" s="4" t="s">
        <v>63</v>
      </c>
      <c r="S5" s="4" t="s">
        <v>64</v>
      </c>
      <c r="T5" s="4" t="s">
        <v>65</v>
      </c>
      <c r="U5" s="4" t="s">
        <v>66</v>
      </c>
      <c r="V5" s="4" t="s">
        <v>67</v>
      </c>
      <c r="W5" s="5" t="str">
        <f aca="false">IF(OR(ISNUMBER(SEARCH("gesha",G5)),ISNUMBER(SEARCH("geisha",G5))),"⭐ GESHA","")</f>
        <v/>
      </c>
      <c r="X5" s="4" t="s">
        <v>68</v>
      </c>
    </row>
    <row r="6" customFormat="false" ht="20.25" hidden="false" customHeight="true" outlineLevel="0" collapsed="false">
      <c r="A6" s="3" t="n">
        <v>46082</v>
      </c>
      <c r="B6" s="4" t="s">
        <v>69</v>
      </c>
      <c r="C6" s="4" t="s">
        <v>70</v>
      </c>
      <c r="D6" s="4" t="s">
        <v>71</v>
      </c>
      <c r="E6" s="4" t="s">
        <v>72</v>
      </c>
      <c r="F6" s="4" t="s">
        <v>73</v>
      </c>
      <c r="G6" s="4" t="s">
        <v>27</v>
      </c>
      <c r="H6" s="4" t="s">
        <v>74</v>
      </c>
      <c r="I6" s="4" t="s">
        <v>75</v>
      </c>
      <c r="J6" s="4" t="s">
        <v>31</v>
      </c>
      <c r="K6" s="4" t="s">
        <v>27</v>
      </c>
      <c r="L6" s="4" t="s">
        <v>27</v>
      </c>
      <c r="M6" s="4" t="s">
        <v>27</v>
      </c>
      <c r="N6" s="4" t="s">
        <v>27</v>
      </c>
      <c r="O6" s="4" t="s">
        <v>27</v>
      </c>
      <c r="P6" s="4" t="s">
        <v>27</v>
      </c>
      <c r="Q6" s="4" t="s">
        <v>27</v>
      </c>
      <c r="R6" s="4" t="s">
        <v>27</v>
      </c>
      <c r="S6" s="4" t="s">
        <v>76</v>
      </c>
      <c r="T6" s="4" t="s">
        <v>77</v>
      </c>
      <c r="U6" s="4" t="s">
        <v>78</v>
      </c>
      <c r="V6" s="4" t="s">
        <v>36</v>
      </c>
      <c r="W6" s="5" t="str">
        <f aca="false">IF(OR(ISNUMBER(SEARCH("gesha",G6)),ISNUMBER(SEARCH("geisha",G6))),"⭐ GESHA","")</f>
        <v/>
      </c>
      <c r="X6" s="4" t="s">
        <v>79</v>
      </c>
    </row>
    <row r="7" customFormat="false" ht="20.25" hidden="false" customHeight="true" outlineLevel="0" collapsed="false">
      <c r="A7" s="3" t="n">
        <v>46089</v>
      </c>
      <c r="B7" s="4" t="s">
        <v>69</v>
      </c>
      <c r="C7" s="4" t="s">
        <v>80</v>
      </c>
      <c r="D7" s="4" t="s">
        <v>81</v>
      </c>
      <c r="E7" s="4" t="s">
        <v>82</v>
      </c>
      <c r="F7" s="4" t="s">
        <v>73</v>
      </c>
      <c r="G7" s="4" t="s">
        <v>27</v>
      </c>
      <c r="H7" s="4" t="s">
        <v>83</v>
      </c>
      <c r="I7" s="4" t="s">
        <v>41</v>
      </c>
      <c r="J7" s="4" t="s">
        <v>31</v>
      </c>
      <c r="K7" s="4" t="s">
        <v>27</v>
      </c>
      <c r="L7" s="4" t="s">
        <v>27</v>
      </c>
      <c r="M7" s="4" t="s">
        <v>27</v>
      </c>
      <c r="N7" s="4" t="s">
        <v>27</v>
      </c>
      <c r="O7" s="4" t="s">
        <v>27</v>
      </c>
      <c r="P7" s="4" t="s">
        <v>27</v>
      </c>
      <c r="Q7" s="4" t="s">
        <v>27</v>
      </c>
      <c r="R7" s="4" t="s">
        <v>84</v>
      </c>
      <c r="S7" s="4" t="s">
        <v>85</v>
      </c>
      <c r="T7" s="4" t="s">
        <v>86</v>
      </c>
      <c r="U7" s="4" t="s">
        <v>78</v>
      </c>
      <c r="V7" s="4" t="s">
        <v>36</v>
      </c>
      <c r="W7" s="5" t="str">
        <f aca="false">IF(OR(ISNUMBER(SEARCH("gesha",G7)),ISNUMBER(SEARCH("geisha",G7))),"⭐ GESHA","")</f>
        <v/>
      </c>
      <c r="X7" s="4" t="s">
        <v>87</v>
      </c>
    </row>
    <row r="8" customFormat="false" ht="20.25" hidden="false" customHeight="true" outlineLevel="0" collapsed="false">
      <c r="A8" s="3" t="n">
        <v>46099</v>
      </c>
      <c r="B8" s="4" t="s">
        <v>52</v>
      </c>
      <c r="C8" s="4" t="s">
        <v>88</v>
      </c>
      <c r="D8" s="4" t="s">
        <v>89</v>
      </c>
      <c r="E8" s="4" t="s">
        <v>27</v>
      </c>
      <c r="F8" s="4" t="s">
        <v>90</v>
      </c>
      <c r="G8" s="4" t="s">
        <v>91</v>
      </c>
      <c r="H8" s="4" t="s">
        <v>29</v>
      </c>
      <c r="I8" s="4" t="s">
        <v>30</v>
      </c>
      <c r="J8" s="4" t="s">
        <v>42</v>
      </c>
      <c r="K8" s="4" t="s">
        <v>27</v>
      </c>
      <c r="L8" s="4" t="s">
        <v>27</v>
      </c>
      <c r="M8" s="4" t="s">
        <v>27</v>
      </c>
      <c r="N8" s="4" t="s">
        <v>27</v>
      </c>
      <c r="O8" s="4" t="s">
        <v>27</v>
      </c>
      <c r="P8" s="4" t="s">
        <v>27</v>
      </c>
      <c r="Q8" s="4" t="s">
        <v>27</v>
      </c>
      <c r="R8" s="4" t="s">
        <v>27</v>
      </c>
      <c r="S8" s="4" t="s">
        <v>92</v>
      </c>
      <c r="T8" s="4" t="s">
        <v>93</v>
      </c>
      <c r="U8" s="4" t="s">
        <v>94</v>
      </c>
      <c r="V8" s="4" t="s">
        <v>95</v>
      </c>
      <c r="W8" s="5" t="str">
        <f aca="false">IF(OR(ISNUMBER(SEARCH("gesha",G8)),ISNUMBER(SEARCH("geisha",G8))),"⭐ GESHA","")</f>
        <v/>
      </c>
      <c r="X8" s="4" t="s">
        <v>96</v>
      </c>
    </row>
    <row r="9" customFormat="false" ht="20.25" hidden="false" customHeight="true" outlineLevel="0" collapsed="false">
      <c r="A9" s="3" t="n">
        <v>46099</v>
      </c>
      <c r="B9" s="4" t="s">
        <v>52</v>
      </c>
      <c r="C9" s="4" t="s">
        <v>88</v>
      </c>
      <c r="D9" s="4" t="s">
        <v>97</v>
      </c>
      <c r="E9" s="4" t="s">
        <v>27</v>
      </c>
      <c r="F9" s="4" t="s">
        <v>98</v>
      </c>
      <c r="G9" s="4" t="s">
        <v>99</v>
      </c>
      <c r="H9" s="4" t="s">
        <v>58</v>
      </c>
      <c r="I9" s="4" t="s">
        <v>100</v>
      </c>
      <c r="J9" s="4" t="s">
        <v>101</v>
      </c>
      <c r="K9" s="4" t="s">
        <v>27</v>
      </c>
      <c r="L9" s="4" t="s">
        <v>27</v>
      </c>
      <c r="M9" s="4" t="s">
        <v>27</v>
      </c>
      <c r="N9" s="4" t="s">
        <v>27</v>
      </c>
      <c r="O9" s="4" t="s">
        <v>27</v>
      </c>
      <c r="P9" s="4" t="s">
        <v>27</v>
      </c>
      <c r="Q9" s="4" t="s">
        <v>27</v>
      </c>
      <c r="R9" s="4" t="s">
        <v>27</v>
      </c>
      <c r="S9" s="4" t="s">
        <v>102</v>
      </c>
      <c r="T9" s="4" t="s">
        <v>103</v>
      </c>
      <c r="U9" s="4" t="s">
        <v>94</v>
      </c>
      <c r="V9" s="4" t="s">
        <v>95</v>
      </c>
      <c r="W9" s="5" t="str">
        <f aca="false">IF(OR(ISNUMBER(SEARCH("gesha",G9)),ISNUMBER(SEARCH("geisha",G9))),"⭐ GESHA","")</f>
        <v/>
      </c>
      <c r="X9" s="4" t="s">
        <v>96</v>
      </c>
    </row>
    <row r="10" customFormat="false" ht="20.25" hidden="false" customHeight="true" outlineLevel="0" collapsed="false">
      <c r="A10" s="3" t="n">
        <v>46099</v>
      </c>
      <c r="B10" s="4" t="s">
        <v>52</v>
      </c>
      <c r="C10" s="4" t="s">
        <v>104</v>
      </c>
      <c r="D10" s="4" t="s">
        <v>105</v>
      </c>
      <c r="E10" s="4" t="s">
        <v>27</v>
      </c>
      <c r="F10" s="4" t="s">
        <v>98</v>
      </c>
      <c r="G10" s="4" t="s">
        <v>106</v>
      </c>
      <c r="H10" s="4" t="s">
        <v>107</v>
      </c>
      <c r="I10" s="4" t="s">
        <v>30</v>
      </c>
      <c r="J10" s="4" t="s">
        <v>42</v>
      </c>
      <c r="K10" s="4" t="s">
        <v>27</v>
      </c>
      <c r="L10" s="4" t="s">
        <v>27</v>
      </c>
      <c r="M10" s="4" t="s">
        <v>27</v>
      </c>
      <c r="N10" s="4" t="s">
        <v>27</v>
      </c>
      <c r="O10" s="4" t="s">
        <v>27</v>
      </c>
      <c r="P10" s="4" t="s">
        <v>27</v>
      </c>
      <c r="Q10" s="6" t="n">
        <v>15</v>
      </c>
      <c r="R10" s="4" t="s">
        <v>108</v>
      </c>
      <c r="S10" s="4" t="s">
        <v>109</v>
      </c>
      <c r="T10" s="4" t="s">
        <v>110</v>
      </c>
      <c r="U10" s="4" t="s">
        <v>94</v>
      </c>
      <c r="V10" s="4" t="s">
        <v>95</v>
      </c>
      <c r="W10" s="5" t="str">
        <f aca="false">IF(OR(ISNUMBER(SEARCH("gesha",G10)),ISNUMBER(SEARCH("geisha",G10))),"⭐ GESHA","")</f>
        <v/>
      </c>
      <c r="X10" s="4" t="s">
        <v>111</v>
      </c>
    </row>
    <row r="11" customFormat="false" ht="20.25" hidden="false" customHeight="true" outlineLevel="0" collapsed="false">
      <c r="A11" s="3" t="n">
        <v>46099</v>
      </c>
      <c r="B11" s="4" t="s">
        <v>52</v>
      </c>
      <c r="C11" s="4" t="s">
        <v>104</v>
      </c>
      <c r="D11" s="4" t="s">
        <v>46</v>
      </c>
      <c r="E11" s="4" t="s">
        <v>27</v>
      </c>
      <c r="F11" s="4" t="s">
        <v>27</v>
      </c>
      <c r="G11" s="4" t="s">
        <v>27</v>
      </c>
      <c r="H11" s="4" t="s">
        <v>27</v>
      </c>
      <c r="I11" s="4" t="s">
        <v>27</v>
      </c>
      <c r="J11" s="4" t="s">
        <v>112</v>
      </c>
      <c r="K11" s="4" t="s">
        <v>27</v>
      </c>
      <c r="L11" s="4" t="s">
        <v>27</v>
      </c>
      <c r="M11" s="4" t="s">
        <v>27</v>
      </c>
      <c r="N11" s="4" t="s">
        <v>27</v>
      </c>
      <c r="O11" s="4" t="s">
        <v>27</v>
      </c>
      <c r="P11" s="4" t="s">
        <v>27</v>
      </c>
      <c r="Q11" s="4" t="s">
        <v>27</v>
      </c>
      <c r="R11" s="4" t="s">
        <v>27</v>
      </c>
      <c r="S11" s="4" t="s">
        <v>113</v>
      </c>
      <c r="T11" s="4" t="s">
        <v>114</v>
      </c>
      <c r="U11" s="4" t="s">
        <v>94</v>
      </c>
      <c r="V11" s="4" t="s">
        <v>95</v>
      </c>
      <c r="W11" s="5" t="str">
        <f aca="false">IF(OR(ISNUMBER(SEARCH("gesha",G11)),ISNUMBER(SEARCH("geisha",G11))),"⭐ GESHA","")</f>
        <v/>
      </c>
      <c r="X11" s="4" t="s">
        <v>111</v>
      </c>
    </row>
    <row r="12" customFormat="false" ht="20.25" hidden="false" customHeight="true" outlineLevel="0" collapsed="false">
      <c r="A12" s="3" t="n">
        <v>46103</v>
      </c>
      <c r="B12" s="4" t="s">
        <v>52</v>
      </c>
      <c r="C12" s="4" t="s">
        <v>115</v>
      </c>
      <c r="D12" s="4" t="s">
        <v>116</v>
      </c>
      <c r="E12" s="4" t="s">
        <v>117</v>
      </c>
      <c r="F12" s="4" t="s">
        <v>118</v>
      </c>
      <c r="G12" s="4" t="s">
        <v>119</v>
      </c>
      <c r="H12" s="4" t="s">
        <v>58</v>
      </c>
      <c r="I12" s="4" t="s">
        <v>30</v>
      </c>
      <c r="J12" s="4" t="s">
        <v>59</v>
      </c>
      <c r="K12" s="4" t="s">
        <v>27</v>
      </c>
      <c r="L12" s="4" t="s">
        <v>27</v>
      </c>
      <c r="M12" s="4" t="s">
        <v>120</v>
      </c>
      <c r="N12" s="4" t="s">
        <v>27</v>
      </c>
      <c r="O12" s="4" t="s">
        <v>27</v>
      </c>
      <c r="P12" s="4" t="s">
        <v>27</v>
      </c>
      <c r="Q12" s="4" t="s">
        <v>27</v>
      </c>
      <c r="R12" s="4" t="s">
        <v>121</v>
      </c>
      <c r="S12" s="4" t="s">
        <v>122</v>
      </c>
      <c r="T12" s="4" t="s">
        <v>123</v>
      </c>
      <c r="U12" s="4" t="s">
        <v>124</v>
      </c>
      <c r="V12" s="4" t="s">
        <v>36</v>
      </c>
      <c r="W12" s="5" t="str">
        <f aca="false">IF(OR(ISNUMBER(SEARCH("gesha",G12)),ISNUMBER(SEARCH("geisha",G12))),"⭐ GESHA","")</f>
        <v/>
      </c>
      <c r="X12" s="4" t="s">
        <v>125</v>
      </c>
    </row>
    <row r="13" customFormat="false" ht="20.25" hidden="false" customHeight="true" outlineLevel="0" collapsed="false">
      <c r="A13" s="3" t="n">
        <v>46105</v>
      </c>
      <c r="B13" s="4" t="s">
        <v>52</v>
      </c>
      <c r="C13" s="4" t="s">
        <v>53</v>
      </c>
      <c r="D13" s="4" t="s">
        <v>126</v>
      </c>
      <c r="E13" s="4" t="s">
        <v>27</v>
      </c>
      <c r="F13" s="4" t="s">
        <v>127</v>
      </c>
      <c r="G13" s="4" t="s">
        <v>128</v>
      </c>
      <c r="H13" s="4" t="s">
        <v>58</v>
      </c>
      <c r="I13" s="4" t="s">
        <v>27</v>
      </c>
      <c r="J13" s="4" t="s">
        <v>42</v>
      </c>
      <c r="K13" s="4" t="s">
        <v>27</v>
      </c>
      <c r="L13" s="4" t="s">
        <v>27</v>
      </c>
      <c r="M13" s="4" t="s">
        <v>27</v>
      </c>
      <c r="N13" s="4" t="s">
        <v>27</v>
      </c>
      <c r="O13" s="4" t="s">
        <v>27</v>
      </c>
      <c r="P13" s="4" t="s">
        <v>27</v>
      </c>
      <c r="Q13" s="6" t="n">
        <v>9</v>
      </c>
      <c r="R13" s="4" t="s">
        <v>129</v>
      </c>
      <c r="S13" s="4" t="s">
        <v>130</v>
      </c>
      <c r="T13" s="4" t="s">
        <v>131</v>
      </c>
      <c r="U13" s="4" t="s">
        <v>124</v>
      </c>
      <c r="V13" s="4" t="s">
        <v>36</v>
      </c>
      <c r="W13" s="5" t="str">
        <f aca="false">IF(OR(ISNUMBER(SEARCH("gesha",G13)),ISNUMBER(SEARCH("geisha",G13))),"⭐ GESHA","")</f>
        <v/>
      </c>
      <c r="X13" s="4" t="s">
        <v>68</v>
      </c>
    </row>
    <row r="14" customFormat="false" ht="20.25" hidden="false" customHeight="true" outlineLevel="0" collapsed="false">
      <c r="A14" s="3" t="n">
        <v>46106</v>
      </c>
      <c r="B14" s="4" t="s">
        <v>52</v>
      </c>
      <c r="C14" s="4" t="s">
        <v>132</v>
      </c>
      <c r="D14" s="4" t="s">
        <v>133</v>
      </c>
      <c r="E14" s="4" t="s">
        <v>134</v>
      </c>
      <c r="F14" s="4" t="s">
        <v>135</v>
      </c>
      <c r="G14" s="4" t="s">
        <v>27</v>
      </c>
      <c r="H14" s="4" t="s">
        <v>136</v>
      </c>
      <c r="I14" s="4" t="s">
        <v>47</v>
      </c>
      <c r="J14" s="4" t="s">
        <v>137</v>
      </c>
      <c r="K14" s="4" t="s">
        <v>27</v>
      </c>
      <c r="L14" s="4" t="s">
        <v>27</v>
      </c>
      <c r="M14" s="4" t="s">
        <v>27</v>
      </c>
      <c r="N14" s="4" t="s">
        <v>27</v>
      </c>
      <c r="O14" s="4" t="s">
        <v>27</v>
      </c>
      <c r="P14" s="4" t="s">
        <v>27</v>
      </c>
      <c r="Q14" s="4" t="s">
        <v>27</v>
      </c>
      <c r="R14" s="4" t="s">
        <v>138</v>
      </c>
      <c r="S14" s="4" t="s">
        <v>139</v>
      </c>
      <c r="T14" s="4" t="s">
        <v>140</v>
      </c>
      <c r="U14" s="4" t="s">
        <v>124</v>
      </c>
      <c r="V14" s="4" t="s">
        <v>36</v>
      </c>
      <c r="W14" s="5" t="str">
        <f aca="false">IF(OR(ISNUMBER(SEARCH("gesha",G14)),ISNUMBER(SEARCH("geisha",G14))),"⭐ GESHA","")</f>
        <v/>
      </c>
      <c r="X14" s="4" t="s">
        <v>141</v>
      </c>
    </row>
    <row r="15" customFormat="false" ht="20.25" hidden="false" customHeight="true" outlineLevel="0" collapsed="false">
      <c r="A15" s="3" t="n">
        <v>46108</v>
      </c>
      <c r="B15" s="4" t="s">
        <v>52</v>
      </c>
      <c r="C15" s="4" t="s">
        <v>132</v>
      </c>
      <c r="D15" s="4" t="s">
        <v>142</v>
      </c>
      <c r="E15" s="4" t="s">
        <v>143</v>
      </c>
      <c r="F15" s="4" t="s">
        <v>144</v>
      </c>
      <c r="G15" s="4" t="s">
        <v>145</v>
      </c>
      <c r="H15" s="4" t="s">
        <v>29</v>
      </c>
      <c r="I15" s="4" t="s">
        <v>146</v>
      </c>
      <c r="J15" s="4" t="s">
        <v>147</v>
      </c>
      <c r="K15" s="4" t="n">
        <v>15</v>
      </c>
      <c r="L15" s="4" t="n">
        <v>220</v>
      </c>
      <c r="M15" s="4" t="s">
        <v>148</v>
      </c>
      <c r="N15" s="4" t="s">
        <v>27</v>
      </c>
      <c r="O15" s="4" t="s">
        <v>27</v>
      </c>
      <c r="P15" s="4" t="s">
        <v>149</v>
      </c>
      <c r="Q15" s="4" t="s">
        <v>27</v>
      </c>
      <c r="R15" s="4" t="s">
        <v>150</v>
      </c>
      <c r="S15" s="4" t="s">
        <v>151</v>
      </c>
      <c r="T15" s="4" t="s">
        <v>152</v>
      </c>
      <c r="U15" s="4" t="s">
        <v>124</v>
      </c>
      <c r="V15" s="4" t="s">
        <v>36</v>
      </c>
      <c r="W15" s="5" t="str">
        <f aca="false">IF(OR(ISNUMBER(SEARCH("gesha",G15)),ISNUMBER(SEARCH("geisha",G15))),"⭐ GESHA","")</f>
        <v/>
      </c>
      <c r="X15" s="4" t="s">
        <v>141</v>
      </c>
    </row>
    <row r="16" customFormat="false" ht="20.25" hidden="false" customHeight="true" outlineLevel="0" collapsed="false">
      <c r="A16" s="3" t="n">
        <v>46109</v>
      </c>
      <c r="B16" s="4" t="s">
        <v>52</v>
      </c>
      <c r="C16" s="4" t="s">
        <v>153</v>
      </c>
      <c r="D16" s="4" t="s">
        <v>154</v>
      </c>
      <c r="E16" s="4" t="s">
        <v>27</v>
      </c>
      <c r="F16" s="4" t="s">
        <v>155</v>
      </c>
      <c r="G16" s="4" t="s">
        <v>27</v>
      </c>
      <c r="H16" s="4" t="s">
        <v>29</v>
      </c>
      <c r="I16" s="4" t="s">
        <v>41</v>
      </c>
      <c r="J16" s="4" t="s">
        <v>42</v>
      </c>
      <c r="K16" s="4" t="n">
        <v>15</v>
      </c>
      <c r="L16" s="4" t="n">
        <v>225</v>
      </c>
      <c r="M16" s="4" t="s">
        <v>156</v>
      </c>
      <c r="N16" s="4" t="s">
        <v>27</v>
      </c>
      <c r="O16" s="4" t="s">
        <v>27</v>
      </c>
      <c r="P16" s="4" t="s">
        <v>27</v>
      </c>
      <c r="Q16" s="6" t="n">
        <v>8</v>
      </c>
      <c r="R16" s="4" t="s">
        <v>157</v>
      </c>
      <c r="S16" s="4" t="s">
        <v>158</v>
      </c>
      <c r="T16" s="4" t="s">
        <v>159</v>
      </c>
      <c r="U16" s="4" t="s">
        <v>124</v>
      </c>
      <c r="V16" s="4" t="s">
        <v>36</v>
      </c>
      <c r="W16" s="5" t="str">
        <f aca="false">IF(OR(ISNUMBER(SEARCH("gesha",G16)),ISNUMBER(SEARCH("geisha",G16))),"⭐ GESHA","")</f>
        <v/>
      </c>
      <c r="X16" s="4" t="s">
        <v>160</v>
      </c>
    </row>
    <row r="17" customFormat="false" ht="20.25" hidden="false" customHeight="true" outlineLevel="0" collapsed="false">
      <c r="A17" s="3" t="n">
        <v>46109</v>
      </c>
      <c r="B17" s="4" t="s">
        <v>52</v>
      </c>
      <c r="C17" s="4" t="s">
        <v>153</v>
      </c>
      <c r="D17" s="4" t="s">
        <v>161</v>
      </c>
      <c r="E17" s="4" t="s">
        <v>27</v>
      </c>
      <c r="F17" s="4" t="s">
        <v>162</v>
      </c>
      <c r="G17" s="4" t="s">
        <v>27</v>
      </c>
      <c r="H17" s="4" t="s">
        <v>27</v>
      </c>
      <c r="I17" s="4" t="s">
        <v>27</v>
      </c>
      <c r="J17" s="4" t="s">
        <v>163</v>
      </c>
      <c r="K17" s="4" t="s">
        <v>27</v>
      </c>
      <c r="L17" s="4" t="s">
        <v>27</v>
      </c>
      <c r="M17" s="4" t="s">
        <v>27</v>
      </c>
      <c r="N17" s="4" t="s">
        <v>27</v>
      </c>
      <c r="O17" s="4" t="s">
        <v>27</v>
      </c>
      <c r="P17" s="4" t="s">
        <v>27</v>
      </c>
      <c r="Q17" s="6" t="n">
        <v>5.1</v>
      </c>
      <c r="R17" s="4" t="s">
        <v>164</v>
      </c>
      <c r="S17" s="4" t="s">
        <v>165</v>
      </c>
      <c r="T17" s="4" t="s">
        <v>166</v>
      </c>
      <c r="U17" s="4" t="s">
        <v>124</v>
      </c>
      <c r="V17" s="4" t="s">
        <v>95</v>
      </c>
      <c r="W17" s="5" t="str">
        <f aca="false">IF(OR(ISNUMBER(SEARCH("gesha",G17)),ISNUMBER(SEARCH("geisha",G17))),"⭐ GESHA","")</f>
        <v/>
      </c>
      <c r="X17" s="4" t="s">
        <v>160</v>
      </c>
    </row>
    <row r="18" customFormat="false" ht="20.25" hidden="false" customHeight="true" outlineLevel="0" collapsed="false">
      <c r="A18" s="3" t="n">
        <v>46110</v>
      </c>
      <c r="B18" s="4" t="s">
        <v>52</v>
      </c>
      <c r="C18" s="4" t="s">
        <v>167</v>
      </c>
      <c r="D18" s="4" t="s">
        <v>168</v>
      </c>
      <c r="E18" s="4" t="s">
        <v>169</v>
      </c>
      <c r="F18" s="4" t="s">
        <v>170</v>
      </c>
      <c r="G18" s="4" t="s">
        <v>171</v>
      </c>
      <c r="H18" s="4" t="s">
        <v>58</v>
      </c>
      <c r="I18" s="4" t="s">
        <v>41</v>
      </c>
      <c r="J18" s="4" t="s">
        <v>172</v>
      </c>
      <c r="K18" s="4" t="n">
        <v>15</v>
      </c>
      <c r="L18" s="4" t="n">
        <v>240</v>
      </c>
      <c r="M18" s="4" t="s">
        <v>60</v>
      </c>
      <c r="N18" s="4" t="s">
        <v>173</v>
      </c>
      <c r="O18" s="4" t="s">
        <v>27</v>
      </c>
      <c r="P18" s="4" t="s">
        <v>174</v>
      </c>
      <c r="Q18" s="6" t="n">
        <v>11</v>
      </c>
      <c r="R18" s="4" t="s">
        <v>175</v>
      </c>
      <c r="S18" s="4" t="s">
        <v>176</v>
      </c>
      <c r="T18" s="4" t="s">
        <v>177</v>
      </c>
      <c r="U18" s="4" t="s">
        <v>124</v>
      </c>
      <c r="V18" s="4" t="s">
        <v>95</v>
      </c>
      <c r="W18" s="5" t="str">
        <f aca="false">IF(OR(ISNUMBER(SEARCH("gesha",G18)),ISNUMBER(SEARCH("geisha",G18))),"⭐ GESHA","")</f>
        <v>⭐ GESHA</v>
      </c>
      <c r="X18" s="4" t="s">
        <v>178</v>
      </c>
    </row>
    <row r="19" customFormat="false" ht="30" hidden="false" customHeight="true" outlineLevel="0" collapsed="false">
      <c r="A19" s="3" t="n">
        <v>46113</v>
      </c>
      <c r="B19" s="4" t="s">
        <v>52</v>
      </c>
      <c r="C19" s="4" t="s">
        <v>179</v>
      </c>
      <c r="D19" s="4" t="s">
        <v>180</v>
      </c>
      <c r="E19" s="4" t="s">
        <v>181</v>
      </c>
      <c r="F19" s="4" t="s">
        <v>182</v>
      </c>
      <c r="G19" s="4" t="s">
        <v>183</v>
      </c>
      <c r="H19" s="4" t="s">
        <v>58</v>
      </c>
      <c r="I19" s="4" t="s">
        <v>30</v>
      </c>
      <c r="J19" s="4" t="s">
        <v>59</v>
      </c>
      <c r="K19" s="4" t="n">
        <v>15</v>
      </c>
      <c r="L19" s="4" t="n">
        <v>230</v>
      </c>
      <c r="M19" s="4" t="s">
        <v>184</v>
      </c>
      <c r="N19" s="4" t="s">
        <v>185</v>
      </c>
      <c r="O19" s="4" t="s">
        <v>27</v>
      </c>
      <c r="P19" s="4" t="s">
        <v>186</v>
      </c>
      <c r="Q19" s="6" t="n">
        <v>9</v>
      </c>
      <c r="R19" s="4" t="s">
        <v>187</v>
      </c>
      <c r="S19" s="4" t="s">
        <v>188</v>
      </c>
      <c r="T19" s="4" t="s">
        <v>189</v>
      </c>
      <c r="U19" s="4" t="s">
        <v>190</v>
      </c>
      <c r="V19" s="4" t="s">
        <v>36</v>
      </c>
      <c r="W19" s="5" t="str">
        <f aca="false">IF(OR(ISNUMBER(SEARCH("gesha",G19)),ISNUMBER(SEARCH("geisha",G19))),"⭐ GESHA","")</f>
        <v/>
      </c>
      <c r="X19" s="4" t="s">
        <v>191</v>
      </c>
    </row>
    <row r="20" customFormat="false" ht="20.25" hidden="false" customHeight="true" outlineLevel="0" collapsed="false">
      <c r="A20" s="3" t="n">
        <v>46113</v>
      </c>
      <c r="B20" s="4" t="s">
        <v>52</v>
      </c>
      <c r="C20" s="4" t="s">
        <v>192</v>
      </c>
      <c r="D20" s="4" t="s">
        <v>193</v>
      </c>
      <c r="E20" s="4" t="s">
        <v>194</v>
      </c>
      <c r="F20" s="4" t="s">
        <v>195</v>
      </c>
      <c r="G20" s="4" t="s">
        <v>196</v>
      </c>
      <c r="H20" s="4" t="s">
        <v>197</v>
      </c>
      <c r="I20" s="4" t="s">
        <v>146</v>
      </c>
      <c r="J20" s="4" t="s">
        <v>147</v>
      </c>
      <c r="K20" s="4" t="s">
        <v>27</v>
      </c>
      <c r="L20" s="4" t="s">
        <v>27</v>
      </c>
      <c r="M20" s="4" t="s">
        <v>156</v>
      </c>
      <c r="N20" s="4" t="s">
        <v>198</v>
      </c>
      <c r="O20" s="4" t="s">
        <v>27</v>
      </c>
      <c r="P20" s="4" t="s">
        <v>149</v>
      </c>
      <c r="Q20" s="6" t="n">
        <v>12</v>
      </c>
      <c r="R20" s="4" t="s">
        <v>199</v>
      </c>
      <c r="S20" s="4" t="s">
        <v>200</v>
      </c>
      <c r="T20" s="4" t="s">
        <v>201</v>
      </c>
      <c r="U20" s="4" t="s">
        <v>202</v>
      </c>
      <c r="V20" s="4" t="s">
        <v>95</v>
      </c>
      <c r="W20" s="5" t="str">
        <f aca="false">IF(OR(ISNUMBER(SEARCH("gesha",G20)),ISNUMBER(SEARCH("geisha",G20))),"⭐ GESHA","")</f>
        <v>⭐ GESHA</v>
      </c>
      <c r="X20" s="4" t="s">
        <v>203</v>
      </c>
    </row>
    <row r="21" customFormat="false" ht="20.25" hidden="false" customHeight="true" outlineLevel="0" collapsed="false">
      <c r="A21" s="3" t="n">
        <v>46117</v>
      </c>
      <c r="B21" s="4" t="s">
        <v>52</v>
      </c>
      <c r="C21" s="4" t="s">
        <v>167</v>
      </c>
      <c r="D21" s="4" t="s">
        <v>204</v>
      </c>
      <c r="E21" s="4" t="s">
        <v>205</v>
      </c>
      <c r="F21" s="4" t="s">
        <v>206</v>
      </c>
      <c r="G21" s="4" t="s">
        <v>207</v>
      </c>
      <c r="H21" s="4" t="s">
        <v>208</v>
      </c>
      <c r="I21" s="4" t="s">
        <v>27</v>
      </c>
      <c r="J21" s="4" t="s">
        <v>209</v>
      </c>
      <c r="K21" s="4" t="n">
        <v>15</v>
      </c>
      <c r="L21" s="4" t="n">
        <v>225</v>
      </c>
      <c r="M21" s="4" t="s">
        <v>156</v>
      </c>
      <c r="N21" s="4" t="s">
        <v>198</v>
      </c>
      <c r="O21" s="4" t="s">
        <v>27</v>
      </c>
      <c r="P21" s="4" t="s">
        <v>149</v>
      </c>
      <c r="Q21" s="6" t="n">
        <v>12.5</v>
      </c>
      <c r="R21" s="4" t="s">
        <v>210</v>
      </c>
      <c r="S21" s="4" t="s">
        <v>211</v>
      </c>
      <c r="T21" s="4" t="s">
        <v>212</v>
      </c>
      <c r="U21" s="4" t="s">
        <v>213</v>
      </c>
      <c r="V21" s="4" t="s">
        <v>36</v>
      </c>
      <c r="W21" s="5" t="str">
        <f aca="false">IF(OR(ISNUMBER(SEARCH("gesha",G21)),ISNUMBER(SEARCH("geisha",G21))),"⭐ GESHA","")</f>
        <v/>
      </c>
      <c r="X21" s="4" t="s">
        <v>178</v>
      </c>
    </row>
    <row r="22" customFormat="false" ht="30" hidden="false" customHeight="true" outlineLevel="0" collapsed="false">
      <c r="A22" s="3" t="n">
        <v>46117</v>
      </c>
      <c r="B22" s="4" t="s">
        <v>52</v>
      </c>
      <c r="C22" s="4" t="s">
        <v>167</v>
      </c>
      <c r="D22" s="4" t="s">
        <v>214</v>
      </c>
      <c r="E22" s="4" t="s">
        <v>169</v>
      </c>
      <c r="F22" s="4" t="s">
        <v>215</v>
      </c>
      <c r="G22" s="4" t="s">
        <v>171</v>
      </c>
      <c r="H22" s="4" t="s">
        <v>58</v>
      </c>
      <c r="I22" s="4" t="s">
        <v>146</v>
      </c>
      <c r="J22" s="4" t="s">
        <v>209</v>
      </c>
      <c r="K22" s="4" t="n">
        <v>15</v>
      </c>
      <c r="L22" s="4" t="n">
        <v>225</v>
      </c>
      <c r="M22" s="4" t="s">
        <v>156</v>
      </c>
      <c r="N22" s="4" t="s">
        <v>198</v>
      </c>
      <c r="O22" s="4" t="s">
        <v>27</v>
      </c>
      <c r="P22" s="4" t="s">
        <v>149</v>
      </c>
      <c r="Q22" s="6" t="n">
        <v>12.5</v>
      </c>
      <c r="R22" s="4" t="s">
        <v>175</v>
      </c>
      <c r="S22" s="4" t="s">
        <v>216</v>
      </c>
      <c r="T22" s="4" t="s">
        <v>217</v>
      </c>
      <c r="U22" s="4" t="s">
        <v>213</v>
      </c>
      <c r="V22" s="4" t="s">
        <v>36</v>
      </c>
      <c r="W22" s="5" t="str">
        <f aca="false">IF(OR(ISNUMBER(SEARCH("gesha",G22)),ISNUMBER(SEARCH("geisha",G22))),"⭐ GESHA","")</f>
        <v>⭐ GESHA</v>
      </c>
      <c r="X22" s="4" t="s">
        <v>178</v>
      </c>
    </row>
    <row r="23" customFormat="false" ht="20.25" hidden="false" customHeight="true" outlineLevel="0" collapsed="false">
      <c r="A23" s="3" t="n">
        <v>46120</v>
      </c>
      <c r="B23" s="4" t="s">
        <v>52</v>
      </c>
      <c r="C23" s="4" t="s">
        <v>179</v>
      </c>
      <c r="D23" s="4" t="s">
        <v>218</v>
      </c>
      <c r="E23" s="4" t="s">
        <v>219</v>
      </c>
      <c r="F23" s="4" t="s">
        <v>220</v>
      </c>
      <c r="G23" s="4" t="s">
        <v>221</v>
      </c>
      <c r="H23" s="4" t="s">
        <v>29</v>
      </c>
      <c r="I23" s="4" t="s">
        <v>27</v>
      </c>
      <c r="J23" s="4" t="s">
        <v>59</v>
      </c>
      <c r="K23" s="4" t="n">
        <v>15</v>
      </c>
      <c r="L23" s="4" t="n">
        <v>225</v>
      </c>
      <c r="M23" s="4" t="s">
        <v>156</v>
      </c>
      <c r="N23" s="4" t="s">
        <v>27</v>
      </c>
      <c r="O23" s="4" t="s">
        <v>27</v>
      </c>
      <c r="P23" s="4" t="s">
        <v>222</v>
      </c>
      <c r="Q23" s="6" t="n">
        <v>9</v>
      </c>
      <c r="R23" s="4" t="s">
        <v>223</v>
      </c>
      <c r="S23" s="4" t="s">
        <v>224</v>
      </c>
      <c r="T23" s="4" t="s">
        <v>225</v>
      </c>
      <c r="U23" s="4" t="s">
        <v>226</v>
      </c>
      <c r="V23" s="4" t="s">
        <v>95</v>
      </c>
      <c r="W23" s="5" t="str">
        <f aca="false">IF(OR(ISNUMBER(SEARCH("gesha",G23)),ISNUMBER(SEARCH("geisha",G23))),"⭐ GESHA","")</f>
        <v/>
      </c>
      <c r="X23" s="4" t="s">
        <v>191</v>
      </c>
    </row>
    <row r="24" customFormat="false" ht="20.25" hidden="false" customHeight="true" outlineLevel="0" collapsed="false">
      <c r="A24" s="3" t="n">
        <v>46130</v>
      </c>
      <c r="B24" s="4" t="s">
        <v>227</v>
      </c>
      <c r="C24" s="4" t="s">
        <v>228</v>
      </c>
      <c r="D24" s="4" t="s">
        <v>229</v>
      </c>
      <c r="E24" s="4" t="s">
        <v>27</v>
      </c>
      <c r="F24" s="4" t="s">
        <v>27</v>
      </c>
      <c r="G24" s="4" t="s">
        <v>230</v>
      </c>
      <c r="H24" s="4" t="s">
        <v>231</v>
      </c>
      <c r="I24" s="4" t="s">
        <v>27</v>
      </c>
      <c r="J24" s="4" t="s">
        <v>232</v>
      </c>
      <c r="K24" s="4" t="n">
        <v>18</v>
      </c>
      <c r="L24" s="4" t="n">
        <v>277</v>
      </c>
      <c r="M24" s="4" t="s">
        <v>233</v>
      </c>
      <c r="N24" s="4" t="s">
        <v>27</v>
      </c>
      <c r="O24" s="4" t="s">
        <v>234</v>
      </c>
      <c r="P24" s="4" t="s">
        <v>235</v>
      </c>
      <c r="Q24" s="6" t="n">
        <v>11.08</v>
      </c>
      <c r="R24" s="4" t="s">
        <v>236</v>
      </c>
      <c r="S24" s="4" t="s">
        <v>237</v>
      </c>
      <c r="T24" s="4" t="s">
        <v>238</v>
      </c>
      <c r="U24" s="4" t="s">
        <v>27</v>
      </c>
      <c r="V24" s="4" t="s">
        <v>239</v>
      </c>
      <c r="W24" s="5" t="str">
        <f aca="false">IF(OR(ISNUMBER(SEARCH("gesha",G24)),ISNUMBER(SEARCH("geisha",G24))),"⭐ GESHA","")</f>
        <v/>
      </c>
      <c r="X24" s="4" t="s">
        <v>240</v>
      </c>
    </row>
    <row r="25" customFormat="false" ht="20.25" hidden="false" customHeight="true" outlineLevel="0" collapsed="false">
      <c r="A25" s="3" t="n">
        <v>46136</v>
      </c>
      <c r="B25" s="4" t="s">
        <v>52</v>
      </c>
      <c r="C25" s="4" t="s">
        <v>132</v>
      </c>
      <c r="D25" s="4" t="s">
        <v>241</v>
      </c>
      <c r="E25" s="4" t="s">
        <v>27</v>
      </c>
      <c r="F25" s="4" t="s">
        <v>242</v>
      </c>
      <c r="G25" s="4" t="s">
        <v>27</v>
      </c>
      <c r="H25" s="4" t="s">
        <v>243</v>
      </c>
      <c r="I25" s="4" t="s">
        <v>244</v>
      </c>
      <c r="J25" s="4" t="s">
        <v>147</v>
      </c>
      <c r="K25" s="4" t="n">
        <v>16</v>
      </c>
      <c r="L25" s="4" t="n">
        <v>224</v>
      </c>
      <c r="M25" s="4" t="s">
        <v>245</v>
      </c>
      <c r="N25" s="4" t="s">
        <v>246</v>
      </c>
      <c r="O25" s="4" t="s">
        <v>27</v>
      </c>
      <c r="P25" s="4" t="s">
        <v>149</v>
      </c>
      <c r="Q25" s="4" t="s">
        <v>27</v>
      </c>
      <c r="R25" s="4" t="s">
        <v>247</v>
      </c>
      <c r="S25" s="4" t="s">
        <v>248</v>
      </c>
      <c r="T25" s="4" t="s">
        <v>249</v>
      </c>
      <c r="U25" s="4" t="s">
        <v>250</v>
      </c>
      <c r="V25" s="4" t="s">
        <v>36</v>
      </c>
      <c r="W25" s="5" t="str">
        <f aca="false">IF(OR(ISNUMBER(SEARCH("gesha",G25)),ISNUMBER(SEARCH("geisha",G25))),"⭐ GESHA","")</f>
        <v/>
      </c>
      <c r="X25" s="4" t="s">
        <v>141</v>
      </c>
    </row>
    <row r="26" customFormat="false" ht="30" hidden="false" customHeight="true" outlineLevel="0" collapsed="false">
      <c r="A26" s="3" t="n">
        <v>46148</v>
      </c>
      <c r="B26" s="4" t="s">
        <v>52</v>
      </c>
      <c r="C26" s="4" t="s">
        <v>251</v>
      </c>
      <c r="D26" s="4" t="s">
        <v>252</v>
      </c>
      <c r="E26" s="4" t="s">
        <v>27</v>
      </c>
      <c r="F26" s="4" t="s">
        <v>253</v>
      </c>
      <c r="G26" s="4" t="s">
        <v>254</v>
      </c>
      <c r="H26" s="4" t="s">
        <v>29</v>
      </c>
      <c r="I26" s="4" t="s">
        <v>146</v>
      </c>
      <c r="J26" s="4" t="s">
        <v>255</v>
      </c>
      <c r="K26" s="4" t="s">
        <v>27</v>
      </c>
      <c r="L26" s="4" t="s">
        <v>27</v>
      </c>
      <c r="M26" s="4" t="s">
        <v>120</v>
      </c>
      <c r="N26" s="4" t="s">
        <v>27</v>
      </c>
      <c r="O26" s="4" t="s">
        <v>27</v>
      </c>
      <c r="P26" s="4" t="s">
        <v>235</v>
      </c>
      <c r="Q26" s="6" t="n">
        <v>7.5</v>
      </c>
      <c r="R26" s="4" t="s">
        <v>256</v>
      </c>
      <c r="S26" s="4" t="s">
        <v>257</v>
      </c>
      <c r="T26" s="4" t="s">
        <v>258</v>
      </c>
      <c r="U26" s="4" t="s">
        <v>27</v>
      </c>
      <c r="V26" s="4" t="s">
        <v>239</v>
      </c>
      <c r="W26" s="5" t="str">
        <f aca="false">IF(OR(ISNUMBER(SEARCH("gesha",G26)),ISNUMBER(SEARCH("geisha",G26))),"⭐ GESHA","")</f>
        <v/>
      </c>
      <c r="X26" s="4" t="s">
        <v>259</v>
      </c>
    </row>
    <row r="27" customFormat="false" ht="20.25" hidden="false" customHeight="true" outlineLevel="0" collapsed="false">
      <c r="A27" s="3" t="n">
        <v>46148</v>
      </c>
      <c r="B27" s="4" t="s">
        <v>52</v>
      </c>
      <c r="C27" s="4" t="s">
        <v>251</v>
      </c>
      <c r="D27" s="4" t="s">
        <v>260</v>
      </c>
      <c r="E27" s="4" t="s">
        <v>27</v>
      </c>
      <c r="F27" s="4" t="s">
        <v>253</v>
      </c>
      <c r="G27" s="4" t="s">
        <v>261</v>
      </c>
      <c r="H27" s="4" t="s">
        <v>29</v>
      </c>
      <c r="I27" s="4" t="s">
        <v>47</v>
      </c>
      <c r="J27" s="4" t="s">
        <v>137</v>
      </c>
      <c r="K27" s="4" t="s">
        <v>27</v>
      </c>
      <c r="L27" s="4" t="s">
        <v>27</v>
      </c>
      <c r="M27" s="4" t="s">
        <v>27</v>
      </c>
      <c r="N27" s="4" t="s">
        <v>27</v>
      </c>
      <c r="O27" s="4" t="s">
        <v>27</v>
      </c>
      <c r="P27" s="4" t="s">
        <v>27</v>
      </c>
      <c r="Q27" s="4" t="s">
        <v>27</v>
      </c>
      <c r="R27" s="4" t="s">
        <v>262</v>
      </c>
      <c r="S27" s="4" t="s">
        <v>263</v>
      </c>
      <c r="T27" s="4" t="s">
        <v>264</v>
      </c>
      <c r="U27" s="4" t="s">
        <v>27</v>
      </c>
      <c r="V27" s="4" t="s">
        <v>239</v>
      </c>
      <c r="W27" s="5" t="str">
        <f aca="false">IF(OR(ISNUMBER(SEARCH("gesha",G27)),ISNUMBER(SEARCH("geisha",G27))),"⭐ GESHA","")</f>
        <v/>
      </c>
      <c r="X27" s="4" t="s">
        <v>259</v>
      </c>
    </row>
    <row r="28" customFormat="false" ht="20.25" hidden="false" customHeight="true" outlineLevel="0" collapsed="false">
      <c r="A28" s="3" t="n">
        <v>46149</v>
      </c>
      <c r="B28" s="4" t="s">
        <v>52</v>
      </c>
      <c r="C28" s="4" t="s">
        <v>251</v>
      </c>
      <c r="D28" s="4" t="s">
        <v>265</v>
      </c>
      <c r="E28" s="4" t="s">
        <v>27</v>
      </c>
      <c r="F28" s="4" t="s">
        <v>266</v>
      </c>
      <c r="G28" s="4" t="s">
        <v>145</v>
      </c>
      <c r="H28" s="4" t="s">
        <v>58</v>
      </c>
      <c r="I28" s="4" t="s">
        <v>146</v>
      </c>
      <c r="J28" s="4" t="s">
        <v>255</v>
      </c>
      <c r="K28" s="4" t="s">
        <v>27</v>
      </c>
      <c r="L28" s="4" t="s">
        <v>27</v>
      </c>
      <c r="M28" s="4" t="s">
        <v>120</v>
      </c>
      <c r="N28" s="4" t="s">
        <v>27</v>
      </c>
      <c r="O28" s="4" t="s">
        <v>27</v>
      </c>
      <c r="P28" s="4" t="s">
        <v>235</v>
      </c>
      <c r="Q28" s="6" t="n">
        <v>8.5</v>
      </c>
      <c r="R28" s="4" t="s">
        <v>267</v>
      </c>
      <c r="S28" s="4" t="s">
        <v>268</v>
      </c>
      <c r="T28" s="4" t="s">
        <v>269</v>
      </c>
      <c r="U28" s="4" t="s">
        <v>27</v>
      </c>
      <c r="V28" s="4" t="s">
        <v>239</v>
      </c>
      <c r="W28" s="5" t="str">
        <f aca="false">IF(OR(ISNUMBER(SEARCH("gesha",G28)),ISNUMBER(SEARCH("geisha",G28))),"⭐ GESHA","")</f>
        <v/>
      </c>
      <c r="X28" s="4" t="s">
        <v>259</v>
      </c>
    </row>
    <row r="29" customFormat="false" ht="30" hidden="false" customHeight="true" outlineLevel="0" collapsed="false">
      <c r="A29" s="3" t="n">
        <v>46149</v>
      </c>
      <c r="B29" s="4" t="s">
        <v>52</v>
      </c>
      <c r="C29" s="4" t="s">
        <v>251</v>
      </c>
      <c r="D29" s="4" t="s">
        <v>270</v>
      </c>
      <c r="E29" s="4" t="s">
        <v>27</v>
      </c>
      <c r="F29" s="4" t="s">
        <v>135</v>
      </c>
      <c r="G29" s="4" t="s">
        <v>271</v>
      </c>
      <c r="H29" s="4" t="s">
        <v>272</v>
      </c>
      <c r="I29" s="4" t="s">
        <v>47</v>
      </c>
      <c r="J29" s="4" t="s">
        <v>273</v>
      </c>
      <c r="K29" s="4" t="s">
        <v>27</v>
      </c>
      <c r="L29" s="4" t="s">
        <v>27</v>
      </c>
      <c r="M29" s="4" t="s">
        <v>274</v>
      </c>
      <c r="N29" s="4" t="s">
        <v>27</v>
      </c>
      <c r="O29" s="4" t="s">
        <v>27</v>
      </c>
      <c r="P29" s="4" t="s">
        <v>27</v>
      </c>
      <c r="Q29" s="4" t="s">
        <v>27</v>
      </c>
      <c r="R29" s="4" t="s">
        <v>275</v>
      </c>
      <c r="S29" s="4" t="s">
        <v>276</v>
      </c>
      <c r="T29" s="4" t="s">
        <v>277</v>
      </c>
      <c r="U29" s="4" t="s">
        <v>27</v>
      </c>
      <c r="V29" s="4" t="s">
        <v>239</v>
      </c>
      <c r="W29" s="5" t="str">
        <f aca="false">IF(OR(ISNUMBER(SEARCH("gesha",G29)),ISNUMBER(SEARCH("geisha",G29))),"⭐ GESHA","")</f>
        <v/>
      </c>
      <c r="X29" s="4" t="s">
        <v>259</v>
      </c>
    </row>
    <row r="30" customFormat="false" ht="49.5" hidden="false" customHeight="true" outlineLevel="0" collapsed="false">
      <c r="A30" s="3" t="n">
        <v>46150</v>
      </c>
      <c r="B30" s="4" t="s">
        <v>52</v>
      </c>
      <c r="C30" s="4" t="s">
        <v>278</v>
      </c>
      <c r="D30" s="4" t="s">
        <v>279</v>
      </c>
      <c r="E30" s="4" t="s">
        <v>27</v>
      </c>
      <c r="F30" s="4" t="s">
        <v>118</v>
      </c>
      <c r="G30" s="4" t="s">
        <v>280</v>
      </c>
      <c r="H30" s="4" t="s">
        <v>58</v>
      </c>
      <c r="I30" s="4" t="s">
        <v>146</v>
      </c>
      <c r="J30" s="4" t="s">
        <v>281</v>
      </c>
      <c r="K30" s="4" t="n">
        <v>15</v>
      </c>
      <c r="L30" s="4" t="n">
        <v>240</v>
      </c>
      <c r="M30" s="4" t="s">
        <v>60</v>
      </c>
      <c r="N30" s="4" t="s">
        <v>27</v>
      </c>
      <c r="O30" s="4" t="s">
        <v>27</v>
      </c>
      <c r="P30" s="4" t="s">
        <v>282</v>
      </c>
      <c r="Q30" s="4" t="s">
        <v>27</v>
      </c>
      <c r="R30" s="4" t="s">
        <v>283</v>
      </c>
      <c r="S30" s="4" t="s">
        <v>284</v>
      </c>
      <c r="T30" s="4" t="s">
        <v>285</v>
      </c>
      <c r="U30" s="4" t="s">
        <v>286</v>
      </c>
      <c r="V30" s="4" t="s">
        <v>287</v>
      </c>
      <c r="W30" s="5" t="str">
        <f aca="false">IF(OR(ISNUMBER(SEARCH("gesha",G30)),ISNUMBER(SEARCH("geisha",G30))),"⭐ GESHA","")</f>
        <v/>
      </c>
      <c r="X30" s="4" t="s">
        <v>288</v>
      </c>
    </row>
    <row r="31" customFormat="false" ht="59.25" hidden="false" customHeight="true" outlineLevel="0" collapsed="false">
      <c r="A31" s="3" t="n">
        <v>46154</v>
      </c>
      <c r="B31" s="4" t="s">
        <v>52</v>
      </c>
      <c r="C31" s="4" t="s">
        <v>289</v>
      </c>
      <c r="D31" s="4" t="s">
        <v>290</v>
      </c>
      <c r="E31" s="4" t="s">
        <v>291</v>
      </c>
      <c r="F31" s="4" t="s">
        <v>292</v>
      </c>
      <c r="G31" s="4" t="s">
        <v>293</v>
      </c>
      <c r="H31" s="4" t="s">
        <v>294</v>
      </c>
      <c r="I31" s="4" t="s">
        <v>30</v>
      </c>
      <c r="J31" s="4" t="s">
        <v>295</v>
      </c>
      <c r="K31" s="4" t="n">
        <v>15</v>
      </c>
      <c r="L31" s="4" t="n">
        <v>225</v>
      </c>
      <c r="M31" s="4" t="s">
        <v>60</v>
      </c>
      <c r="N31" s="4" t="s">
        <v>296</v>
      </c>
      <c r="O31" s="4" t="s">
        <v>27</v>
      </c>
      <c r="P31" s="4" t="s">
        <v>282</v>
      </c>
      <c r="Q31" s="6" t="n">
        <v>9.5</v>
      </c>
      <c r="R31" s="4" t="s">
        <v>297</v>
      </c>
      <c r="S31" s="4" t="s">
        <v>298</v>
      </c>
      <c r="T31" s="4" t="s">
        <v>299</v>
      </c>
      <c r="U31" s="4" t="s">
        <v>300</v>
      </c>
      <c r="V31" s="4" t="s">
        <v>287</v>
      </c>
      <c r="W31" s="5" t="str">
        <f aca="false">IF(OR(ISNUMBER(SEARCH("gesha",G31)),ISNUMBER(SEARCH("geisha",G31))),"⭐ GESHA","")</f>
        <v/>
      </c>
      <c r="X31" s="4" t="s">
        <v>301</v>
      </c>
    </row>
    <row r="32" customFormat="false" ht="49.5" hidden="false" customHeight="true" outlineLevel="0" collapsed="false">
      <c r="A32" s="3" t="n">
        <v>46155</v>
      </c>
      <c r="B32" s="4" t="s">
        <v>52</v>
      </c>
      <c r="C32" s="4" t="s">
        <v>302</v>
      </c>
      <c r="D32" s="4" t="s">
        <v>303</v>
      </c>
      <c r="E32" s="4" t="s">
        <v>304</v>
      </c>
      <c r="F32" s="4" t="s">
        <v>98</v>
      </c>
      <c r="G32" s="4" t="s">
        <v>305</v>
      </c>
      <c r="H32" s="4" t="s">
        <v>29</v>
      </c>
      <c r="I32" s="4" t="s">
        <v>146</v>
      </c>
      <c r="J32" s="4" t="s">
        <v>306</v>
      </c>
      <c r="K32" s="4" t="n">
        <v>15</v>
      </c>
      <c r="L32" s="4" t="n">
        <v>255</v>
      </c>
      <c r="M32" s="4" t="s">
        <v>120</v>
      </c>
      <c r="N32" s="4" t="s">
        <v>27</v>
      </c>
      <c r="O32" s="4" t="s">
        <v>27</v>
      </c>
      <c r="P32" s="4" t="s">
        <v>307</v>
      </c>
      <c r="Q32" s="6" t="n">
        <v>9</v>
      </c>
      <c r="R32" s="4" t="s">
        <v>308</v>
      </c>
      <c r="S32" s="4" t="s">
        <v>309</v>
      </c>
      <c r="T32" s="4" t="s">
        <v>310</v>
      </c>
      <c r="U32" s="4" t="s">
        <v>311</v>
      </c>
      <c r="V32" s="4" t="s">
        <v>287</v>
      </c>
      <c r="W32" s="5" t="str">
        <f aca="false">IF(OR(ISNUMBER(SEARCH("gesha",G32)),ISNUMBER(SEARCH("geisha",G32))),"⭐ GESHA","")</f>
        <v/>
      </c>
      <c r="X32" s="4" t="s">
        <v>312</v>
      </c>
    </row>
    <row r="33" customFormat="false" ht="69" hidden="false" customHeight="true" outlineLevel="0" collapsed="false">
      <c r="A33" s="3" t="n">
        <v>46157</v>
      </c>
      <c r="B33" s="4" t="s">
        <v>52</v>
      </c>
      <c r="C33" s="4" t="s">
        <v>278</v>
      </c>
      <c r="D33" s="4" t="s">
        <v>313</v>
      </c>
      <c r="E33" s="4" t="s">
        <v>314</v>
      </c>
      <c r="F33" s="4" t="s">
        <v>315</v>
      </c>
      <c r="G33" s="4" t="s">
        <v>316</v>
      </c>
      <c r="H33" s="4" t="s">
        <v>74</v>
      </c>
      <c r="I33" s="4" t="s">
        <v>30</v>
      </c>
      <c r="J33" s="4" t="s">
        <v>281</v>
      </c>
      <c r="K33" s="4" t="n">
        <v>15</v>
      </c>
      <c r="L33" s="4" t="n">
        <v>240</v>
      </c>
      <c r="M33" s="4" t="s">
        <v>60</v>
      </c>
      <c r="N33" s="4" t="s">
        <v>317</v>
      </c>
      <c r="O33" s="4" t="s">
        <v>27</v>
      </c>
      <c r="P33" s="4" t="s">
        <v>282</v>
      </c>
      <c r="Q33" s="6" t="n">
        <v>8.5</v>
      </c>
      <c r="R33" s="4" t="s">
        <v>318</v>
      </c>
      <c r="S33" s="4" t="s">
        <v>319</v>
      </c>
      <c r="T33" s="4" t="s">
        <v>320</v>
      </c>
      <c r="U33" s="4" t="s">
        <v>321</v>
      </c>
      <c r="V33" s="4" t="s">
        <v>287</v>
      </c>
      <c r="W33" s="5" t="str">
        <f aca="false">IF(OR(ISNUMBER(SEARCH("gesha",G33)),ISNUMBER(SEARCH("geisha",G33))),"⭐ GESHA","")</f>
        <v/>
      </c>
      <c r="X33" s="4" t="s">
        <v>288</v>
      </c>
    </row>
    <row r="34" customFormat="false" ht="78.75" hidden="false" customHeight="true" outlineLevel="0" collapsed="false">
      <c r="A34" s="3" t="n">
        <v>46158</v>
      </c>
      <c r="B34" s="4" t="s">
        <v>52</v>
      </c>
      <c r="C34" s="4" t="s">
        <v>322</v>
      </c>
      <c r="D34" s="4" t="s">
        <v>323</v>
      </c>
      <c r="E34" s="4" t="s">
        <v>323</v>
      </c>
      <c r="F34" s="4" t="s">
        <v>220</v>
      </c>
      <c r="G34" s="4" t="s">
        <v>171</v>
      </c>
      <c r="H34" s="4" t="s">
        <v>58</v>
      </c>
      <c r="I34" s="4" t="s">
        <v>30</v>
      </c>
      <c r="J34" s="4" t="s">
        <v>324</v>
      </c>
      <c r="K34" s="4" t="n">
        <v>15</v>
      </c>
      <c r="L34" s="4" t="n">
        <v>230</v>
      </c>
      <c r="M34" s="4" t="s">
        <v>184</v>
      </c>
      <c r="N34" s="4" t="s">
        <v>325</v>
      </c>
      <c r="O34" s="4" t="s">
        <v>27</v>
      </c>
      <c r="P34" s="4" t="s">
        <v>326</v>
      </c>
      <c r="Q34" s="6" t="n">
        <v>14</v>
      </c>
      <c r="R34" s="4" t="s">
        <v>327</v>
      </c>
      <c r="S34" s="4" t="s">
        <v>328</v>
      </c>
      <c r="T34" s="4" t="s">
        <v>329</v>
      </c>
      <c r="U34" s="4" t="s">
        <v>330</v>
      </c>
      <c r="V34" s="4" t="s">
        <v>287</v>
      </c>
      <c r="W34" s="5" t="str">
        <f aca="false">IF(OR(ISNUMBER(SEARCH("gesha",G34)),ISNUMBER(SEARCH("geisha",G34))),"⭐ GESHA","")</f>
        <v>⭐ GESHA</v>
      </c>
      <c r="X34" s="4" t="s">
        <v>331</v>
      </c>
    </row>
    <row r="35" customFormat="false" ht="69" hidden="false" customHeight="true" outlineLevel="0" collapsed="false">
      <c r="A35" s="3" t="n">
        <v>46161</v>
      </c>
      <c r="B35" s="4" t="s">
        <v>52</v>
      </c>
      <c r="C35" s="4" t="s">
        <v>332</v>
      </c>
      <c r="D35" s="4" t="s">
        <v>333</v>
      </c>
      <c r="E35" s="4" t="s">
        <v>334</v>
      </c>
      <c r="F35" s="4" t="s">
        <v>335</v>
      </c>
      <c r="G35" s="4" t="s">
        <v>196</v>
      </c>
      <c r="H35" s="4" t="s">
        <v>58</v>
      </c>
      <c r="I35" s="4" t="s">
        <v>30</v>
      </c>
      <c r="J35" s="4" t="s">
        <v>336</v>
      </c>
      <c r="K35" s="4" t="n">
        <v>15</v>
      </c>
      <c r="L35" s="4" t="n">
        <v>225</v>
      </c>
      <c r="M35" s="4" t="s">
        <v>156</v>
      </c>
      <c r="N35" s="4" t="s">
        <v>337</v>
      </c>
      <c r="O35" s="4" t="s">
        <v>27</v>
      </c>
      <c r="P35" s="4" t="s">
        <v>338</v>
      </c>
      <c r="Q35" s="6" t="n">
        <v>18</v>
      </c>
      <c r="R35" s="4" t="s">
        <v>339</v>
      </c>
      <c r="S35" s="4" t="s">
        <v>340</v>
      </c>
      <c r="T35" s="4" t="s">
        <v>341</v>
      </c>
      <c r="U35" s="4" t="s">
        <v>342</v>
      </c>
      <c r="V35" s="4" t="s">
        <v>287</v>
      </c>
      <c r="W35" s="5" t="str">
        <f aca="false">IF(OR(ISNUMBER(SEARCH("gesha",G35)),ISNUMBER(SEARCH("geisha",G35))),"⭐ GESHA","")</f>
        <v>⭐ GESHA</v>
      </c>
      <c r="X35" s="4" t="s">
        <v>343</v>
      </c>
    </row>
    <row r="36" customFormat="false" ht="98.25" hidden="false" customHeight="true" outlineLevel="0" collapsed="false">
      <c r="A36" s="3" t="n">
        <v>46167</v>
      </c>
      <c r="B36" s="4" t="s">
        <v>52</v>
      </c>
      <c r="C36" s="4" t="s">
        <v>344</v>
      </c>
      <c r="D36" s="4" t="s">
        <v>345</v>
      </c>
      <c r="E36" s="4" t="s">
        <v>346</v>
      </c>
      <c r="F36" s="4" t="s">
        <v>347</v>
      </c>
      <c r="G36" s="4" t="s">
        <v>348</v>
      </c>
      <c r="H36" s="4" t="s">
        <v>58</v>
      </c>
      <c r="I36" s="4" t="s">
        <v>349</v>
      </c>
      <c r="J36" s="4" t="s">
        <v>350</v>
      </c>
      <c r="K36" s="4" t="n">
        <v>17</v>
      </c>
      <c r="L36" s="4" t="n">
        <v>270</v>
      </c>
      <c r="M36" s="4" t="s">
        <v>60</v>
      </c>
      <c r="N36" s="4" t="s">
        <v>27</v>
      </c>
      <c r="O36" s="4" t="s">
        <v>27</v>
      </c>
      <c r="P36" s="4" t="s">
        <v>351</v>
      </c>
      <c r="Q36" s="4" t="n">
        <v>10</v>
      </c>
      <c r="R36" s="4" t="s">
        <v>352</v>
      </c>
      <c r="S36" s="4" t="s">
        <v>353</v>
      </c>
      <c r="T36" s="4" t="s">
        <v>354</v>
      </c>
      <c r="U36" s="4" t="s">
        <v>355</v>
      </c>
      <c r="V36" s="4" t="s">
        <v>356</v>
      </c>
      <c r="W36" s="5" t="str">
        <f aca="false">IF(OR(ISNUMBER(SEARCH("gesha",G36)),ISNUMBER(SEARCH("geisha",G36))),"⭐ GESHA","")</f>
        <v/>
      </c>
      <c r="X36" s="4" t="s">
        <v>357</v>
      </c>
    </row>
    <row r="37" customFormat="false" ht="59.25" hidden="false" customHeight="true" outlineLevel="0" collapsed="false">
      <c r="A37" s="3" t="n">
        <v>46167</v>
      </c>
      <c r="B37" s="4" t="s">
        <v>52</v>
      </c>
      <c r="C37" s="4" t="s">
        <v>344</v>
      </c>
      <c r="D37" s="4" t="s">
        <v>358</v>
      </c>
      <c r="E37" s="4" t="s">
        <v>359</v>
      </c>
      <c r="F37" s="4" t="s">
        <v>360</v>
      </c>
      <c r="G37" s="4" t="s">
        <v>361</v>
      </c>
      <c r="H37" s="4" t="s">
        <v>58</v>
      </c>
      <c r="I37" s="4" t="s">
        <v>27</v>
      </c>
      <c r="J37" s="4" t="s">
        <v>362</v>
      </c>
      <c r="K37" s="4" t="s">
        <v>27</v>
      </c>
      <c r="L37" s="4" t="s">
        <v>27</v>
      </c>
      <c r="M37" s="4" t="s">
        <v>363</v>
      </c>
      <c r="N37" s="4" t="s">
        <v>27</v>
      </c>
      <c r="O37" s="4" t="s">
        <v>364</v>
      </c>
      <c r="P37" s="4" t="s">
        <v>365</v>
      </c>
      <c r="Q37" s="4" t="n">
        <v>9</v>
      </c>
      <c r="R37" s="4" t="s">
        <v>366</v>
      </c>
      <c r="S37" s="4" t="s">
        <v>367</v>
      </c>
      <c r="T37" s="4" t="s">
        <v>368</v>
      </c>
      <c r="U37" s="4" t="s">
        <v>369</v>
      </c>
      <c r="V37" s="4" t="s">
        <v>356</v>
      </c>
      <c r="W37" s="5" t="str">
        <f aca="false">IF(OR(ISNUMBER(SEARCH("gesha",G37)),ISNUMBER(SEARCH("geisha",G37))),"⭐ GESHA","")</f>
        <v/>
      </c>
      <c r="X37" s="4" t="s">
        <v>357</v>
      </c>
    </row>
    <row r="38" customFormat="false" ht="78.75" hidden="false" customHeight="true" outlineLevel="0" collapsed="false">
      <c r="A38" s="3" t="n">
        <v>46168</v>
      </c>
      <c r="B38" s="4" t="s">
        <v>52</v>
      </c>
      <c r="C38" s="4" t="s">
        <v>370</v>
      </c>
      <c r="D38" s="4" t="s">
        <v>371</v>
      </c>
      <c r="E38" s="4" t="s">
        <v>372</v>
      </c>
      <c r="F38" s="4" t="s">
        <v>220</v>
      </c>
      <c r="G38" s="4" t="s">
        <v>373</v>
      </c>
      <c r="H38" s="4" t="s">
        <v>374</v>
      </c>
      <c r="I38" s="4" t="s">
        <v>146</v>
      </c>
      <c r="J38" s="4" t="s">
        <v>375</v>
      </c>
      <c r="K38" s="4" t="n">
        <v>15</v>
      </c>
      <c r="L38" s="4" t="n">
        <v>240</v>
      </c>
      <c r="M38" s="4" t="s">
        <v>60</v>
      </c>
      <c r="N38" s="4" t="s">
        <v>325</v>
      </c>
      <c r="O38" s="4" t="s">
        <v>376</v>
      </c>
      <c r="P38" s="4" t="s">
        <v>377</v>
      </c>
      <c r="Q38" s="6" t="n">
        <v>12</v>
      </c>
      <c r="R38" s="4" t="s">
        <v>378</v>
      </c>
      <c r="S38" s="4" t="s">
        <v>379</v>
      </c>
      <c r="T38" s="4" t="s">
        <v>380</v>
      </c>
      <c r="U38" s="4" t="s">
        <v>381</v>
      </c>
      <c r="V38" s="4" t="s">
        <v>382</v>
      </c>
      <c r="W38" s="5" t="str">
        <f aca="false">IF(OR(ISNUMBER(SEARCH("gesha",G38)),ISNUMBER(SEARCH("geisha",G38))),"⭐ GESHA","")</f>
        <v/>
      </c>
      <c r="X38" s="4" t="s">
        <v>383</v>
      </c>
    </row>
    <row r="39" customFormat="false" ht="88.5" hidden="false" customHeight="true" outlineLevel="0" collapsed="false">
      <c r="A39" s="3" t="n">
        <v>46183</v>
      </c>
      <c r="B39" s="4" t="s">
        <v>52</v>
      </c>
      <c r="C39" s="4" t="s">
        <v>251</v>
      </c>
      <c r="D39" s="4" t="s">
        <v>384</v>
      </c>
      <c r="E39" s="4" t="s">
        <v>385</v>
      </c>
      <c r="F39" s="4" t="s">
        <v>118</v>
      </c>
      <c r="G39" s="4" t="s">
        <v>386</v>
      </c>
      <c r="H39" s="4" t="s">
        <v>58</v>
      </c>
      <c r="I39" s="4" t="s">
        <v>146</v>
      </c>
      <c r="J39" s="4" t="s">
        <v>255</v>
      </c>
      <c r="K39" s="4" t="s">
        <v>27</v>
      </c>
      <c r="L39" s="4" t="s">
        <v>27</v>
      </c>
      <c r="M39" s="4" t="s">
        <v>120</v>
      </c>
      <c r="N39" s="4" t="s">
        <v>27</v>
      </c>
      <c r="O39" s="4" t="s">
        <v>27</v>
      </c>
      <c r="P39" s="4" t="s">
        <v>387</v>
      </c>
      <c r="Q39" s="6" t="n">
        <v>7.5</v>
      </c>
      <c r="R39" s="4" t="s">
        <v>388</v>
      </c>
      <c r="S39" s="4" t="s">
        <v>389</v>
      </c>
      <c r="T39" s="4" t="s">
        <v>390</v>
      </c>
      <c r="U39" s="4" t="s">
        <v>391</v>
      </c>
      <c r="V39" s="4" t="s">
        <v>392</v>
      </c>
      <c r="W39" s="5" t="str">
        <f aca="false">IF(OR(ISNUMBER(SEARCH("gesha",G39)),ISNUMBER(SEARCH("geisha",G39))),"⭐ GESHA","")</f>
        <v/>
      </c>
      <c r="X39" s="4" t="s">
        <v>259</v>
      </c>
    </row>
    <row r="40" customFormat="false" ht="59.25" hidden="false" customHeight="true" outlineLevel="0" collapsed="false">
      <c r="A40" s="3" t="n">
        <v>46186</v>
      </c>
      <c r="B40" s="4" t="s">
        <v>52</v>
      </c>
      <c r="C40" s="4" t="s">
        <v>289</v>
      </c>
      <c r="D40" s="4" t="s">
        <v>393</v>
      </c>
      <c r="E40" s="4" t="s">
        <v>394</v>
      </c>
      <c r="F40" s="4" t="s">
        <v>395</v>
      </c>
      <c r="G40" s="4" t="s">
        <v>348</v>
      </c>
      <c r="H40" s="4" t="s">
        <v>136</v>
      </c>
      <c r="I40" s="4" t="s">
        <v>146</v>
      </c>
      <c r="J40" s="4" t="s">
        <v>281</v>
      </c>
      <c r="K40" s="4" t="s">
        <v>27</v>
      </c>
      <c r="L40" s="4" t="s">
        <v>27</v>
      </c>
      <c r="M40" s="4" t="s">
        <v>27</v>
      </c>
      <c r="N40" s="4" t="s">
        <v>27</v>
      </c>
      <c r="O40" s="4" t="s">
        <v>27</v>
      </c>
      <c r="P40" s="4" t="s">
        <v>307</v>
      </c>
      <c r="Q40" s="6" t="n">
        <v>9.27</v>
      </c>
      <c r="R40" s="4" t="s">
        <v>396</v>
      </c>
      <c r="S40" s="4" t="s">
        <v>397</v>
      </c>
      <c r="T40" s="4" t="s">
        <v>398</v>
      </c>
      <c r="U40" s="4" t="s">
        <v>399</v>
      </c>
      <c r="V40" s="4" t="s">
        <v>400</v>
      </c>
      <c r="W40" s="5" t="str">
        <f aca="false">IF(OR(ISNUMBER(SEARCH("gesha",G40)),ISNUMBER(SEARCH("geisha",G40))),"⭐ GESHA","")</f>
        <v/>
      </c>
      <c r="X40" s="4" t="s">
        <v>301</v>
      </c>
    </row>
    <row r="41" customFormat="false" ht="49.5" hidden="false" customHeight="true" outlineLevel="0" collapsed="false">
      <c r="A41" s="3" t="n">
        <v>46187</v>
      </c>
      <c r="B41" s="4" t="s">
        <v>52</v>
      </c>
      <c r="C41" s="4" t="s">
        <v>401</v>
      </c>
      <c r="D41" s="4" t="s">
        <v>402</v>
      </c>
      <c r="E41" s="4" t="s">
        <v>403</v>
      </c>
      <c r="F41" s="4" t="s">
        <v>118</v>
      </c>
      <c r="G41" s="4" t="s">
        <v>171</v>
      </c>
      <c r="H41" s="4" t="s">
        <v>404</v>
      </c>
      <c r="I41" s="4" t="s">
        <v>405</v>
      </c>
      <c r="J41" s="4" t="s">
        <v>406</v>
      </c>
      <c r="K41" s="4" t="n">
        <v>15</v>
      </c>
      <c r="L41" s="4" t="n">
        <v>210</v>
      </c>
      <c r="M41" s="4" t="s">
        <v>245</v>
      </c>
      <c r="N41" s="4" t="s">
        <v>407</v>
      </c>
      <c r="O41" s="4" t="s">
        <v>408</v>
      </c>
      <c r="P41" s="4" t="s">
        <v>409</v>
      </c>
      <c r="Q41" s="6" t="n">
        <v>15</v>
      </c>
      <c r="R41" s="4" t="s">
        <v>410</v>
      </c>
      <c r="S41" s="4" t="s">
        <v>411</v>
      </c>
      <c r="T41" s="4" t="s">
        <v>412</v>
      </c>
      <c r="U41" s="4" t="s">
        <v>413</v>
      </c>
      <c r="V41" s="4" t="s">
        <v>414</v>
      </c>
      <c r="W41" s="5" t="str">
        <f aca="false">IF(OR(ISNUMBER(SEARCH("gesha",G41)),ISNUMBER(SEARCH("geisha",G41))),"⭐ GESHA","")</f>
        <v>⭐ GESHA</v>
      </c>
      <c r="X41" s="4" t="s">
        <v>415</v>
      </c>
    </row>
    <row r="42" customFormat="false" ht="39.75" hidden="false" customHeight="true" outlineLevel="0" collapsed="false">
      <c r="A42" s="3" t="n">
        <v>46192</v>
      </c>
      <c r="B42" s="4" t="s">
        <v>52</v>
      </c>
      <c r="C42" s="4" t="s">
        <v>416</v>
      </c>
      <c r="D42" s="4" t="s">
        <v>417</v>
      </c>
      <c r="E42" s="4" t="s">
        <v>418</v>
      </c>
      <c r="F42" s="4" t="s">
        <v>419</v>
      </c>
      <c r="G42" s="4" t="s">
        <v>420</v>
      </c>
      <c r="H42" s="4" t="s">
        <v>421</v>
      </c>
      <c r="I42" s="4" t="s">
        <v>30</v>
      </c>
      <c r="J42" s="4" t="s">
        <v>422</v>
      </c>
      <c r="K42" s="4" t="n">
        <v>13</v>
      </c>
      <c r="L42" s="4" t="n">
        <v>190</v>
      </c>
      <c r="M42" s="4" t="s">
        <v>148</v>
      </c>
      <c r="N42" s="4" t="s">
        <v>423</v>
      </c>
      <c r="O42" s="4" t="s">
        <v>27</v>
      </c>
      <c r="P42" s="4" t="s">
        <v>424</v>
      </c>
      <c r="Q42" s="6" t="n">
        <v>13</v>
      </c>
      <c r="R42" s="4" t="s">
        <v>425</v>
      </c>
      <c r="S42" s="4" t="s">
        <v>426</v>
      </c>
      <c r="T42" s="4" t="s">
        <v>427</v>
      </c>
      <c r="U42" s="4" t="s">
        <v>428</v>
      </c>
      <c r="V42" s="4" t="s">
        <v>429</v>
      </c>
      <c r="W42" s="5" t="str">
        <f aca="false">IF(OR(ISNUMBER(SEARCH("gesha",G42)),ISNUMBER(SEARCH("geisha",G42))),"⭐ GESHA","")</f>
        <v/>
      </c>
      <c r="X42" s="4" t="s">
        <v>430</v>
      </c>
    </row>
    <row r="43" customFormat="false" ht="59.25" hidden="false" customHeight="true" outlineLevel="0" collapsed="false">
      <c r="A43" s="3" t="n">
        <v>46192</v>
      </c>
      <c r="B43" s="4" t="s">
        <v>52</v>
      </c>
      <c r="C43" s="4" t="s">
        <v>431</v>
      </c>
      <c r="D43" s="4" t="s">
        <v>432</v>
      </c>
      <c r="E43" s="4" t="s">
        <v>433</v>
      </c>
      <c r="F43" s="4" t="s">
        <v>434</v>
      </c>
      <c r="G43" s="4" t="s">
        <v>171</v>
      </c>
      <c r="H43" s="4" t="s">
        <v>58</v>
      </c>
      <c r="I43" s="4" t="s">
        <v>27</v>
      </c>
      <c r="J43" s="4" t="s">
        <v>435</v>
      </c>
      <c r="K43" s="4" t="n">
        <v>15</v>
      </c>
      <c r="L43" s="4" t="n">
        <v>210</v>
      </c>
      <c r="M43" s="4" t="s">
        <v>245</v>
      </c>
      <c r="N43" s="4" t="s">
        <v>436</v>
      </c>
      <c r="O43" s="4" t="s">
        <v>27</v>
      </c>
      <c r="P43" s="4" t="s">
        <v>437</v>
      </c>
      <c r="Q43" s="6" t="n">
        <v>13</v>
      </c>
      <c r="R43" s="4" t="s">
        <v>438</v>
      </c>
      <c r="S43" s="4" t="s">
        <v>439</v>
      </c>
      <c r="T43" s="4" t="s">
        <v>440</v>
      </c>
      <c r="U43" s="4" t="s">
        <v>441</v>
      </c>
      <c r="V43" s="4" t="s">
        <v>429</v>
      </c>
      <c r="W43" s="5" t="str">
        <f aca="false">IF(OR(ISNUMBER(SEARCH("gesha",G43)),ISNUMBER(SEARCH("geisha",G43))),"⭐ GESHA","")</f>
        <v>⭐ GESHA</v>
      </c>
      <c r="X43" s="4" t="s">
        <v>442</v>
      </c>
    </row>
    <row r="44" customFormat="false" ht="49.5" hidden="false" customHeight="true" outlineLevel="0" collapsed="false">
      <c r="A44" s="3" t="n">
        <v>46194</v>
      </c>
      <c r="B44" s="4" t="s">
        <v>52</v>
      </c>
      <c r="C44" s="4" t="s">
        <v>443</v>
      </c>
      <c r="D44" s="4" t="s">
        <v>444</v>
      </c>
      <c r="E44" s="4" t="s">
        <v>445</v>
      </c>
      <c r="F44" s="4" t="s">
        <v>446</v>
      </c>
      <c r="G44" s="4" t="s">
        <v>447</v>
      </c>
      <c r="H44" s="4" t="s">
        <v>58</v>
      </c>
      <c r="I44" s="4" t="s">
        <v>448</v>
      </c>
      <c r="J44" s="4" t="s">
        <v>449</v>
      </c>
      <c r="K44" s="4" t="n">
        <v>13</v>
      </c>
      <c r="L44" s="4" t="n">
        <v>220</v>
      </c>
      <c r="M44" s="4" t="s">
        <v>450</v>
      </c>
      <c r="N44" s="4" t="s">
        <v>246</v>
      </c>
      <c r="O44" s="4" t="s">
        <v>27</v>
      </c>
      <c r="P44" s="4" t="s">
        <v>149</v>
      </c>
      <c r="Q44" s="6" t="n">
        <v>9.5</v>
      </c>
      <c r="R44" s="4" t="s">
        <v>451</v>
      </c>
      <c r="S44" s="4" t="s">
        <v>452</v>
      </c>
      <c r="T44" s="4" t="s">
        <v>453</v>
      </c>
      <c r="U44" s="4" t="s">
        <v>454</v>
      </c>
      <c r="V44" s="4" t="s">
        <v>429</v>
      </c>
      <c r="W44" s="5" t="str">
        <f aca="false">IF(OR(ISNUMBER(SEARCH("gesha",G44)),ISNUMBER(SEARCH("geisha",G44))),"⭐ GESHA","")</f>
        <v/>
      </c>
      <c r="X44" s="4" t="s">
        <v>455</v>
      </c>
    </row>
    <row r="45" customFormat="false" ht="78.75" hidden="false" customHeight="true" outlineLevel="0" collapsed="false">
      <c r="A45" s="3" t="n">
        <v>46198</v>
      </c>
      <c r="B45" s="4" t="s">
        <v>52</v>
      </c>
      <c r="C45" s="4" t="s">
        <v>456</v>
      </c>
      <c r="D45" s="4" t="s">
        <v>457</v>
      </c>
      <c r="E45" s="4" t="s">
        <v>458</v>
      </c>
      <c r="F45" s="4" t="s">
        <v>266</v>
      </c>
      <c r="G45" s="4" t="s">
        <v>459</v>
      </c>
      <c r="H45" s="4" t="s">
        <v>460</v>
      </c>
      <c r="I45" s="4" t="s">
        <v>461</v>
      </c>
      <c r="J45" s="4" t="s">
        <v>281</v>
      </c>
      <c r="K45" s="4" t="n">
        <v>15</v>
      </c>
      <c r="L45" s="4" t="n">
        <v>225</v>
      </c>
      <c r="M45" s="4" t="s">
        <v>156</v>
      </c>
      <c r="N45" s="4" t="s">
        <v>27</v>
      </c>
      <c r="O45" s="4" t="s">
        <v>27</v>
      </c>
      <c r="P45" s="4" t="s">
        <v>462</v>
      </c>
      <c r="Q45" s="6" t="n">
        <v>9</v>
      </c>
      <c r="R45" s="4" t="s">
        <v>463</v>
      </c>
      <c r="S45" s="4" t="s">
        <v>464</v>
      </c>
      <c r="T45" s="4" t="s">
        <v>465</v>
      </c>
      <c r="U45" s="4" t="s">
        <v>466</v>
      </c>
      <c r="V45" s="4" t="s">
        <v>467</v>
      </c>
      <c r="W45" s="5" t="str">
        <f aca="false">IF(OR(ISNUMBER(SEARCH("gesha",G45)),ISNUMBER(SEARCH("geisha",G45))),"⭐ GESHA","")</f>
        <v/>
      </c>
      <c r="X45" s="4" t="s">
        <v>468</v>
      </c>
    </row>
    <row r="46" customFormat="false" ht="98.25" hidden="false" customHeight="true" outlineLevel="0" collapsed="false">
      <c r="A46" s="3" t="n">
        <v>46200</v>
      </c>
      <c r="B46" s="4" t="s">
        <v>52</v>
      </c>
      <c r="C46" s="4" t="s">
        <v>443</v>
      </c>
      <c r="D46" s="4" t="s">
        <v>469</v>
      </c>
      <c r="E46" s="4" t="s">
        <v>470</v>
      </c>
      <c r="F46" s="4" t="s">
        <v>471</v>
      </c>
      <c r="G46" s="4" t="s">
        <v>472</v>
      </c>
      <c r="H46" s="4" t="s">
        <v>473</v>
      </c>
      <c r="I46" s="4" t="s">
        <v>448</v>
      </c>
      <c r="J46" s="4" t="s">
        <v>449</v>
      </c>
      <c r="K46" s="4" t="n">
        <v>13</v>
      </c>
      <c r="L46" s="4" t="n">
        <v>215</v>
      </c>
      <c r="M46" s="4" t="s">
        <v>474</v>
      </c>
      <c r="N46" s="4" t="s">
        <v>246</v>
      </c>
      <c r="O46" s="4" t="s">
        <v>475</v>
      </c>
      <c r="P46" s="4" t="s">
        <v>149</v>
      </c>
      <c r="Q46" s="6" t="n">
        <v>9.5</v>
      </c>
      <c r="R46" s="4" t="s">
        <v>476</v>
      </c>
      <c r="S46" s="4" t="s">
        <v>477</v>
      </c>
      <c r="T46" s="4" t="s">
        <v>478</v>
      </c>
      <c r="U46" s="4" t="s">
        <v>479</v>
      </c>
      <c r="V46" s="4" t="s">
        <v>429</v>
      </c>
      <c r="W46" s="5" t="str">
        <f aca="false">IF(OR(ISNUMBER(SEARCH("gesha",G46)),ISNUMBER(SEARCH("geisha",G46))),"⭐ GESHA","")</f>
        <v/>
      </c>
      <c r="X46" s="4" t="s">
        <v>455</v>
      </c>
    </row>
    <row r="47" customFormat="false" ht="108" hidden="false" customHeight="true" outlineLevel="0" collapsed="false">
      <c r="A47" s="3" t="n">
        <v>46201</v>
      </c>
      <c r="B47" s="4" t="s">
        <v>52</v>
      </c>
      <c r="C47" s="4" t="s">
        <v>401</v>
      </c>
      <c r="D47" s="4" t="s">
        <v>480</v>
      </c>
      <c r="E47" s="4" t="s">
        <v>27</v>
      </c>
      <c r="F47" s="4" t="s">
        <v>481</v>
      </c>
      <c r="G47" s="4" t="s">
        <v>482</v>
      </c>
      <c r="H47" s="4" t="s">
        <v>483</v>
      </c>
      <c r="I47" s="4" t="s">
        <v>146</v>
      </c>
      <c r="J47" s="4" t="s">
        <v>406</v>
      </c>
      <c r="K47" s="4" t="n">
        <v>15</v>
      </c>
      <c r="L47" s="4" t="n">
        <v>210</v>
      </c>
      <c r="M47" s="4" t="s">
        <v>245</v>
      </c>
      <c r="N47" s="4" t="s">
        <v>484</v>
      </c>
      <c r="O47" s="4" t="s">
        <v>27</v>
      </c>
      <c r="P47" s="4" t="s">
        <v>409</v>
      </c>
      <c r="Q47" s="6" t="n">
        <v>13</v>
      </c>
      <c r="R47" s="4" t="s">
        <v>485</v>
      </c>
      <c r="S47" s="4" t="s">
        <v>486</v>
      </c>
      <c r="T47" s="4" t="s">
        <v>487</v>
      </c>
      <c r="U47" s="4" t="s">
        <v>488</v>
      </c>
      <c r="V47" s="4" t="s">
        <v>489</v>
      </c>
      <c r="W47" s="5" t="str">
        <f aca="false">IF(OR(ISNUMBER(SEARCH("gesha",G47)),ISNUMBER(SEARCH("geisha",G47))),"⭐ GESHA","")</f>
        <v/>
      </c>
      <c r="X47" s="4" t="s">
        <v>415</v>
      </c>
    </row>
    <row r="48" customFormat="false" ht="78.75" hidden="false" customHeight="true" outlineLevel="0" collapsed="false">
      <c r="A48" s="3" t="n">
        <v>46201</v>
      </c>
      <c r="B48" s="4" t="s">
        <v>52</v>
      </c>
      <c r="C48" s="4" t="s">
        <v>167</v>
      </c>
      <c r="D48" s="4" t="s">
        <v>490</v>
      </c>
      <c r="E48" s="4" t="s">
        <v>491</v>
      </c>
      <c r="F48" s="4" t="s">
        <v>492</v>
      </c>
      <c r="G48" s="4" t="s">
        <v>493</v>
      </c>
      <c r="H48" s="4" t="s">
        <v>494</v>
      </c>
      <c r="I48" s="4" t="s">
        <v>146</v>
      </c>
      <c r="J48" s="4" t="s">
        <v>495</v>
      </c>
      <c r="K48" s="4" t="n">
        <v>15</v>
      </c>
      <c r="L48" s="4" t="n">
        <v>240</v>
      </c>
      <c r="M48" s="4" t="s">
        <v>60</v>
      </c>
      <c r="N48" s="4" t="s">
        <v>317</v>
      </c>
      <c r="O48" s="4" t="s">
        <v>496</v>
      </c>
      <c r="P48" s="4" t="s">
        <v>174</v>
      </c>
      <c r="Q48" s="6" t="n">
        <v>14</v>
      </c>
      <c r="R48" s="4" t="s">
        <v>497</v>
      </c>
      <c r="S48" s="4" t="s">
        <v>498</v>
      </c>
      <c r="T48" s="4" t="s">
        <v>499</v>
      </c>
      <c r="U48" s="4" t="s">
        <v>500</v>
      </c>
      <c r="V48" s="4" t="s">
        <v>501</v>
      </c>
      <c r="W48" s="5" t="str">
        <f aca="false">IF(OR(ISNUMBER(SEARCH("gesha",G48)),ISNUMBER(SEARCH("geisha",G48))),"⭐ GESHA","")</f>
        <v/>
      </c>
      <c r="X48" s="4" t="s">
        <v>178</v>
      </c>
    </row>
    <row r="49" customFormat="false" ht="165.75" hidden="false" customHeight="true" outlineLevel="0" collapsed="false">
      <c r="A49" s="3" t="n">
        <v>46203</v>
      </c>
      <c r="B49" s="4" t="s">
        <v>52</v>
      </c>
      <c r="C49" s="4" t="s">
        <v>502</v>
      </c>
      <c r="D49" s="4" t="s">
        <v>503</v>
      </c>
      <c r="E49" s="4" t="s">
        <v>504</v>
      </c>
      <c r="F49" s="4" t="s">
        <v>505</v>
      </c>
      <c r="G49" s="4" t="s">
        <v>506</v>
      </c>
      <c r="H49" s="4" t="s">
        <v>507</v>
      </c>
      <c r="I49" s="4" t="s">
        <v>405</v>
      </c>
      <c r="J49" s="4" t="s">
        <v>508</v>
      </c>
      <c r="K49" s="4" t="s">
        <v>509</v>
      </c>
      <c r="L49" s="4" t="s">
        <v>509</v>
      </c>
      <c r="M49" s="4" t="s">
        <v>509</v>
      </c>
      <c r="N49" s="4" t="s">
        <v>509</v>
      </c>
      <c r="O49" s="4" t="s">
        <v>27</v>
      </c>
      <c r="P49" s="4" t="s">
        <v>509</v>
      </c>
      <c r="Q49" s="6" t="n">
        <v>6</v>
      </c>
      <c r="R49" s="4" t="s">
        <v>510</v>
      </c>
      <c r="S49" s="4" t="s">
        <v>511</v>
      </c>
      <c r="T49" s="4" t="s">
        <v>512</v>
      </c>
      <c r="U49" s="4" t="s">
        <v>513</v>
      </c>
      <c r="V49" s="4" t="s">
        <v>400</v>
      </c>
      <c r="W49" s="5" t="str">
        <f aca="false">IF(OR(ISNUMBER(SEARCH("gesha",G49)),ISNUMBER(SEARCH("geisha",G49))),"⭐ GESHA","")</f>
        <v/>
      </c>
      <c r="X49" s="4" t="s">
        <v>514</v>
      </c>
    </row>
    <row r="50" customFormat="false" ht="49.5" hidden="false" customHeight="true" outlineLevel="0" collapsed="false">
      <c r="A50" s="3" t="n">
        <v>46204</v>
      </c>
      <c r="B50" s="4" t="s">
        <v>52</v>
      </c>
      <c r="C50" s="4" t="s">
        <v>53</v>
      </c>
      <c r="D50" s="4" t="s">
        <v>515</v>
      </c>
      <c r="E50" s="4" t="s">
        <v>516</v>
      </c>
      <c r="F50" s="4" t="s">
        <v>517</v>
      </c>
      <c r="G50" s="4" t="s">
        <v>518</v>
      </c>
      <c r="H50" s="4" t="s">
        <v>58</v>
      </c>
      <c r="I50" s="4" t="s">
        <v>30</v>
      </c>
      <c r="J50" s="4" t="s">
        <v>519</v>
      </c>
      <c r="K50" s="4" t="n">
        <v>16</v>
      </c>
      <c r="L50" s="4" t="n">
        <v>240</v>
      </c>
      <c r="M50" s="4" t="s">
        <v>156</v>
      </c>
      <c r="N50" s="4" t="s">
        <v>520</v>
      </c>
      <c r="O50" s="4" t="s">
        <v>521</v>
      </c>
      <c r="P50" s="4" t="s">
        <v>522</v>
      </c>
      <c r="Q50" s="6" t="n">
        <v>9</v>
      </c>
      <c r="R50" s="4" t="s">
        <v>523</v>
      </c>
      <c r="S50" s="4" t="s">
        <v>524</v>
      </c>
      <c r="T50" s="4" t="s">
        <v>525</v>
      </c>
      <c r="U50" s="4" t="s">
        <v>526</v>
      </c>
      <c r="V50" s="4" t="s">
        <v>527</v>
      </c>
      <c r="W50" s="5" t="str">
        <f aca="false">IF(OR(ISNUMBER(SEARCH("gesha",G50)),ISNUMBER(SEARCH("geisha",G50))),"⭐ GESHA","")</f>
        <v/>
      </c>
      <c r="X50" s="4" t="s">
        <v>68</v>
      </c>
    </row>
    <row r="51" customFormat="false" ht="117.75" hidden="false" customHeight="true" outlineLevel="0" collapsed="false">
      <c r="A51" s="3" t="n">
        <v>46206</v>
      </c>
      <c r="B51" s="4" t="s">
        <v>52</v>
      </c>
      <c r="C51" s="4" t="s">
        <v>370</v>
      </c>
      <c r="D51" s="4" t="s">
        <v>528</v>
      </c>
      <c r="E51" s="4" t="s">
        <v>529</v>
      </c>
      <c r="F51" s="4" t="s">
        <v>118</v>
      </c>
      <c r="G51" s="4" t="s">
        <v>530</v>
      </c>
      <c r="H51" s="4" t="s">
        <v>58</v>
      </c>
      <c r="I51" s="4" t="s">
        <v>146</v>
      </c>
      <c r="J51" s="4" t="s">
        <v>531</v>
      </c>
      <c r="K51" s="4" t="n">
        <v>15</v>
      </c>
      <c r="L51" s="4" t="n">
        <v>240</v>
      </c>
      <c r="M51" s="4" t="s">
        <v>60</v>
      </c>
      <c r="N51" s="4" t="s">
        <v>532</v>
      </c>
      <c r="O51" s="4" t="s">
        <v>533</v>
      </c>
      <c r="P51" s="4" t="s">
        <v>534</v>
      </c>
      <c r="Q51" s="6" t="n">
        <v>9</v>
      </c>
      <c r="R51" s="4" t="s">
        <v>535</v>
      </c>
      <c r="S51" s="4" t="s">
        <v>536</v>
      </c>
      <c r="T51" s="4" t="s">
        <v>537</v>
      </c>
      <c r="U51" s="4" t="s">
        <v>538</v>
      </c>
      <c r="V51" s="4" t="s">
        <v>539</v>
      </c>
      <c r="W51" s="5" t="str">
        <f aca="false">IF(OR(ISNUMBER(SEARCH("gesha",G51)),ISNUMBER(SEARCH("geisha",G51))),"⭐ GESHA","")</f>
        <v/>
      </c>
      <c r="X51" s="4" t="s">
        <v>383</v>
      </c>
    </row>
    <row r="52" customFormat="false" ht="88.5" hidden="false" customHeight="true" outlineLevel="0" collapsed="false">
      <c r="A52" s="3" t="n">
        <v>46207</v>
      </c>
      <c r="B52" s="4" t="s">
        <v>52</v>
      </c>
      <c r="C52" s="4" t="s">
        <v>540</v>
      </c>
      <c r="D52" s="4" t="s">
        <v>541</v>
      </c>
      <c r="E52" s="4" t="s">
        <v>542</v>
      </c>
      <c r="F52" s="4" t="s">
        <v>543</v>
      </c>
      <c r="G52" s="4" t="s">
        <v>91</v>
      </c>
      <c r="H52" s="4" t="s">
        <v>544</v>
      </c>
      <c r="I52" s="4" t="s">
        <v>146</v>
      </c>
      <c r="J52" s="4" t="s">
        <v>545</v>
      </c>
      <c r="K52" s="4" t="n">
        <v>15</v>
      </c>
      <c r="L52" s="4" t="n">
        <v>240</v>
      </c>
      <c r="M52" s="4" t="s">
        <v>60</v>
      </c>
      <c r="N52" s="4" t="s">
        <v>546</v>
      </c>
      <c r="O52" s="4" t="s">
        <v>547</v>
      </c>
      <c r="P52" s="4" t="s">
        <v>548</v>
      </c>
      <c r="Q52" s="6" t="n">
        <v>9</v>
      </c>
      <c r="R52" s="4" t="s">
        <v>549</v>
      </c>
      <c r="S52" s="4" t="s">
        <v>550</v>
      </c>
      <c r="T52" s="4" t="s">
        <v>551</v>
      </c>
      <c r="U52" s="4" t="s">
        <v>552</v>
      </c>
      <c r="V52" s="4" t="s">
        <v>553</v>
      </c>
      <c r="W52" s="5" t="str">
        <f aca="false">IF(OR(ISNUMBER(SEARCH("gesha",G52)),ISNUMBER(SEARCH("geisha",G52))),"⭐ GESHA","")</f>
        <v/>
      </c>
      <c r="X52" s="4" t="s">
        <v>554</v>
      </c>
    </row>
    <row r="53" customFormat="false" ht="117.75" hidden="false" customHeight="true" outlineLevel="0" collapsed="false">
      <c r="A53" s="3" t="n">
        <v>46208</v>
      </c>
      <c r="B53" s="4" t="s">
        <v>52</v>
      </c>
      <c r="C53" s="4" t="s">
        <v>555</v>
      </c>
      <c r="D53" s="4" t="s">
        <v>556</v>
      </c>
      <c r="E53" s="4" t="s">
        <v>557</v>
      </c>
      <c r="F53" s="4" t="s">
        <v>558</v>
      </c>
      <c r="G53" s="4" t="s">
        <v>171</v>
      </c>
      <c r="H53" s="4" t="s">
        <v>29</v>
      </c>
      <c r="I53" s="4" t="s">
        <v>30</v>
      </c>
      <c r="J53" s="4" t="s">
        <v>559</v>
      </c>
      <c r="K53" s="4" t="n">
        <v>15</v>
      </c>
      <c r="L53" s="4" t="n">
        <v>247</v>
      </c>
      <c r="M53" s="4" t="s">
        <v>474</v>
      </c>
      <c r="N53" s="4" t="s">
        <v>560</v>
      </c>
      <c r="O53" s="4" t="s">
        <v>27</v>
      </c>
      <c r="P53" s="4" t="s">
        <v>307</v>
      </c>
      <c r="Q53" s="6" t="n">
        <v>19</v>
      </c>
      <c r="R53" s="4" t="s">
        <v>561</v>
      </c>
      <c r="S53" s="4" t="s">
        <v>562</v>
      </c>
      <c r="T53" s="4" t="s">
        <v>563</v>
      </c>
      <c r="U53" s="4" t="s">
        <v>564</v>
      </c>
      <c r="V53" s="4" t="s">
        <v>565</v>
      </c>
      <c r="W53" s="5" t="str">
        <f aca="false">IF(OR(ISNUMBER(SEARCH("gesha",G53)),ISNUMBER(SEARCH("geisha",G53))),"⭐ GESHA","")</f>
        <v>⭐ GESHA</v>
      </c>
      <c r="X53" s="4" t="s">
        <v>566</v>
      </c>
    </row>
    <row r="54" customFormat="false" ht="88.5" hidden="false" customHeight="true" outlineLevel="0" collapsed="false">
      <c r="A54" s="3" t="n">
        <v>46208</v>
      </c>
      <c r="B54" s="4" t="s">
        <v>52</v>
      </c>
      <c r="C54" s="4" t="s">
        <v>555</v>
      </c>
      <c r="D54" s="4" t="s">
        <v>567</v>
      </c>
      <c r="E54" s="4" t="s">
        <v>542</v>
      </c>
      <c r="F54" s="4" t="s">
        <v>568</v>
      </c>
      <c r="G54" s="4" t="s">
        <v>569</v>
      </c>
      <c r="H54" s="4" t="s">
        <v>58</v>
      </c>
      <c r="I54" s="4" t="s">
        <v>30</v>
      </c>
      <c r="J54" s="4" t="s">
        <v>559</v>
      </c>
      <c r="K54" s="4" t="n">
        <v>15</v>
      </c>
      <c r="L54" s="4" t="n">
        <v>244</v>
      </c>
      <c r="M54" s="4" t="s">
        <v>570</v>
      </c>
      <c r="N54" s="4" t="s">
        <v>571</v>
      </c>
      <c r="O54" s="4" t="s">
        <v>27</v>
      </c>
      <c r="P54" s="4" t="s">
        <v>307</v>
      </c>
      <c r="Q54" s="6" t="n">
        <v>10</v>
      </c>
      <c r="R54" s="4" t="s">
        <v>572</v>
      </c>
      <c r="S54" s="4" t="s">
        <v>573</v>
      </c>
      <c r="T54" s="4" t="s">
        <v>574</v>
      </c>
      <c r="U54" s="4" t="s">
        <v>575</v>
      </c>
      <c r="V54" s="4" t="s">
        <v>576</v>
      </c>
      <c r="W54" s="5" t="str">
        <f aca="false">IF(OR(ISNUMBER(SEARCH("gesha",G54)),ISNUMBER(SEARCH("geisha",G54))),"⭐ GESHA","")</f>
        <v/>
      </c>
      <c r="X54" s="4" t="s">
        <v>566</v>
      </c>
    </row>
    <row r="55" customFormat="false" ht="88.5" hidden="false" customHeight="true" outlineLevel="0" collapsed="false">
      <c r="A55" s="3" t="n">
        <v>46208</v>
      </c>
      <c r="B55" s="4" t="s">
        <v>52</v>
      </c>
      <c r="C55" s="4" t="s">
        <v>577</v>
      </c>
      <c r="D55" s="4" t="s">
        <v>578</v>
      </c>
      <c r="E55" s="4" t="s">
        <v>27</v>
      </c>
      <c r="F55" s="4" t="s">
        <v>579</v>
      </c>
      <c r="G55" s="4" t="s">
        <v>196</v>
      </c>
      <c r="H55" s="4" t="s">
        <v>29</v>
      </c>
      <c r="I55" s="4" t="s">
        <v>41</v>
      </c>
      <c r="J55" s="4" t="s">
        <v>580</v>
      </c>
      <c r="K55" s="4" t="n">
        <v>15</v>
      </c>
      <c r="L55" s="4" t="n">
        <v>225</v>
      </c>
      <c r="M55" s="4" t="s">
        <v>156</v>
      </c>
      <c r="N55" s="4" t="s">
        <v>325</v>
      </c>
      <c r="O55" s="4" t="s">
        <v>27</v>
      </c>
      <c r="P55" s="4" t="s">
        <v>581</v>
      </c>
      <c r="Q55" s="6" t="n">
        <v>9.9</v>
      </c>
      <c r="R55" s="4" t="s">
        <v>582</v>
      </c>
      <c r="S55" s="4" t="s">
        <v>583</v>
      </c>
      <c r="T55" s="4" t="s">
        <v>584</v>
      </c>
      <c r="U55" s="4" t="s">
        <v>585</v>
      </c>
      <c r="V55" s="4" t="s">
        <v>586</v>
      </c>
      <c r="W55" s="5" t="str">
        <f aca="false">IF(OR(ISNUMBER(SEARCH("gesha",G55)),ISNUMBER(SEARCH("geisha",G55))),"⭐ GESHA","")</f>
        <v>⭐ GESHA</v>
      </c>
      <c r="X55" s="4" t="s">
        <v>587</v>
      </c>
    </row>
    <row r="56" customFormat="false" ht="108" hidden="false" customHeight="true" outlineLevel="0" collapsed="false">
      <c r="A56" s="3" t="n">
        <v>46209</v>
      </c>
      <c r="B56" s="4" t="s">
        <v>52</v>
      </c>
      <c r="C56" s="4" t="s">
        <v>322</v>
      </c>
      <c r="D56" s="4" t="s">
        <v>588</v>
      </c>
      <c r="E56" s="4" t="s">
        <v>589</v>
      </c>
      <c r="F56" s="4" t="s">
        <v>266</v>
      </c>
      <c r="G56" s="4" t="s">
        <v>590</v>
      </c>
      <c r="H56" s="4" t="s">
        <v>272</v>
      </c>
      <c r="I56" s="4" t="s">
        <v>30</v>
      </c>
      <c r="J56" s="4" t="s">
        <v>591</v>
      </c>
      <c r="K56" s="4" t="n">
        <v>15</v>
      </c>
      <c r="L56" s="4" t="n">
        <v>225</v>
      </c>
      <c r="M56" s="4" t="s">
        <v>156</v>
      </c>
      <c r="N56" s="4" t="s">
        <v>592</v>
      </c>
      <c r="O56" s="4" t="s">
        <v>27</v>
      </c>
      <c r="P56" s="4" t="s">
        <v>593</v>
      </c>
      <c r="Q56" s="6" t="n">
        <v>11</v>
      </c>
      <c r="R56" s="4" t="s">
        <v>594</v>
      </c>
      <c r="S56" s="4" t="s">
        <v>595</v>
      </c>
      <c r="T56" s="4" t="s">
        <v>596</v>
      </c>
      <c r="U56" s="4" t="s">
        <v>597</v>
      </c>
      <c r="V56" s="4" t="s">
        <v>598</v>
      </c>
      <c r="W56" s="5" t="str">
        <f aca="false">IF(OR(ISNUMBER(SEARCH("gesha",G56)),ISNUMBER(SEARCH("geisha",G56))),"⭐ GESHA","")</f>
        <v/>
      </c>
      <c r="X56" s="4" t="s">
        <v>331</v>
      </c>
    </row>
    <row r="57" customFormat="false" ht="108" hidden="false" customHeight="true" outlineLevel="0" collapsed="false">
      <c r="A57" s="3" t="n">
        <v>46209</v>
      </c>
      <c r="B57" s="4" t="s">
        <v>52</v>
      </c>
      <c r="C57" s="4" t="s">
        <v>322</v>
      </c>
      <c r="D57" s="4" t="s">
        <v>599</v>
      </c>
      <c r="E57" s="4" t="s">
        <v>600</v>
      </c>
      <c r="F57" s="4" t="s">
        <v>266</v>
      </c>
      <c r="G57" s="4" t="s">
        <v>601</v>
      </c>
      <c r="H57" s="4" t="s">
        <v>602</v>
      </c>
      <c r="I57" s="4" t="s">
        <v>30</v>
      </c>
      <c r="J57" s="4" t="s">
        <v>591</v>
      </c>
      <c r="K57" s="4" t="n">
        <v>15</v>
      </c>
      <c r="L57" s="4" t="n">
        <v>225</v>
      </c>
      <c r="M57" s="4" t="s">
        <v>156</v>
      </c>
      <c r="N57" s="4" t="s">
        <v>592</v>
      </c>
      <c r="O57" s="4" t="s">
        <v>27</v>
      </c>
      <c r="P57" s="4" t="s">
        <v>593</v>
      </c>
      <c r="Q57" s="6" t="n">
        <v>9</v>
      </c>
      <c r="R57" s="4" t="s">
        <v>603</v>
      </c>
      <c r="S57" s="4" t="s">
        <v>604</v>
      </c>
      <c r="T57" s="4" t="s">
        <v>605</v>
      </c>
      <c r="U57" s="4" t="s">
        <v>606</v>
      </c>
      <c r="V57" s="4" t="s">
        <v>598</v>
      </c>
      <c r="W57" s="5" t="str">
        <f aca="false">IF(OR(ISNUMBER(SEARCH("gesha",G57)),ISNUMBER(SEARCH("geisha",G57))),"⭐ GESHA","")</f>
        <v/>
      </c>
      <c r="X57" s="4" t="s">
        <v>331</v>
      </c>
    </row>
    <row r="58" customFormat="false" ht="78.75" hidden="false" customHeight="true" outlineLevel="0" collapsed="false">
      <c r="A58" s="3" t="n">
        <v>46210</v>
      </c>
      <c r="B58" s="4" t="s">
        <v>52</v>
      </c>
      <c r="C58" s="4" t="s">
        <v>607</v>
      </c>
      <c r="D58" s="4" t="s">
        <v>608</v>
      </c>
      <c r="E58" s="4" t="s">
        <v>609</v>
      </c>
      <c r="F58" s="4" t="s">
        <v>610</v>
      </c>
      <c r="G58" s="4" t="s">
        <v>171</v>
      </c>
      <c r="H58" s="4" t="s">
        <v>404</v>
      </c>
      <c r="I58" s="4" t="s">
        <v>30</v>
      </c>
      <c r="J58" s="4" t="s">
        <v>611</v>
      </c>
      <c r="K58" s="4" t="n">
        <v>13.5</v>
      </c>
      <c r="L58" s="4" t="n">
        <v>200</v>
      </c>
      <c r="M58" s="4" t="s">
        <v>612</v>
      </c>
      <c r="N58" s="4" t="s">
        <v>613</v>
      </c>
      <c r="O58" s="4" t="s">
        <v>614</v>
      </c>
      <c r="P58" s="4" t="s">
        <v>615</v>
      </c>
      <c r="Q58" s="6" t="n">
        <v>15</v>
      </c>
      <c r="R58" s="4" t="s">
        <v>616</v>
      </c>
      <c r="S58" s="4" t="s">
        <v>617</v>
      </c>
      <c r="T58" s="4" t="s">
        <v>618</v>
      </c>
      <c r="U58" s="4" t="s">
        <v>619</v>
      </c>
      <c r="V58" s="4" t="s">
        <v>620</v>
      </c>
      <c r="W58" s="5" t="str">
        <f aca="false">IF(OR(ISNUMBER(SEARCH("gesha",G58)),ISNUMBER(SEARCH("geisha",G58))),"⭐ GESHA","")</f>
        <v>⭐ GESHA</v>
      </c>
      <c r="X58" s="4" t="s">
        <v>621</v>
      </c>
    </row>
    <row r="59" customFormat="false" ht="127.5" hidden="false" customHeight="true" outlineLevel="0" collapsed="false">
      <c r="A59" s="3" t="n">
        <v>46211</v>
      </c>
      <c r="B59" s="4" t="s">
        <v>52</v>
      </c>
      <c r="C59" s="4" t="s">
        <v>622</v>
      </c>
      <c r="D59" s="4" t="s">
        <v>623</v>
      </c>
      <c r="E59" s="4" t="s">
        <v>624</v>
      </c>
      <c r="F59" s="4" t="s">
        <v>625</v>
      </c>
      <c r="G59" s="4" t="s">
        <v>171</v>
      </c>
      <c r="H59" s="4" t="s">
        <v>29</v>
      </c>
      <c r="I59" s="4" t="s">
        <v>27</v>
      </c>
      <c r="J59" s="4" t="s">
        <v>626</v>
      </c>
      <c r="K59" s="4" t="n">
        <v>13.5</v>
      </c>
      <c r="L59" s="4" t="n">
        <v>180</v>
      </c>
      <c r="M59" s="4" t="s">
        <v>627</v>
      </c>
      <c r="N59" s="4" t="s">
        <v>628</v>
      </c>
      <c r="O59" s="4" t="s">
        <v>629</v>
      </c>
      <c r="P59" s="4" t="s">
        <v>630</v>
      </c>
      <c r="Q59" s="6" t="n">
        <v>16</v>
      </c>
      <c r="R59" s="4" t="s">
        <v>631</v>
      </c>
      <c r="S59" s="4" t="s">
        <v>632</v>
      </c>
      <c r="T59" s="4" t="s">
        <v>633</v>
      </c>
      <c r="U59" s="4" t="s">
        <v>634</v>
      </c>
      <c r="V59" s="4" t="s">
        <v>635</v>
      </c>
      <c r="W59" s="5" t="str">
        <f aca="false">IF(OR(ISNUMBER(SEARCH("gesha",G59)),ISNUMBER(SEARCH("geisha",G59))),"⭐ GESHA","")</f>
        <v>⭐ GESHA</v>
      </c>
      <c r="X59" s="4" t="s">
        <v>636</v>
      </c>
    </row>
    <row r="60" customFormat="false" ht="59.25" hidden="false" customHeight="true" outlineLevel="0" collapsed="false">
      <c r="A60" s="3" t="n">
        <v>46211</v>
      </c>
      <c r="B60" s="4" t="s">
        <v>52</v>
      </c>
      <c r="C60" s="4" t="s">
        <v>251</v>
      </c>
      <c r="D60" s="4" t="s">
        <v>637</v>
      </c>
      <c r="E60" s="4" t="s">
        <v>638</v>
      </c>
      <c r="F60" s="4" t="s">
        <v>639</v>
      </c>
      <c r="G60" s="4" t="s">
        <v>640</v>
      </c>
      <c r="H60" s="4" t="s">
        <v>29</v>
      </c>
      <c r="I60" s="4" t="s">
        <v>146</v>
      </c>
      <c r="J60" s="4" t="s">
        <v>255</v>
      </c>
      <c r="K60" s="4" t="s">
        <v>27</v>
      </c>
      <c r="L60" s="4" t="s">
        <v>27</v>
      </c>
      <c r="M60" s="4" t="s">
        <v>120</v>
      </c>
      <c r="N60" s="4" t="s">
        <v>61</v>
      </c>
      <c r="O60" s="4" t="s">
        <v>27</v>
      </c>
      <c r="P60" s="4" t="s">
        <v>387</v>
      </c>
      <c r="Q60" s="6" t="n">
        <v>8.5</v>
      </c>
      <c r="R60" s="4" t="s">
        <v>641</v>
      </c>
      <c r="S60" s="4" t="s">
        <v>642</v>
      </c>
      <c r="T60" s="4" t="s">
        <v>643</v>
      </c>
      <c r="U60" s="4" t="s">
        <v>644</v>
      </c>
      <c r="V60" s="4" t="s">
        <v>645</v>
      </c>
      <c r="W60" s="5" t="str">
        <f aca="false">IF(OR(ISNUMBER(SEARCH("gesha",G60)),ISNUMBER(SEARCH("geisha",G60))),"⭐ GESHA","")</f>
        <v/>
      </c>
      <c r="X60" s="4" t="s">
        <v>259</v>
      </c>
    </row>
    <row r="61" customFormat="false" ht="175.5" hidden="false" customHeight="true" outlineLevel="0" collapsed="false">
      <c r="A61" s="3" t="n">
        <v>46212</v>
      </c>
      <c r="B61" s="4" t="s">
        <v>52</v>
      </c>
      <c r="C61" s="4" t="s">
        <v>646</v>
      </c>
      <c r="D61" s="4" t="s">
        <v>647</v>
      </c>
      <c r="E61" s="4" t="s">
        <v>648</v>
      </c>
      <c r="F61" s="4" t="s">
        <v>118</v>
      </c>
      <c r="G61" s="4" t="s">
        <v>171</v>
      </c>
      <c r="H61" s="4" t="s">
        <v>58</v>
      </c>
      <c r="I61" s="4" t="s">
        <v>30</v>
      </c>
      <c r="J61" s="4" t="s">
        <v>649</v>
      </c>
      <c r="K61" s="4" t="n">
        <v>15</v>
      </c>
      <c r="L61" s="4" t="n">
        <v>232</v>
      </c>
      <c r="M61" s="4" t="s">
        <v>650</v>
      </c>
      <c r="N61" s="4" t="s">
        <v>651</v>
      </c>
      <c r="O61" s="4" t="s">
        <v>652</v>
      </c>
      <c r="P61" s="4" t="s">
        <v>326</v>
      </c>
      <c r="Q61" s="6" t="n">
        <v>21</v>
      </c>
      <c r="R61" s="4" t="s">
        <v>653</v>
      </c>
      <c r="S61" s="4" t="s">
        <v>654</v>
      </c>
      <c r="T61" s="4" t="s">
        <v>655</v>
      </c>
      <c r="U61" s="4" t="s">
        <v>656</v>
      </c>
      <c r="V61" s="4" t="s">
        <v>657</v>
      </c>
      <c r="W61" s="5" t="str">
        <f aca="false">IF(OR(ISNUMBER(SEARCH("gesha",G61)),ISNUMBER(SEARCH("geisha",G61))),"⭐ GESHA","")</f>
        <v>⭐ GESHA</v>
      </c>
      <c r="X61" s="4" t="s">
        <v>658</v>
      </c>
    </row>
    <row r="62" customFormat="false" ht="59.25" hidden="false" customHeight="true" outlineLevel="0" collapsed="false">
      <c r="A62" s="3" t="n">
        <v>46213</v>
      </c>
      <c r="B62" s="4" t="s">
        <v>52</v>
      </c>
      <c r="C62" s="4" t="s">
        <v>540</v>
      </c>
      <c r="D62" s="4" t="s">
        <v>659</v>
      </c>
      <c r="E62" s="4" t="s">
        <v>660</v>
      </c>
      <c r="F62" s="4" t="s">
        <v>118</v>
      </c>
      <c r="G62" s="4" t="s">
        <v>661</v>
      </c>
      <c r="H62" s="4" t="s">
        <v>662</v>
      </c>
      <c r="I62" s="4" t="s">
        <v>146</v>
      </c>
      <c r="J62" s="4" t="s">
        <v>545</v>
      </c>
      <c r="K62" s="4" t="s">
        <v>27</v>
      </c>
      <c r="L62" s="4" t="s">
        <v>27</v>
      </c>
      <c r="M62" s="4" t="s">
        <v>27</v>
      </c>
      <c r="N62" s="4" t="s">
        <v>27</v>
      </c>
      <c r="O62" s="4" t="s">
        <v>27</v>
      </c>
      <c r="P62" s="4" t="s">
        <v>663</v>
      </c>
      <c r="Q62" s="6" t="n">
        <v>9</v>
      </c>
      <c r="R62" s="4" t="s">
        <v>664</v>
      </c>
      <c r="S62" s="4" t="s">
        <v>665</v>
      </c>
      <c r="T62" s="4" t="s">
        <v>666</v>
      </c>
      <c r="U62" s="4" t="s">
        <v>667</v>
      </c>
      <c r="V62" s="4" t="s">
        <v>400</v>
      </c>
      <c r="W62" s="5" t="str">
        <f aca="false">IF(OR(ISNUMBER(SEARCH("gesha",G62)),ISNUMBER(SEARCH("geisha",G62))),"⭐ GESHA","")</f>
        <v/>
      </c>
      <c r="X62" s="4" t="s">
        <v>554</v>
      </c>
    </row>
    <row r="63" customFormat="false" ht="175.5" hidden="false" customHeight="true" outlineLevel="0" collapsed="false">
      <c r="A63" s="7" t="n">
        <v>46214</v>
      </c>
      <c r="B63" s="8" t="s">
        <v>52</v>
      </c>
      <c r="C63" s="8" t="s">
        <v>668</v>
      </c>
      <c r="D63" s="8" t="s">
        <v>669</v>
      </c>
      <c r="E63" s="8" t="s">
        <v>670</v>
      </c>
      <c r="F63" s="8" t="s">
        <v>671</v>
      </c>
      <c r="G63" s="8" t="s">
        <v>196</v>
      </c>
      <c r="H63" s="8" t="s">
        <v>74</v>
      </c>
      <c r="I63" s="8" t="s">
        <v>146</v>
      </c>
      <c r="J63" s="8" t="s">
        <v>672</v>
      </c>
      <c r="K63" s="8" t="n">
        <v>15</v>
      </c>
      <c r="L63" s="8" t="n">
        <v>225</v>
      </c>
      <c r="M63" s="8" t="s">
        <v>156</v>
      </c>
      <c r="N63" s="8" t="s">
        <v>673</v>
      </c>
      <c r="O63" s="8" t="s">
        <v>27</v>
      </c>
      <c r="P63" s="8" t="s">
        <v>282</v>
      </c>
      <c r="Q63" s="8" t="n">
        <v>10</v>
      </c>
      <c r="R63" s="8" t="s">
        <v>674</v>
      </c>
      <c r="S63" s="8" t="s">
        <v>675</v>
      </c>
      <c r="T63" s="8" t="s">
        <v>676</v>
      </c>
      <c r="U63" s="8" t="s">
        <v>677</v>
      </c>
      <c r="V63" s="8" t="s">
        <v>678</v>
      </c>
      <c r="W63" s="9" t="str">
        <f aca="false">IF(OR(ISNUMBER(SEARCH("gesha",G63)),ISNUMBER(SEARCH("geisha",G63))),"⭐ GESHA","")</f>
        <v>⭐ GESHA</v>
      </c>
      <c r="X63" s="8" t="s">
        <v>679</v>
      </c>
    </row>
    <row r="64" customFormat="false" ht="129.75" hidden="false" customHeight="true" outlineLevel="0" collapsed="false">
      <c r="A64" s="10" t="n">
        <v>46215</v>
      </c>
      <c r="B64" s="11" t="s">
        <v>52</v>
      </c>
      <c r="C64" s="11" t="s">
        <v>322</v>
      </c>
      <c r="D64" s="11" t="s">
        <v>680</v>
      </c>
      <c r="E64" s="11" t="s">
        <v>589</v>
      </c>
      <c r="F64" s="11" t="s">
        <v>266</v>
      </c>
      <c r="G64" s="11" t="s">
        <v>681</v>
      </c>
      <c r="H64" s="11" t="s">
        <v>58</v>
      </c>
      <c r="I64" s="11" t="s">
        <v>146</v>
      </c>
      <c r="J64" s="11" t="s">
        <v>591</v>
      </c>
      <c r="K64" s="11" t="s">
        <v>682</v>
      </c>
      <c r="L64" s="11" t="s">
        <v>683</v>
      </c>
      <c r="M64" s="11" t="s">
        <v>156</v>
      </c>
      <c r="N64" s="11" t="s">
        <v>684</v>
      </c>
      <c r="O64" s="11" t="s">
        <v>27</v>
      </c>
      <c r="P64" s="11" t="s">
        <v>685</v>
      </c>
      <c r="Q64" s="11" t="s">
        <v>686</v>
      </c>
      <c r="R64" s="11" t="s">
        <v>687</v>
      </c>
      <c r="S64" s="11" t="s">
        <v>688</v>
      </c>
      <c r="T64" s="11" t="s">
        <v>689</v>
      </c>
      <c r="U64" s="11" t="s">
        <v>690</v>
      </c>
      <c r="V64" s="11" t="s">
        <v>691</v>
      </c>
      <c r="W64" s="11" t="str">
        <f aca="false">IF(OR(ISNUMBER(SEARCH("gesha",G64)),ISNUMBER(SEARCH("geisha",G64))),"⭐ GESHA","")</f>
        <v/>
      </c>
      <c r="X64" s="11" t="s">
        <v>331</v>
      </c>
    </row>
    <row r="65" customFormat="false" ht="185.25" hidden="false" customHeight="true" outlineLevel="0" collapsed="false">
      <c r="A65" s="12" t="n">
        <v>46217</v>
      </c>
      <c r="B65" s="13" t="s">
        <v>52</v>
      </c>
      <c r="C65" s="13" t="s">
        <v>668</v>
      </c>
      <c r="D65" s="13" t="s">
        <v>692</v>
      </c>
      <c r="E65" s="13" t="s">
        <v>693</v>
      </c>
      <c r="F65" s="13" t="s">
        <v>694</v>
      </c>
      <c r="G65" s="13" t="s">
        <v>196</v>
      </c>
      <c r="H65" s="13" t="s">
        <v>58</v>
      </c>
      <c r="I65" s="13" t="s">
        <v>146</v>
      </c>
      <c r="J65" s="13" t="s">
        <v>695</v>
      </c>
      <c r="K65" s="13" t="n">
        <v>12.5</v>
      </c>
      <c r="L65" s="13" t="n">
        <v>190</v>
      </c>
      <c r="M65" s="13" t="s">
        <v>696</v>
      </c>
      <c r="N65" s="13" t="s">
        <v>697</v>
      </c>
      <c r="O65" s="13" t="s">
        <v>27</v>
      </c>
      <c r="P65" s="13" t="s">
        <v>307</v>
      </c>
      <c r="Q65" s="13" t="n">
        <v>60</v>
      </c>
      <c r="R65" s="13" t="s">
        <v>698</v>
      </c>
      <c r="S65" s="13" t="s">
        <v>699</v>
      </c>
      <c r="T65" s="13" t="s">
        <v>700</v>
      </c>
      <c r="U65" s="13" t="s">
        <v>701</v>
      </c>
      <c r="V65" s="13" t="s">
        <v>702</v>
      </c>
      <c r="W65" s="13" t="str">
        <f aca="false">IF(OR(ISNUMBER(SEARCH("gesha",G65)),ISNUMBER(SEARCH("geisha",G65))),"⭐ GESHA","")</f>
        <v>⭐ GESHA</v>
      </c>
      <c r="X65" s="13" t="s">
        <v>679</v>
      </c>
    </row>
    <row r="66" customFormat="false" ht="137.25" hidden="false" customHeight="true" outlineLevel="0" collapsed="false">
      <c r="A66" s="12" t="n">
        <v>46218</v>
      </c>
      <c r="B66" s="13" t="s">
        <v>52</v>
      </c>
      <c r="C66" s="13" t="s">
        <v>431</v>
      </c>
      <c r="D66" s="13" t="s">
        <v>703</v>
      </c>
      <c r="E66" s="13" t="s">
        <v>704</v>
      </c>
      <c r="F66" s="13" t="s">
        <v>170</v>
      </c>
      <c r="G66" s="13" t="s">
        <v>171</v>
      </c>
      <c r="H66" s="13" t="s">
        <v>58</v>
      </c>
      <c r="I66" s="13" t="s">
        <v>146</v>
      </c>
      <c r="J66" s="13" t="s">
        <v>705</v>
      </c>
      <c r="K66" s="13" t="n">
        <v>15</v>
      </c>
      <c r="L66" s="13" t="n">
        <v>210</v>
      </c>
      <c r="M66" s="13" t="s">
        <v>245</v>
      </c>
      <c r="N66" s="13" t="s">
        <v>706</v>
      </c>
      <c r="O66" s="13" t="s">
        <v>707</v>
      </c>
      <c r="P66" s="13" t="s">
        <v>307</v>
      </c>
      <c r="Q66" s="13" t="n">
        <v>12</v>
      </c>
      <c r="R66" s="13" t="s">
        <v>708</v>
      </c>
      <c r="S66" s="13" t="s">
        <v>709</v>
      </c>
      <c r="T66" s="13" t="s">
        <v>710</v>
      </c>
      <c r="U66" s="13" t="s">
        <v>711</v>
      </c>
      <c r="V66" s="13" t="s">
        <v>712</v>
      </c>
      <c r="W66" s="13" t="str">
        <f aca="false">IF(OR(ISNUMBER(SEARCH("gesha",G66)),ISNUMBER(SEARCH("geisha",G66))),"⭐ GESHA","")</f>
        <v>⭐ GESHA</v>
      </c>
      <c r="X66" s="13" t="s">
        <v>442</v>
      </c>
    </row>
    <row r="67" customFormat="false" ht="88.5" hidden="false" customHeight="true" outlineLevel="0" collapsed="false">
      <c r="A67" s="12" t="n">
        <v>46219</v>
      </c>
      <c r="B67" s="13" t="s">
        <v>52</v>
      </c>
      <c r="C67" s="13" t="s">
        <v>713</v>
      </c>
      <c r="D67" s="13" t="s">
        <v>714</v>
      </c>
      <c r="E67" s="13" t="s">
        <v>715</v>
      </c>
      <c r="F67" s="13" t="s">
        <v>716</v>
      </c>
      <c r="G67" s="13" t="s">
        <v>196</v>
      </c>
      <c r="H67" s="13" t="s">
        <v>58</v>
      </c>
      <c r="I67" s="13" t="s">
        <v>27</v>
      </c>
      <c r="J67" s="13" t="s">
        <v>717</v>
      </c>
      <c r="K67" s="13" t="n">
        <v>7</v>
      </c>
      <c r="L67" s="13" t="n">
        <v>105</v>
      </c>
      <c r="M67" s="13" t="s">
        <v>156</v>
      </c>
      <c r="N67" s="13" t="s">
        <v>718</v>
      </c>
      <c r="O67" s="13" t="s">
        <v>27</v>
      </c>
      <c r="P67" s="13" t="s">
        <v>719</v>
      </c>
      <c r="Q67" s="13" t="n">
        <v>16</v>
      </c>
      <c r="R67" s="13" t="s">
        <v>720</v>
      </c>
      <c r="S67" s="13" t="s">
        <v>721</v>
      </c>
      <c r="T67" s="13" t="s">
        <v>722</v>
      </c>
      <c r="U67" s="13" t="s">
        <v>723</v>
      </c>
      <c r="V67" s="13" t="s">
        <v>724</v>
      </c>
      <c r="W67" s="13" t="str">
        <f aca="false">IF(OR(ISNUMBER(SEARCH("gesha",G67)),ISNUMBER(SEARCH("geisha",G67))),"⭐ GESHA","")</f>
        <v>⭐ GESHA</v>
      </c>
      <c r="X67" s="13" t="s">
        <v>725</v>
      </c>
    </row>
    <row r="68" customFormat="false" ht="108" hidden="false" customHeight="true" outlineLevel="0" collapsed="false">
      <c r="A68" s="12" t="n">
        <v>46224</v>
      </c>
      <c r="B68" s="13" t="s">
        <v>52</v>
      </c>
      <c r="C68" s="13" t="s">
        <v>668</v>
      </c>
      <c r="D68" s="13" t="s">
        <v>726</v>
      </c>
      <c r="E68" s="13" t="s">
        <v>27</v>
      </c>
      <c r="F68" s="13" t="s">
        <v>727</v>
      </c>
      <c r="G68" s="13" t="s">
        <v>728</v>
      </c>
      <c r="H68" s="13" t="s">
        <v>29</v>
      </c>
      <c r="I68" s="13" t="s">
        <v>146</v>
      </c>
      <c r="J68" s="13" t="s">
        <v>729</v>
      </c>
      <c r="K68" s="13" t="s">
        <v>27</v>
      </c>
      <c r="L68" s="13" t="s">
        <v>27</v>
      </c>
      <c r="M68" s="13" t="s">
        <v>730</v>
      </c>
      <c r="N68" s="13" t="s">
        <v>27</v>
      </c>
      <c r="O68" s="13" t="s">
        <v>27</v>
      </c>
      <c r="P68" s="13" t="s">
        <v>731</v>
      </c>
      <c r="Q68" s="13" t="n">
        <v>10</v>
      </c>
      <c r="R68" s="13" t="s">
        <v>732</v>
      </c>
      <c r="S68" s="13" t="s">
        <v>733</v>
      </c>
      <c r="T68" s="13" t="s">
        <v>734</v>
      </c>
      <c r="U68" s="13" t="s">
        <v>735</v>
      </c>
      <c r="V68" s="13" t="s">
        <v>736</v>
      </c>
      <c r="W68" s="13" t="str">
        <f aca="false">IF(OR(ISNUMBER(SEARCH("gesha",G68)),ISNUMBER(SEARCH("geisha",G68))),"⭐ GESHA","")</f>
        <v/>
      </c>
      <c r="X68" s="13" t="s">
        <v>679</v>
      </c>
    </row>
    <row r="69" customFormat="false" ht="184.5" hidden="false" customHeight="true" outlineLevel="0" collapsed="false">
      <c r="A69" s="12" t="n">
        <v>46227</v>
      </c>
      <c r="B69" s="13" t="s">
        <v>52</v>
      </c>
      <c r="C69" s="13" t="s">
        <v>737</v>
      </c>
      <c r="D69" s="13" t="s">
        <v>738</v>
      </c>
      <c r="E69" s="13" t="s">
        <v>739</v>
      </c>
      <c r="F69" s="13" t="s">
        <v>740</v>
      </c>
      <c r="G69" s="13" t="s">
        <v>207</v>
      </c>
      <c r="H69" s="13" t="s">
        <v>58</v>
      </c>
      <c r="I69" s="13" t="s">
        <v>31</v>
      </c>
      <c r="J69" s="13" t="s">
        <v>741</v>
      </c>
      <c r="K69" s="13" t="n">
        <v>15</v>
      </c>
      <c r="L69" s="13" t="n">
        <v>225</v>
      </c>
      <c r="M69" s="13" t="s">
        <v>156</v>
      </c>
      <c r="N69" s="13" t="n">
        <v>90</v>
      </c>
      <c r="O69" s="13" t="s">
        <v>27</v>
      </c>
      <c r="P69" s="13" t="s">
        <v>282</v>
      </c>
      <c r="Q69" s="13" t="n">
        <v>8.5</v>
      </c>
      <c r="R69" s="13" t="s">
        <v>742</v>
      </c>
      <c r="S69" s="13" t="s">
        <v>743</v>
      </c>
      <c r="T69" s="13" t="s">
        <v>744</v>
      </c>
      <c r="U69" s="13" t="s">
        <v>745</v>
      </c>
      <c r="V69" s="13" t="s">
        <v>746</v>
      </c>
      <c r="W69" s="13" t="str">
        <f aca="false">IF(OR(ISNUMBER(SEARCH("gesha",G69)),ISNUMBER(SEARCH("geisha",G69))),"⭐ GESHA","")</f>
        <v/>
      </c>
      <c r="X69" s="13" t="s">
        <v>747</v>
      </c>
    </row>
    <row r="70" customFormat="false" ht="184.5" hidden="false" customHeight="true" outlineLevel="0" collapsed="false">
      <c r="A70" s="12" t="n">
        <v>46227</v>
      </c>
      <c r="B70" s="13" t="s">
        <v>52</v>
      </c>
      <c r="C70" s="13" t="s">
        <v>748</v>
      </c>
      <c r="D70" s="13" t="s">
        <v>749</v>
      </c>
      <c r="E70" s="13" t="s">
        <v>750</v>
      </c>
      <c r="F70" s="13" t="s">
        <v>639</v>
      </c>
      <c r="G70" s="13" t="s">
        <v>196</v>
      </c>
      <c r="H70" s="13" t="s">
        <v>29</v>
      </c>
      <c r="I70" s="13" t="s">
        <v>30</v>
      </c>
      <c r="J70" s="13" t="s">
        <v>751</v>
      </c>
      <c r="K70" s="13" t="n">
        <v>16</v>
      </c>
      <c r="L70" s="13" t="n">
        <v>272</v>
      </c>
      <c r="M70" s="13" t="s">
        <v>120</v>
      </c>
      <c r="N70" s="13" t="n">
        <v>93</v>
      </c>
      <c r="O70" s="13" t="s">
        <v>752</v>
      </c>
      <c r="P70" s="13" t="s">
        <v>307</v>
      </c>
      <c r="Q70" s="13" t="n">
        <v>12</v>
      </c>
      <c r="R70" s="13" t="s">
        <v>753</v>
      </c>
      <c r="S70" s="13" t="s">
        <v>754</v>
      </c>
      <c r="T70" s="13" t="s">
        <v>755</v>
      </c>
      <c r="U70" s="13" t="s">
        <v>756</v>
      </c>
      <c r="V70" s="13" t="s">
        <v>757</v>
      </c>
      <c r="W70" s="13" t="str">
        <f aca="false">IF(OR(ISNUMBER(SEARCH("gesha",G70)),ISNUMBER(SEARCH("geisha",G70))),"⭐ GESHA","")</f>
        <v>⭐ GESHA</v>
      </c>
      <c r="X70" s="13" t="s">
        <v>758</v>
      </c>
    </row>
    <row r="71" customFormat="false" ht="184.5" hidden="false" customHeight="true" outlineLevel="0" collapsed="false">
      <c r="A71" s="12" t="n">
        <v>46228</v>
      </c>
      <c r="B71" s="13" t="s">
        <v>52</v>
      </c>
      <c r="C71" s="13" t="s">
        <v>737</v>
      </c>
      <c r="D71" s="13" t="s">
        <v>759</v>
      </c>
      <c r="E71" s="13" t="s">
        <v>27</v>
      </c>
      <c r="F71" s="13" t="s">
        <v>760</v>
      </c>
      <c r="G71" s="13" t="s">
        <v>27</v>
      </c>
      <c r="H71" s="13" t="s">
        <v>58</v>
      </c>
      <c r="I71" s="13" t="s">
        <v>31</v>
      </c>
      <c r="J71" s="13" t="s">
        <v>741</v>
      </c>
      <c r="K71" s="13" t="n">
        <v>15</v>
      </c>
      <c r="L71" s="13" t="n">
        <v>242</v>
      </c>
      <c r="M71" s="13" t="s">
        <v>761</v>
      </c>
      <c r="N71" s="13" t="n">
        <v>90</v>
      </c>
      <c r="O71" s="13" t="s">
        <v>762</v>
      </c>
      <c r="P71" s="13" t="s">
        <v>282</v>
      </c>
      <c r="Q71" s="13" t="n">
        <v>10.5</v>
      </c>
      <c r="R71" s="13" t="s">
        <v>763</v>
      </c>
      <c r="S71" s="13" t="s">
        <v>764</v>
      </c>
      <c r="T71" s="13" t="s">
        <v>765</v>
      </c>
      <c r="U71" s="13" t="s">
        <v>766</v>
      </c>
      <c r="V71" s="13" t="s">
        <v>767</v>
      </c>
      <c r="W71" s="13" t="str">
        <f aca="false">IF(OR(ISNUMBER(SEARCH("gesha",G71)),ISNUMBER(SEARCH("geisha",G71))),"⭐ GESHA","")</f>
        <v/>
      </c>
      <c r="X71" s="13" t="s">
        <v>747</v>
      </c>
    </row>
    <row r="72" customFormat="false" ht="78.75" hidden="false" customHeight="true" outlineLevel="0" collapsed="false">
      <c r="A72" s="12" t="n">
        <v>46231</v>
      </c>
      <c r="B72" s="13" t="s">
        <v>52</v>
      </c>
      <c r="C72" s="13" t="s">
        <v>115</v>
      </c>
      <c r="D72" s="13" t="s">
        <v>768</v>
      </c>
      <c r="E72" s="13" t="s">
        <v>169</v>
      </c>
      <c r="F72" s="13" t="s">
        <v>769</v>
      </c>
      <c r="G72" s="13" t="s">
        <v>171</v>
      </c>
      <c r="H72" s="13" t="s">
        <v>58</v>
      </c>
      <c r="I72" s="13" t="s">
        <v>448</v>
      </c>
      <c r="J72" s="13" t="s">
        <v>770</v>
      </c>
      <c r="K72" s="13" t="s">
        <v>27</v>
      </c>
      <c r="L72" s="13" t="s">
        <v>27</v>
      </c>
      <c r="M72" s="13" t="s">
        <v>27</v>
      </c>
      <c r="N72" s="13" t="s">
        <v>27</v>
      </c>
      <c r="O72" s="13" t="s">
        <v>27</v>
      </c>
      <c r="P72" s="13" t="s">
        <v>326</v>
      </c>
      <c r="Q72" s="13" t="n">
        <v>9.5</v>
      </c>
      <c r="R72" s="13" t="s">
        <v>771</v>
      </c>
      <c r="S72" s="13" t="s">
        <v>772</v>
      </c>
      <c r="T72" s="13" t="s">
        <v>773</v>
      </c>
      <c r="U72" s="13" t="s">
        <v>774</v>
      </c>
      <c r="V72" s="13" t="s">
        <v>775</v>
      </c>
      <c r="W72" s="13" t="str">
        <f aca="false">IF(OR(ISNUMBER(SEARCH("gesha",G72)),ISNUMBER(SEARCH("geisha",G72))),"⭐ GESHA","")</f>
        <v>⭐ GESHA</v>
      </c>
      <c r="X72" s="13" t="s">
        <v>125</v>
      </c>
    </row>
    <row r="73" customFormat="false" ht="98.25" hidden="false" customHeight="true" outlineLevel="0" collapsed="false">
      <c r="A73" s="12" t="n">
        <v>46231</v>
      </c>
      <c r="B73" s="13" t="s">
        <v>52</v>
      </c>
      <c r="C73" s="13" t="s">
        <v>115</v>
      </c>
      <c r="D73" s="13" t="s">
        <v>776</v>
      </c>
      <c r="E73" s="13" t="s">
        <v>777</v>
      </c>
      <c r="F73" s="13" t="s">
        <v>778</v>
      </c>
      <c r="G73" s="13" t="s">
        <v>128</v>
      </c>
      <c r="H73" s="13" t="s">
        <v>58</v>
      </c>
      <c r="I73" s="13" t="s">
        <v>448</v>
      </c>
      <c r="J73" s="13" t="s">
        <v>770</v>
      </c>
      <c r="K73" s="13" t="n">
        <v>13</v>
      </c>
      <c r="L73" s="13" t="n">
        <v>215</v>
      </c>
      <c r="M73" s="13" t="s">
        <v>474</v>
      </c>
      <c r="N73" s="13" t="s">
        <v>27</v>
      </c>
      <c r="O73" s="13" t="s">
        <v>27</v>
      </c>
      <c r="P73" s="13" t="s">
        <v>326</v>
      </c>
      <c r="Q73" s="13" t="n">
        <v>9</v>
      </c>
      <c r="R73" s="13" t="s">
        <v>779</v>
      </c>
      <c r="S73" s="13" t="s">
        <v>780</v>
      </c>
      <c r="T73" s="13" t="s">
        <v>781</v>
      </c>
      <c r="U73" s="13" t="s">
        <v>782</v>
      </c>
      <c r="V73" s="13" t="s">
        <v>783</v>
      </c>
      <c r="W73" s="13" t="str">
        <f aca="false">IF(OR(ISNUMBER(SEARCH("gesha",G73)),ISNUMBER(SEARCH("geisha",G73))),"⭐ GESHA","")</f>
        <v/>
      </c>
      <c r="X73" s="13" t="s">
        <v>125</v>
      </c>
    </row>
    <row r="74" customFormat="false" ht="189.75" hidden="false" customHeight="true" outlineLevel="0" collapsed="false">
      <c r="A74" s="12" t="n">
        <v>46232</v>
      </c>
      <c r="B74" s="13" t="s">
        <v>52</v>
      </c>
      <c r="C74" s="13" t="s">
        <v>784</v>
      </c>
      <c r="D74" s="13" t="s">
        <v>785</v>
      </c>
      <c r="E74" s="13" t="s">
        <v>786</v>
      </c>
      <c r="F74" s="13" t="s">
        <v>558</v>
      </c>
      <c r="G74" s="13" t="s">
        <v>196</v>
      </c>
      <c r="H74" s="13" t="s">
        <v>404</v>
      </c>
      <c r="I74" s="13" t="s">
        <v>27</v>
      </c>
      <c r="J74" s="13" t="s">
        <v>787</v>
      </c>
      <c r="K74" s="13" t="n">
        <v>15</v>
      </c>
      <c r="L74" s="13" t="n">
        <v>225</v>
      </c>
      <c r="M74" s="13" t="s">
        <v>156</v>
      </c>
      <c r="N74" s="13" t="n">
        <v>85</v>
      </c>
      <c r="O74" s="13" t="s">
        <v>788</v>
      </c>
      <c r="P74" s="13" t="s">
        <v>282</v>
      </c>
      <c r="Q74" s="13" t="n">
        <v>10.5</v>
      </c>
      <c r="R74" s="13" t="s">
        <v>789</v>
      </c>
      <c r="S74" s="13" t="s">
        <v>790</v>
      </c>
      <c r="T74" s="13" t="s">
        <v>791</v>
      </c>
      <c r="U74" s="13" t="s">
        <v>792</v>
      </c>
      <c r="V74" s="13" t="s">
        <v>793</v>
      </c>
      <c r="W74" s="13" t="str">
        <f aca="false">IF(OR(ISNUMBER(SEARCH("gesha",G74)),ISNUMBER(SEARCH("geisha",G74))),"⭐ GESHA","")</f>
        <v>⭐ GESHA</v>
      </c>
      <c r="X74" s="13" t="s">
        <v>794</v>
      </c>
    </row>
    <row r="75" customFormat="false" ht="189.75" hidden="false" customHeight="true" outlineLevel="0" collapsed="false">
      <c r="A75" s="12" t="n">
        <v>46234</v>
      </c>
      <c r="B75" s="13" t="s">
        <v>52</v>
      </c>
      <c r="C75" s="13" t="s">
        <v>192</v>
      </c>
      <c r="D75" s="13" t="s">
        <v>795</v>
      </c>
      <c r="E75" s="13" t="s">
        <v>27</v>
      </c>
      <c r="F75" s="13" t="s">
        <v>796</v>
      </c>
      <c r="G75" s="13" t="s">
        <v>530</v>
      </c>
      <c r="H75" s="13" t="s">
        <v>58</v>
      </c>
      <c r="I75" s="13" t="s">
        <v>146</v>
      </c>
      <c r="J75" s="13" t="s">
        <v>281</v>
      </c>
      <c r="K75" s="13" t="n">
        <v>15</v>
      </c>
      <c r="L75" s="13" t="n">
        <v>225</v>
      </c>
      <c r="M75" s="13" t="s">
        <v>156</v>
      </c>
      <c r="N75" s="13" t="s">
        <v>797</v>
      </c>
      <c r="O75" s="13" t="s">
        <v>27</v>
      </c>
      <c r="P75" s="13" t="s">
        <v>149</v>
      </c>
      <c r="Q75" s="13" t="n">
        <v>10</v>
      </c>
      <c r="R75" s="13" t="s">
        <v>798</v>
      </c>
      <c r="S75" s="13" t="s">
        <v>799</v>
      </c>
      <c r="T75" s="13" t="s">
        <v>800</v>
      </c>
      <c r="U75" s="13" t="s">
        <v>801</v>
      </c>
      <c r="V75" s="13" t="s">
        <v>802</v>
      </c>
      <c r="W75" s="13" t="str">
        <f aca="false">IF(OR(ISNUMBER(SEARCH("gesha",G75)),ISNUMBER(SEARCH("geisha",G75))),"⭐ GESHA","")</f>
        <v/>
      </c>
      <c r="X75" s="13" t="s">
        <v>203</v>
      </c>
    </row>
    <row r="76" customFormat="false" ht="139.5" hidden="false" customHeight="true" outlineLevel="0" collapsed="false">
      <c r="A76" s="12" t="n">
        <v>46235</v>
      </c>
      <c r="B76" s="13" t="s">
        <v>52</v>
      </c>
      <c r="C76" s="13" t="s">
        <v>322</v>
      </c>
      <c r="D76" s="13" t="s">
        <v>803</v>
      </c>
      <c r="E76" s="13" t="s">
        <v>804</v>
      </c>
      <c r="F76" s="13" t="s">
        <v>694</v>
      </c>
      <c r="G76" s="13" t="s">
        <v>196</v>
      </c>
      <c r="H76" s="13" t="s">
        <v>29</v>
      </c>
      <c r="I76" s="13" t="s">
        <v>146</v>
      </c>
      <c r="J76" s="13" t="s">
        <v>591</v>
      </c>
      <c r="K76" s="13" t="s">
        <v>682</v>
      </c>
      <c r="L76" s="13" t="s">
        <v>805</v>
      </c>
      <c r="M76" s="13" t="s">
        <v>806</v>
      </c>
      <c r="N76" s="13" t="s">
        <v>807</v>
      </c>
      <c r="O76" s="13" t="s">
        <v>27</v>
      </c>
      <c r="P76" s="13" t="s">
        <v>685</v>
      </c>
      <c r="Q76" s="13" t="n">
        <v>32</v>
      </c>
      <c r="R76" s="13" t="s">
        <v>808</v>
      </c>
      <c r="S76" s="13" t="s">
        <v>809</v>
      </c>
      <c r="T76" s="13" t="s">
        <v>810</v>
      </c>
      <c r="U76" s="13" t="s">
        <v>811</v>
      </c>
      <c r="V76" s="13" t="s">
        <v>812</v>
      </c>
      <c r="W76" s="13" t="str">
        <f aca="false">IF(OR(ISNUMBER(SEARCH("gesha",G76)),ISNUMBER(SEARCH("geisha",G76))),"⭐ GESHA","")</f>
        <v>⭐ GESHA</v>
      </c>
      <c r="X76" s="13" t="s">
        <v>331</v>
      </c>
    </row>
    <row r="77" customFormat="false" ht="189.75" hidden="false" customHeight="true" outlineLevel="0" collapsed="false">
      <c r="A77" s="12" t="n">
        <v>46239</v>
      </c>
      <c r="B77" s="13" t="s">
        <v>52</v>
      </c>
      <c r="C77" s="13" t="s">
        <v>251</v>
      </c>
      <c r="D77" s="13" t="s">
        <v>813</v>
      </c>
      <c r="E77" s="13" t="s">
        <v>814</v>
      </c>
      <c r="F77" s="13" t="s">
        <v>639</v>
      </c>
      <c r="G77" s="13" t="s">
        <v>569</v>
      </c>
      <c r="H77" s="13" t="s">
        <v>58</v>
      </c>
      <c r="I77" s="13" t="s">
        <v>146</v>
      </c>
      <c r="J77" s="13" t="s">
        <v>815</v>
      </c>
      <c r="K77" s="13" t="s">
        <v>27</v>
      </c>
      <c r="L77" s="13" t="s">
        <v>27</v>
      </c>
      <c r="M77" s="13" t="s">
        <v>120</v>
      </c>
      <c r="N77" s="13" t="s">
        <v>816</v>
      </c>
      <c r="O77" s="13" t="s">
        <v>27</v>
      </c>
      <c r="P77" s="13" t="s">
        <v>387</v>
      </c>
      <c r="Q77" s="13" t="n">
        <v>7.5</v>
      </c>
      <c r="R77" s="13" t="s">
        <v>817</v>
      </c>
      <c r="S77" s="13" t="s">
        <v>818</v>
      </c>
      <c r="T77" s="13" t="s">
        <v>819</v>
      </c>
      <c r="U77" s="13" t="s">
        <v>820</v>
      </c>
      <c r="V77" s="13" t="s">
        <v>821</v>
      </c>
      <c r="W77" s="13" t="str">
        <f aca="false">IF(OR(ISNUMBER(SEARCH("gesha",G77)),ISNUMBER(SEARCH("geisha",G77))),"⭐ GESHA","")</f>
        <v/>
      </c>
      <c r="X77" s="13" t="s">
        <v>259</v>
      </c>
    </row>
    <row r="78" customFormat="false" ht="189.75" hidden="false" customHeight="true" outlineLevel="0" collapsed="false">
      <c r="A78" s="12" t="n">
        <v>46240</v>
      </c>
      <c r="B78" s="13" t="s">
        <v>52</v>
      </c>
      <c r="C78" s="13" t="s">
        <v>822</v>
      </c>
      <c r="D78" s="13" t="s">
        <v>823</v>
      </c>
      <c r="E78" s="13" t="s">
        <v>27</v>
      </c>
      <c r="F78" s="13" t="s">
        <v>824</v>
      </c>
      <c r="G78" s="13" t="s">
        <v>27</v>
      </c>
      <c r="H78" s="13" t="s">
        <v>58</v>
      </c>
      <c r="I78" s="13" t="s">
        <v>27</v>
      </c>
      <c r="J78" s="13" t="s">
        <v>825</v>
      </c>
      <c r="K78" s="13" t="n">
        <v>13</v>
      </c>
      <c r="L78" s="13" t="n">
        <v>180</v>
      </c>
      <c r="M78" s="13" t="s">
        <v>826</v>
      </c>
      <c r="N78" s="13" t="s">
        <v>827</v>
      </c>
      <c r="O78" s="13" t="s">
        <v>27</v>
      </c>
      <c r="P78" s="13" t="s">
        <v>828</v>
      </c>
      <c r="Q78" s="13" t="n">
        <v>8</v>
      </c>
      <c r="R78" s="13" t="s">
        <v>829</v>
      </c>
      <c r="S78" s="13" t="s">
        <v>830</v>
      </c>
      <c r="T78" s="13" t="s">
        <v>831</v>
      </c>
      <c r="U78" s="13" t="s">
        <v>832</v>
      </c>
      <c r="V78" s="13" t="s">
        <v>833</v>
      </c>
      <c r="W78" s="13" t="str">
        <f aca="false">IF(OR(ISNUMBER(SEARCH("gesha",G78)),ISNUMBER(SEARCH("geisha",G78))),"⭐ GESHA","")</f>
        <v/>
      </c>
      <c r="X78" s="13" t="s">
        <v>834</v>
      </c>
    </row>
    <row r="79" customFormat="false" ht="189.75" hidden="false" customHeight="true" outlineLevel="0" collapsed="false">
      <c r="A79" s="12" t="n">
        <v>46241</v>
      </c>
      <c r="B79" s="13" t="s">
        <v>52</v>
      </c>
      <c r="C79" s="13" t="s">
        <v>835</v>
      </c>
      <c r="D79" s="13" t="s">
        <v>836</v>
      </c>
      <c r="E79" s="13" t="s">
        <v>27</v>
      </c>
      <c r="F79" s="13" t="s">
        <v>837</v>
      </c>
      <c r="G79" s="13" t="s">
        <v>838</v>
      </c>
      <c r="H79" s="13" t="s">
        <v>29</v>
      </c>
      <c r="I79" s="13" t="s">
        <v>839</v>
      </c>
      <c r="J79" s="13" t="s">
        <v>840</v>
      </c>
      <c r="K79" s="13" t="n">
        <v>15</v>
      </c>
      <c r="L79" s="13" t="n">
        <v>240</v>
      </c>
      <c r="M79" s="13" t="s">
        <v>60</v>
      </c>
      <c r="N79" s="13" t="s">
        <v>841</v>
      </c>
      <c r="O79" s="13" t="s">
        <v>27</v>
      </c>
      <c r="P79" s="13" t="s">
        <v>828</v>
      </c>
      <c r="Q79" s="13" t="n">
        <v>8.5</v>
      </c>
      <c r="R79" s="13" t="s">
        <v>842</v>
      </c>
      <c r="S79" s="13" t="s">
        <v>843</v>
      </c>
      <c r="T79" s="13" t="s">
        <v>844</v>
      </c>
      <c r="U79" s="13" t="s">
        <v>845</v>
      </c>
      <c r="V79" s="13" t="s">
        <v>846</v>
      </c>
      <c r="W79" s="13" t="str">
        <f aca="false">IF(OR(ISNUMBER(SEARCH("gesha",G79)),ISNUMBER(SEARCH("geisha",G79))),"⭐ GESHA","")</f>
        <v/>
      </c>
      <c r="X79" s="13" t="s">
        <v>847</v>
      </c>
    </row>
    <row r="80" customFormat="false" ht="189.75" hidden="false" customHeight="true" outlineLevel="0" collapsed="false">
      <c r="A80" s="12" t="n">
        <v>46243</v>
      </c>
      <c r="B80" s="13" t="s">
        <v>52</v>
      </c>
      <c r="C80" s="13" t="s">
        <v>322</v>
      </c>
      <c r="D80" s="13" t="s">
        <v>848</v>
      </c>
      <c r="E80" s="13" t="s">
        <v>849</v>
      </c>
      <c r="F80" s="13" t="s">
        <v>694</v>
      </c>
      <c r="G80" s="13" t="s">
        <v>196</v>
      </c>
      <c r="H80" s="13" t="s">
        <v>58</v>
      </c>
      <c r="I80" s="13" t="s">
        <v>146</v>
      </c>
      <c r="J80" s="13" t="s">
        <v>591</v>
      </c>
      <c r="K80" s="13" t="s">
        <v>682</v>
      </c>
      <c r="L80" s="13" t="s">
        <v>683</v>
      </c>
      <c r="M80" s="13" t="s">
        <v>156</v>
      </c>
      <c r="N80" s="13" t="s">
        <v>684</v>
      </c>
      <c r="O80" s="13" t="s">
        <v>27</v>
      </c>
      <c r="P80" s="13" t="s">
        <v>685</v>
      </c>
      <c r="Q80" s="13" t="n">
        <v>9</v>
      </c>
      <c r="R80" s="13" t="s">
        <v>850</v>
      </c>
      <c r="S80" s="13" t="s">
        <v>851</v>
      </c>
      <c r="T80" s="13" t="s">
        <v>852</v>
      </c>
      <c r="U80" s="13" t="s">
        <v>853</v>
      </c>
      <c r="V80" s="13" t="s">
        <v>854</v>
      </c>
      <c r="W80" s="13" t="str">
        <f aca="false">IF(OR(ISNUMBER(SEARCH("gesha",G80)),ISNUMBER(SEARCH("geisha",G80))),"⭐ GESHA","")</f>
        <v>⭐ GESHA</v>
      </c>
      <c r="X80" s="13" t="s">
        <v>331</v>
      </c>
    </row>
    <row r="81" customFormat="false" ht="189.75" hidden="false" customHeight="true" outlineLevel="0" collapsed="false">
      <c r="A81" s="12" t="n">
        <v>46243</v>
      </c>
      <c r="B81" s="13" t="s">
        <v>52</v>
      </c>
      <c r="C81" s="13" t="s">
        <v>322</v>
      </c>
      <c r="D81" s="13" t="s">
        <v>855</v>
      </c>
      <c r="E81" s="13" t="s">
        <v>856</v>
      </c>
      <c r="F81" s="13" t="s">
        <v>135</v>
      </c>
      <c r="G81" s="13" t="s">
        <v>857</v>
      </c>
      <c r="H81" s="13" t="s">
        <v>58</v>
      </c>
      <c r="I81" s="13" t="s">
        <v>146</v>
      </c>
      <c r="J81" s="13" t="s">
        <v>591</v>
      </c>
      <c r="K81" s="13" t="s">
        <v>682</v>
      </c>
      <c r="L81" s="13" t="s">
        <v>683</v>
      </c>
      <c r="M81" s="13" t="s">
        <v>156</v>
      </c>
      <c r="N81" s="13" t="s">
        <v>684</v>
      </c>
      <c r="O81" s="13" t="s">
        <v>27</v>
      </c>
      <c r="P81" s="13" t="s">
        <v>685</v>
      </c>
      <c r="Q81" s="13" t="n">
        <v>9</v>
      </c>
      <c r="R81" s="13" t="s">
        <v>858</v>
      </c>
      <c r="S81" s="13" t="s">
        <v>859</v>
      </c>
      <c r="T81" s="13" t="s">
        <v>860</v>
      </c>
      <c r="U81" s="13" t="s">
        <v>861</v>
      </c>
      <c r="V81" s="13" t="s">
        <v>862</v>
      </c>
      <c r="W81" s="13" t="str">
        <f aca="false">IF(OR(ISNUMBER(SEARCH("gesha",G81)),ISNUMBER(SEARCH("geisha",G81))),"⭐ GESHA","")</f>
        <v/>
      </c>
      <c r="X81" s="13" t="s">
        <v>331</v>
      </c>
    </row>
    <row r="82" customFormat="false" ht="189.75" hidden="false" customHeight="true" outlineLevel="0" collapsed="false">
      <c r="A82" s="12" t="n">
        <v>46246</v>
      </c>
      <c r="B82" s="13" t="s">
        <v>52</v>
      </c>
      <c r="C82" s="13" t="s">
        <v>863</v>
      </c>
      <c r="D82" s="13" t="s">
        <v>864</v>
      </c>
      <c r="E82" s="13" t="s">
        <v>865</v>
      </c>
      <c r="F82" s="13" t="s">
        <v>335</v>
      </c>
      <c r="G82" s="13" t="s">
        <v>230</v>
      </c>
      <c r="H82" s="13" t="s">
        <v>866</v>
      </c>
      <c r="I82" s="13" t="s">
        <v>27</v>
      </c>
      <c r="J82" s="13" t="s">
        <v>867</v>
      </c>
      <c r="K82" s="13" t="n">
        <v>15</v>
      </c>
      <c r="L82" s="13" t="s">
        <v>868</v>
      </c>
      <c r="M82" s="13" t="s">
        <v>869</v>
      </c>
      <c r="N82" s="13" t="s">
        <v>27</v>
      </c>
      <c r="O82" s="13" t="s">
        <v>870</v>
      </c>
      <c r="P82" s="13" t="s">
        <v>282</v>
      </c>
      <c r="Q82" s="13" t="n">
        <v>9.5</v>
      </c>
      <c r="R82" s="13" t="s">
        <v>871</v>
      </c>
      <c r="S82" s="13" t="s">
        <v>872</v>
      </c>
      <c r="T82" s="13" t="s">
        <v>873</v>
      </c>
      <c r="U82" s="13" t="s">
        <v>874</v>
      </c>
      <c r="V82" s="13" t="s">
        <v>875</v>
      </c>
      <c r="W82" s="13" t="str">
        <f aca="false">IF(OR(ISNUMBER(SEARCH("gesha",G82)),ISNUMBER(SEARCH("geisha",G82))),"⭐ GESHA","")</f>
        <v/>
      </c>
      <c r="X82" s="13" t="s">
        <v>876</v>
      </c>
    </row>
    <row r="83" customFormat="false" ht="189.75" hidden="false" customHeight="true" outlineLevel="0" collapsed="false">
      <c r="A83" s="12" t="n">
        <v>46249</v>
      </c>
      <c r="B83" s="13" t="s">
        <v>52</v>
      </c>
      <c r="C83" s="13" t="s">
        <v>877</v>
      </c>
      <c r="D83" s="13" t="s">
        <v>878</v>
      </c>
      <c r="E83" s="13" t="s">
        <v>879</v>
      </c>
      <c r="F83" s="13" t="s">
        <v>796</v>
      </c>
      <c r="G83" s="13" t="s">
        <v>171</v>
      </c>
      <c r="H83" s="13" t="s">
        <v>880</v>
      </c>
      <c r="I83" s="13" t="s">
        <v>30</v>
      </c>
      <c r="J83" s="13" t="s">
        <v>881</v>
      </c>
      <c r="K83" s="13" t="n">
        <v>15</v>
      </c>
      <c r="L83" s="13" t="n">
        <v>225</v>
      </c>
      <c r="M83" s="13" t="s">
        <v>156</v>
      </c>
      <c r="N83" s="13" t="s">
        <v>325</v>
      </c>
      <c r="O83" s="13" t="s">
        <v>27</v>
      </c>
      <c r="P83" s="13" t="s">
        <v>282</v>
      </c>
      <c r="Q83" s="13" t="n">
        <v>13</v>
      </c>
      <c r="R83" s="13" t="s">
        <v>882</v>
      </c>
      <c r="S83" s="13" t="s">
        <v>883</v>
      </c>
      <c r="T83" s="13" t="s">
        <v>884</v>
      </c>
      <c r="U83" s="13" t="s">
        <v>885</v>
      </c>
      <c r="V83" s="13" t="s">
        <v>886</v>
      </c>
      <c r="W83" s="13" t="str">
        <f aca="false">IF(OR(ISNUMBER(SEARCH("gesha",G83)),ISNUMBER(SEARCH("geisha",G83))),"⭐ GESHA","")</f>
        <v>⭐ GESHA</v>
      </c>
      <c r="X83" s="13" t="s">
        <v>887</v>
      </c>
    </row>
    <row r="84" customFormat="false" ht="189.75" hidden="false" customHeight="true" outlineLevel="0" collapsed="false">
      <c r="A84" s="12" t="n">
        <v>46249</v>
      </c>
      <c r="B84" s="13" t="s">
        <v>52</v>
      </c>
      <c r="C84" s="13" t="s">
        <v>877</v>
      </c>
      <c r="D84" s="13" t="s">
        <v>888</v>
      </c>
      <c r="E84" s="13" t="s">
        <v>889</v>
      </c>
      <c r="F84" s="13" t="s">
        <v>517</v>
      </c>
      <c r="G84" s="13" t="s">
        <v>890</v>
      </c>
      <c r="H84" s="13" t="s">
        <v>891</v>
      </c>
      <c r="I84" s="13" t="s">
        <v>30</v>
      </c>
      <c r="J84" s="13" t="s">
        <v>881</v>
      </c>
      <c r="K84" s="13" t="n">
        <v>15</v>
      </c>
      <c r="L84" s="13" t="n">
        <v>225</v>
      </c>
      <c r="M84" s="13" t="s">
        <v>156</v>
      </c>
      <c r="N84" s="13" t="s">
        <v>325</v>
      </c>
      <c r="O84" s="13" t="s">
        <v>27</v>
      </c>
      <c r="P84" s="13" t="s">
        <v>282</v>
      </c>
      <c r="Q84" s="13" t="n">
        <v>8.5</v>
      </c>
      <c r="R84" s="13" t="s">
        <v>892</v>
      </c>
      <c r="S84" s="13" t="s">
        <v>893</v>
      </c>
      <c r="T84" s="13" t="s">
        <v>894</v>
      </c>
      <c r="U84" s="13" t="s">
        <v>895</v>
      </c>
      <c r="V84" s="13" t="s">
        <v>896</v>
      </c>
      <c r="W84" s="13" t="str">
        <f aca="false">IF(OR(ISNUMBER(SEARCH("gesha",G84)),ISNUMBER(SEARCH("geisha",G84))),"⭐ GESHA","")</f>
        <v/>
      </c>
      <c r="X84" s="13" t="s">
        <v>887</v>
      </c>
    </row>
    <row r="85" customFormat="false" ht="189.75" hidden="false" customHeight="true" outlineLevel="0" collapsed="false">
      <c r="A85" s="12" t="n">
        <v>46256</v>
      </c>
      <c r="B85" s="13" t="s">
        <v>227</v>
      </c>
      <c r="C85" s="13" t="s">
        <v>897</v>
      </c>
      <c r="D85" s="13" t="s">
        <v>898</v>
      </c>
      <c r="E85" s="13" t="s">
        <v>899</v>
      </c>
      <c r="F85" s="13" t="s">
        <v>127</v>
      </c>
      <c r="G85" s="13" t="s">
        <v>900</v>
      </c>
      <c r="H85" s="13" t="s">
        <v>58</v>
      </c>
      <c r="I85" s="13" t="s">
        <v>901</v>
      </c>
      <c r="J85" s="13" t="s">
        <v>902</v>
      </c>
      <c r="K85" s="13" t="n">
        <v>15</v>
      </c>
      <c r="L85" s="13" t="n">
        <v>240</v>
      </c>
      <c r="M85" s="13" t="s">
        <v>60</v>
      </c>
      <c r="N85" s="13" t="s">
        <v>61</v>
      </c>
      <c r="O85" s="13" t="s">
        <v>903</v>
      </c>
      <c r="P85" s="13" t="s">
        <v>307</v>
      </c>
      <c r="Q85" s="13" t="n">
        <v>6.98</v>
      </c>
      <c r="R85" s="13" t="s">
        <v>904</v>
      </c>
      <c r="S85" s="13" t="s">
        <v>905</v>
      </c>
      <c r="T85" s="13" t="s">
        <v>906</v>
      </c>
      <c r="U85" s="13" t="s">
        <v>907</v>
      </c>
      <c r="V85" s="13" t="s">
        <v>908</v>
      </c>
      <c r="W85" s="13" t="str">
        <f aca="false">IF(OR(ISNUMBER(SEARCH("gesha",G85)),ISNUMBER(SEARCH("geisha",G85))),"⭐ GESHA","")</f>
        <v/>
      </c>
      <c r="X85" s="13" t="s">
        <v>909</v>
      </c>
    </row>
    <row r="86" customFormat="false" ht="189.75" hidden="false" customHeight="true" outlineLevel="0" collapsed="false">
      <c r="A86" s="12" t="n">
        <v>46256</v>
      </c>
      <c r="B86" s="13" t="s">
        <v>227</v>
      </c>
      <c r="C86" s="13" t="s">
        <v>897</v>
      </c>
      <c r="D86" s="13" t="s">
        <v>910</v>
      </c>
      <c r="E86" s="13" t="s">
        <v>911</v>
      </c>
      <c r="F86" s="13" t="s">
        <v>912</v>
      </c>
      <c r="G86" s="13" t="s">
        <v>913</v>
      </c>
      <c r="H86" s="13" t="s">
        <v>231</v>
      </c>
      <c r="I86" s="13" t="s">
        <v>914</v>
      </c>
      <c r="J86" s="13" t="s">
        <v>902</v>
      </c>
      <c r="K86" s="13" t="n">
        <v>15</v>
      </c>
      <c r="L86" s="13" t="n">
        <v>240</v>
      </c>
      <c r="M86" s="13" t="s">
        <v>60</v>
      </c>
      <c r="N86" s="13" t="s">
        <v>61</v>
      </c>
      <c r="O86" s="13" t="s">
        <v>903</v>
      </c>
      <c r="P86" s="13" t="s">
        <v>307</v>
      </c>
      <c r="Q86" s="13" t="n">
        <v>6.67</v>
      </c>
      <c r="R86" s="13" t="s">
        <v>915</v>
      </c>
      <c r="S86" s="13" t="s">
        <v>916</v>
      </c>
      <c r="T86" s="13" t="s">
        <v>917</v>
      </c>
      <c r="U86" s="13" t="s">
        <v>918</v>
      </c>
      <c r="V86" s="13" t="s">
        <v>919</v>
      </c>
      <c r="W86" s="13" t="str">
        <f aca="false">IF(OR(ISNUMBER(SEARCH("gesha",G86)),ISNUMBER(SEARCH("geisha",G86))),"⭐ GESHA","")</f>
        <v/>
      </c>
      <c r="X86" s="13" t="s">
        <v>909</v>
      </c>
    </row>
    <row r="87" customFormat="false" ht="189.75" hidden="false" customHeight="true" outlineLevel="0" collapsed="false">
      <c r="A87" s="12" t="n">
        <v>46256</v>
      </c>
      <c r="B87" s="13" t="s">
        <v>227</v>
      </c>
      <c r="C87" s="13" t="s">
        <v>920</v>
      </c>
      <c r="D87" s="13" t="s">
        <v>921</v>
      </c>
      <c r="E87" s="13" t="s">
        <v>922</v>
      </c>
      <c r="F87" s="13" t="s">
        <v>923</v>
      </c>
      <c r="G87" s="13" t="s">
        <v>924</v>
      </c>
      <c r="H87" s="13" t="s">
        <v>74</v>
      </c>
      <c r="I87" s="13" t="s">
        <v>925</v>
      </c>
      <c r="J87" s="13" t="s">
        <v>926</v>
      </c>
      <c r="K87" s="13" t="s">
        <v>927</v>
      </c>
      <c r="L87" s="13" t="s">
        <v>928</v>
      </c>
      <c r="M87" s="13" t="s">
        <v>929</v>
      </c>
      <c r="N87" s="13" t="s">
        <v>246</v>
      </c>
      <c r="O87" s="13" t="s">
        <v>930</v>
      </c>
      <c r="P87" s="13" t="s">
        <v>931</v>
      </c>
      <c r="Q87" s="13" t="n">
        <v>11.75</v>
      </c>
      <c r="R87" s="13" t="s">
        <v>932</v>
      </c>
      <c r="S87" s="13" t="s">
        <v>933</v>
      </c>
      <c r="T87" s="13" t="s">
        <v>934</v>
      </c>
      <c r="U87" s="13" t="s">
        <v>935</v>
      </c>
      <c r="V87" s="13" t="s">
        <v>936</v>
      </c>
      <c r="W87" s="13" t="str">
        <f aca="false">IF(OR(ISNUMBER(SEARCH("gesha",G87)),ISNUMBER(SEARCH("geisha",G87))),"⭐ GESHA","")</f>
        <v>⭐ GESHA</v>
      </c>
      <c r="X87" s="13" t="s">
        <v>937</v>
      </c>
    </row>
    <row r="88" customFormat="false" ht="189.75" hidden="false" customHeight="true" outlineLevel="0" collapsed="false">
      <c r="A88" s="12" t="n">
        <v>46259</v>
      </c>
      <c r="B88" s="13" t="s">
        <v>52</v>
      </c>
      <c r="C88" s="13" t="s">
        <v>332</v>
      </c>
      <c r="D88" s="13" t="s">
        <v>938</v>
      </c>
      <c r="E88" s="13" t="s">
        <v>169</v>
      </c>
      <c r="F88" s="13" t="s">
        <v>939</v>
      </c>
      <c r="G88" s="13" t="s">
        <v>196</v>
      </c>
      <c r="H88" s="13" t="s">
        <v>58</v>
      </c>
      <c r="I88" s="13" t="s">
        <v>901</v>
      </c>
      <c r="J88" s="13" t="s">
        <v>940</v>
      </c>
      <c r="K88" s="13" t="n">
        <v>15</v>
      </c>
      <c r="L88" s="13" t="n">
        <v>225</v>
      </c>
      <c r="M88" s="13" t="s">
        <v>156</v>
      </c>
      <c r="N88" s="13" t="s">
        <v>941</v>
      </c>
      <c r="O88" s="13" t="s">
        <v>942</v>
      </c>
      <c r="P88" s="13" t="s">
        <v>943</v>
      </c>
      <c r="Q88" s="13" t="n">
        <v>12</v>
      </c>
      <c r="R88" s="13" t="s">
        <v>944</v>
      </c>
      <c r="S88" s="13" t="s">
        <v>945</v>
      </c>
      <c r="T88" s="13" t="s">
        <v>946</v>
      </c>
      <c r="U88" s="13" t="s">
        <v>947</v>
      </c>
      <c r="V88" s="13" t="s">
        <v>948</v>
      </c>
      <c r="W88" s="13" t="str">
        <f aca="false">IF(OR(ISNUMBER(SEARCH("gesha",G88)),ISNUMBER(SEARCH("geisha",G88))),"⭐ GESHA","")</f>
        <v>⭐ GESHA</v>
      </c>
      <c r="X88" s="13" t="s">
        <v>343</v>
      </c>
    </row>
    <row r="89" customFormat="false" ht="156" hidden="false" customHeight="true" outlineLevel="0" collapsed="false">
      <c r="A89" s="12" t="n">
        <v>46260</v>
      </c>
      <c r="B89" s="13" t="s">
        <v>52</v>
      </c>
      <c r="C89" s="13" t="s">
        <v>668</v>
      </c>
      <c r="D89" s="13" t="s">
        <v>949</v>
      </c>
      <c r="E89" s="13" t="s">
        <v>950</v>
      </c>
      <c r="F89" s="13" t="s">
        <v>951</v>
      </c>
      <c r="G89" s="13" t="s">
        <v>952</v>
      </c>
      <c r="H89" s="13" t="s">
        <v>953</v>
      </c>
      <c r="I89" s="13" t="s">
        <v>146</v>
      </c>
      <c r="J89" s="13" t="s">
        <v>954</v>
      </c>
      <c r="K89" s="13" t="s">
        <v>27</v>
      </c>
      <c r="L89" s="13" t="s">
        <v>27</v>
      </c>
      <c r="M89" s="13" t="s">
        <v>27</v>
      </c>
      <c r="N89" s="13" t="s">
        <v>27</v>
      </c>
      <c r="O89" s="13" t="s">
        <v>27</v>
      </c>
      <c r="P89" s="13" t="s">
        <v>954</v>
      </c>
      <c r="Q89" s="13" t="n">
        <v>10</v>
      </c>
      <c r="R89" s="13" t="s">
        <v>955</v>
      </c>
      <c r="S89" s="13" t="s">
        <v>956</v>
      </c>
      <c r="T89" s="13" t="s">
        <v>957</v>
      </c>
      <c r="U89" s="13" t="s">
        <v>958</v>
      </c>
      <c r="V89" s="13" t="s">
        <v>959</v>
      </c>
      <c r="W89" s="13" t="str">
        <f aca="false">IF(OR(ISNUMBER(SEARCH("gesha",G89)),ISNUMBER(SEARCH("geisha",G89))),"⭐ GESHA","")</f>
        <v/>
      </c>
      <c r="X89" s="13" t="s">
        <v>679</v>
      </c>
    </row>
    <row r="90" customFormat="false" ht="156" hidden="false" customHeight="true" outlineLevel="0" collapsed="false">
      <c r="A90" s="12" t="n">
        <v>46263</v>
      </c>
      <c r="B90" s="13" t="s">
        <v>52</v>
      </c>
      <c r="C90" s="13" t="s">
        <v>251</v>
      </c>
      <c r="D90" s="13" t="s">
        <v>960</v>
      </c>
      <c r="E90" s="13" t="s">
        <v>27</v>
      </c>
      <c r="F90" s="13" t="s">
        <v>639</v>
      </c>
      <c r="G90" s="13" t="s">
        <v>196</v>
      </c>
      <c r="H90" s="13" t="s">
        <v>58</v>
      </c>
      <c r="I90" s="13" t="s">
        <v>146</v>
      </c>
      <c r="J90" s="13" t="s">
        <v>815</v>
      </c>
      <c r="K90" s="13" t="s">
        <v>961</v>
      </c>
      <c r="L90" s="13" t="s">
        <v>962</v>
      </c>
      <c r="M90" s="13" t="s">
        <v>963</v>
      </c>
      <c r="N90" s="13" t="s">
        <v>964</v>
      </c>
      <c r="O90" s="13" t="s">
        <v>27</v>
      </c>
      <c r="P90" s="13" t="s">
        <v>387</v>
      </c>
      <c r="Q90" s="13" t="n">
        <v>10</v>
      </c>
      <c r="R90" s="13" t="s">
        <v>965</v>
      </c>
      <c r="S90" s="13" t="s">
        <v>966</v>
      </c>
      <c r="T90" s="13" t="s">
        <v>967</v>
      </c>
      <c r="U90" s="13" t="s">
        <v>968</v>
      </c>
      <c r="V90" s="13" t="s">
        <v>969</v>
      </c>
      <c r="W90" s="13" t="str">
        <f aca="false">IF(OR(ISNUMBER(SEARCH("gesha",G90)),ISNUMBER(SEARCH("geisha",G90))),"⭐ GESHA","")</f>
        <v>⭐ GESHA</v>
      </c>
      <c r="X90" s="13" t="s">
        <v>259</v>
      </c>
    </row>
  </sheetData>
  <conditionalFormatting sqref="A2:W2000">
    <cfRule type="expression" priority="2" aboveAverage="0" equalAverage="0" bottom="0" percent="0" rank="0" text="" dxfId="0">
      <formula>AND($A2&lt;&gt;"",OR(ISNUMBER(SEARCH("gesha",$G2)),ISNUMBER(SEARCH("geisha",$G2))))</formula>
    </cfRule>
    <cfRule type="expression" priority="3" aboveAverage="0" equalAverage="0" bottom="0" percent="0" rank="0" text="" dxfId="1">
      <formula>AND($A2&lt;&gt;"",MOD(ROW(),2)=0)</formula>
    </cfRule>
    <cfRule type="expression" priority="4" aboveAverage="0" equalAverage="0" bottom="0" percent="0" rank="0" text="" dxfId="2">
      <formula>AND($A2&lt;&gt;"",MOD(ROW(),2)=1)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902A"/>
    <pageSetUpPr fitToPage="false"/>
  </sheetPr>
  <dimension ref="B1:M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4.5"/>
    <col collapsed="false" customWidth="true" hidden="false" outlineLevel="0" max="3" min="3" style="1" width="26"/>
    <col collapsed="false" customWidth="true" hidden="false" outlineLevel="0" max="4" min="4" style="1" width="17"/>
    <col collapsed="false" customWidth="true" hidden="false" outlineLevel="0" max="5" min="5" style="1" width="13"/>
    <col collapsed="false" customWidth="true" hidden="false" outlineLevel="0" max="6" min="6" style="1" width="9.52"/>
    <col collapsed="false" customWidth="true" hidden="false" outlineLevel="0" max="7" min="7" style="1" width="12"/>
    <col collapsed="false" customWidth="true" hidden="false" outlineLevel="0" max="13" min="8" style="1" width="10"/>
  </cols>
  <sheetData>
    <row r="1" customFormat="false" ht="30" hidden="false" customHeight="true" outlineLevel="0" collapsed="false">
      <c r="B1" s="14" t="s">
        <v>970</v>
      </c>
      <c r="C1" s="14"/>
      <c r="D1" s="14"/>
      <c r="E1" s="14"/>
      <c r="F1" s="14"/>
      <c r="G1" s="14"/>
      <c r="H1" s="14"/>
      <c r="I1" s="14"/>
      <c r="J1" s="14"/>
      <c r="K1" s="14"/>
      <c r="L1" s="14"/>
      <c r="M1" s="14"/>
    </row>
    <row r="2" customFormat="false" ht="13.5" hidden="false" customHeight="true" outlineLevel="0" collapsed="false">
      <c r="B2" s="15" t="s">
        <v>971</v>
      </c>
      <c r="C2" s="15"/>
      <c r="D2" s="15"/>
      <c r="E2" s="15"/>
      <c r="F2" s="15"/>
      <c r="G2" s="15"/>
      <c r="H2" s="15"/>
      <c r="I2" s="15"/>
      <c r="J2" s="15"/>
      <c r="K2" s="15"/>
      <c r="L2" s="15"/>
      <c r="M2" s="15"/>
    </row>
    <row r="3" customFormat="false" ht="6" hidden="false" customHeight="true" outlineLevel="0" collapsed="false"/>
    <row r="4" customFormat="false" ht="16.5" hidden="false" customHeight="true" outlineLevel="0" collapsed="false">
      <c r="B4" s="16" t="s">
        <v>972</v>
      </c>
      <c r="C4" s="16"/>
      <c r="D4" s="16"/>
      <c r="E4" s="16"/>
      <c r="F4" s="16"/>
      <c r="G4" s="16"/>
      <c r="H4" s="16"/>
      <c r="I4" s="16"/>
      <c r="J4" s="16"/>
      <c r="K4" s="16"/>
      <c r="L4" s="16"/>
      <c r="M4" s="16"/>
    </row>
    <row r="5" customFormat="false" ht="3.75" hidden="false" customHeight="true" outlineLevel="0" collapsed="false"/>
    <row r="6" customFormat="false" ht="13.5" hidden="false" customHeight="true" outlineLevel="0" collapsed="false">
      <c r="B6" s="17" t="s">
        <v>973</v>
      </c>
      <c r="C6" s="17"/>
      <c r="D6" s="18" t="s">
        <v>974</v>
      </c>
      <c r="E6" s="18" t="s">
        <v>975</v>
      </c>
      <c r="F6" s="18" t="s">
        <v>976</v>
      </c>
      <c r="G6" s="18" t="s">
        <v>977</v>
      </c>
      <c r="H6" s="17" t="s">
        <v>978</v>
      </c>
      <c r="I6" s="17"/>
      <c r="J6" s="18" t="s">
        <v>979</v>
      </c>
      <c r="K6" s="18" t="s">
        <v>980</v>
      </c>
      <c r="L6" s="18" t="s">
        <v>981</v>
      </c>
      <c r="M6" s="18" t="s">
        <v>982</v>
      </c>
    </row>
    <row r="7" customFormat="false" ht="30" hidden="false" customHeight="true" outlineLevel="0" collapsed="false">
      <c r="B7" s="19" t="n">
        <f aca="false">COUNTA('Coffee Audit'!A2:A2000)</f>
        <v>89</v>
      </c>
      <c r="C7" s="19"/>
      <c r="D7" s="20" t="n">
        <f aca="false">SUMPRODUCT(('Coffee Audit'!C2:C2000&lt;&gt;"")/COUNTIF('Coffee Audit'!C2:C2000,'Coffee Audit'!C2:C2000&amp;""))</f>
        <v>44</v>
      </c>
      <c r="E7" s="20" t="n">
        <f aca="false">SUMPRODUCT(('Coffee Audit'!B2:B2000&lt;&gt;"")/COUNTIF('Coffee Audit'!B2:B2000,'Coffee Audit'!B2:B2000&amp;""))</f>
        <v>4</v>
      </c>
      <c r="F7" s="20" t="n">
        <f aca="false">COUNTIF('Coffee Audit'!W2:W2000,"⭐ GESHA")</f>
        <v>25</v>
      </c>
      <c r="G7" s="20" t="str">
        <f aca="false">TEXT(COUNTIF('Coffee Audit'!H2:H2000,"*Washed*")/COUNTA('Coffee Audit'!A2:A2000),"0%")</f>
        <v>54%</v>
      </c>
      <c r="H7" s="19" t="n">
        <f aca="false">SUM('Coffee Audit'!Q2:Q2000)</f>
        <v>842.75</v>
      </c>
      <c r="I7" s="19"/>
      <c r="J7" s="21" t="n">
        <f aca="false">AVERAGEIFS('Coffee Audit'!Q2:Q2000,'Coffee Audit'!Q2:Q2000,"&gt;0")</f>
        <v>11.5445205479452</v>
      </c>
      <c r="K7" s="21" t="n">
        <f aca="false">AVERAGEIFS('Coffee Audit'!Q2:Q2000,'Coffee Audit'!W2:W2000,"⭐ GESHA",'Coffee Audit'!Q2:Q2000,"&gt;0")</f>
        <v>15.766</v>
      </c>
      <c r="L7" s="21" t="n">
        <f aca="false">MAX('Coffee Audit'!Q2:Q2000)</f>
        <v>60</v>
      </c>
      <c r="M7" s="22" t="n">
        <f aca="false">SUMPRODUCT(('Coffee Audit'!F2:F2000&lt;&gt;"")/COUNTIF('Coffee Audit'!F2:F2000,'Coffee Audit'!F2:F2000&amp;""))</f>
        <v>58</v>
      </c>
    </row>
    <row r="8" customFormat="false" ht="12" hidden="false" customHeight="true" outlineLevel="0" collapsed="false">
      <c r="B8" s="23" t="s">
        <v>983</v>
      </c>
      <c r="C8" s="23"/>
      <c r="D8" s="24" t="s">
        <v>984</v>
      </c>
      <c r="E8" s="24" t="s">
        <v>985</v>
      </c>
      <c r="F8" s="24" t="str">
        <f aca="false">TEXT(COUNTIF('Coffee Audit'!W2:W2000,"⭐ GESHA")/COUNTA('Coffee Audit'!A2:A2000),"0%")&amp;" of archive"</f>
        <v>28% of archive</v>
      </c>
      <c r="G8" s="24" t="s">
        <v>986</v>
      </c>
      <c r="H8" s="23" t="s">
        <v>987</v>
      </c>
      <c r="I8" s="23"/>
      <c r="J8" s="24" t="s">
        <v>988</v>
      </c>
      <c r="K8" s="24" t="s">
        <v>988</v>
      </c>
      <c r="L8" s="24" t="s">
        <v>988</v>
      </c>
      <c r="M8" s="24" t="s">
        <v>988</v>
      </c>
    </row>
    <row r="9" customFormat="false" ht="6.75" hidden="false" customHeight="true" outlineLevel="0" collapsed="false"/>
    <row r="10" customFormat="false" ht="16.5" hidden="false" customHeight="true" outlineLevel="0" collapsed="false">
      <c r="B10" s="25" t="s">
        <v>989</v>
      </c>
      <c r="C10" s="25"/>
      <c r="D10" s="25"/>
      <c r="E10" s="25"/>
      <c r="F10" s="25"/>
      <c r="G10" s="25"/>
      <c r="H10" s="25"/>
      <c r="I10" s="25"/>
      <c r="J10" s="25"/>
      <c r="K10" s="25"/>
      <c r="L10" s="25"/>
      <c r="M10" s="25"/>
    </row>
    <row r="11" customFormat="false" ht="12" hidden="false" customHeight="true" outlineLevel="0" collapsed="false">
      <c r="B11" s="26" t="s">
        <v>990</v>
      </c>
      <c r="C11" s="26"/>
      <c r="D11" s="27" t="s">
        <v>991</v>
      </c>
      <c r="E11" s="27" t="s">
        <v>992</v>
      </c>
      <c r="F11" s="27" t="s">
        <v>993</v>
      </c>
      <c r="G11" s="27" t="s">
        <v>994</v>
      </c>
      <c r="H11" s="27" t="s">
        <v>995</v>
      </c>
      <c r="I11" s="27" t="s">
        <v>996</v>
      </c>
      <c r="J11" s="26" t="s">
        <v>997</v>
      </c>
      <c r="K11" s="26"/>
      <c r="L11" s="26" t="s">
        <v>998</v>
      </c>
      <c r="M11" s="26"/>
    </row>
    <row r="12" customFormat="false" ht="24" hidden="false" customHeight="true" outlineLevel="0" collapsed="false">
      <c r="B12" s="28" t="n">
        <f aca="false">INDEX('Coffee Audit'!A2:A2000,COUNTA('Coffee Audit'!A2:A2000))</f>
        <v>46263</v>
      </c>
      <c r="C12" s="28"/>
      <c r="D12" s="29" t="str">
        <f aca="false">INDEX('Coffee Audit'!C2:C2000,COUNTA('Coffee Audit'!A2:A2000))</f>
        <v>Nylon Coffee Roasters</v>
      </c>
      <c r="E12" s="29" t="str">
        <f aca="false">INDEX('Coffee Audit'!D2:D2000,COUNTA('Coffee Audit'!A2:A2000))</f>
        <v>La Lucuma</v>
      </c>
      <c r="F12" s="29" t="str">
        <f aca="false">INDEX('Coffee Audit'!F2:F2000,COUNTA('Coffee Audit'!A2:A2000))</f>
        <v>Peru</v>
      </c>
      <c r="G12" s="29" t="str">
        <f aca="false">INDEX('Coffee Audit'!G2:G2000,COUNTA('Coffee Audit'!A2:A2000))</f>
        <v>Geisha</v>
      </c>
      <c r="H12" s="29" t="str">
        <f aca="false">INDEX('Coffee Audit'!H2:H2000,COUNTA('Coffee Audit'!A2:A2000))</f>
        <v>Washed</v>
      </c>
      <c r="I12" s="29" t="str">
        <f aca="false">INDEX('Coffee Audit'!M2:M2000,COUNTA('Coffee Audit'!A2:A2000))</f>
        <v>Slightly less than 1:17 (barista-confirmed — deviation from house standard on the day)</v>
      </c>
      <c r="J12" s="30" t="str">
        <f aca="false">INDEX('Coffee Audit'!N2:N2000,COUNTA('Coffee Audit'!A2:A2000))</f>
        <v>93°C (Constant — house standard)</v>
      </c>
      <c r="K12" s="30"/>
      <c r="L12" s="31" t="n">
        <f aca="false">INDEX('Coffee Audit'!Q2:Q2000,COUNTA('Coffee Audit'!A2:A2000))</f>
        <v>10</v>
      </c>
      <c r="M12" s="31"/>
    </row>
    <row r="13" customFormat="false" ht="6.75" hidden="false" customHeight="true" outlineLevel="0" collapsed="false"/>
    <row r="14" customFormat="false" ht="16.5" hidden="false" customHeight="true" outlineLevel="0" collapsed="false">
      <c r="B14" s="25" t="str">
        <f aca="false">"  ⭐  GESHA / GEISHA HALL OF FAME   —   all "&amp;COUNTIF('Coffee Audit'!W2:W2000,"⭐ GESHA")&amp;" apex-varietal cups, ranked by price paid"</f>
        <v>  ⭐  GESHA / GEISHA HALL OF FAME   —   all 25 apex-varietal cups, ranked by price paid</v>
      </c>
      <c r="C14" s="25"/>
      <c r="D14" s="25"/>
      <c r="E14" s="25"/>
      <c r="F14" s="25"/>
      <c r="G14" s="25"/>
      <c r="H14" s="25"/>
      <c r="I14" s="25"/>
      <c r="J14" s="25"/>
      <c r="K14" s="25"/>
      <c r="L14" s="25"/>
      <c r="M14" s="25"/>
    </row>
    <row r="15" customFormat="false" ht="15" hidden="false" customHeight="true" outlineLevel="0" collapsed="false">
      <c r="B15" s="32" t="s">
        <v>999</v>
      </c>
      <c r="C15" s="32" t="s">
        <v>1000</v>
      </c>
      <c r="D15" s="32" t="s">
        <v>1001</v>
      </c>
      <c r="E15" s="32" t="s">
        <v>7</v>
      </c>
      <c r="F15" s="32" t="s">
        <v>1002</v>
      </c>
      <c r="G15" s="33" t="s">
        <v>1003</v>
      </c>
      <c r="H15" s="33"/>
    </row>
    <row r="16" customFormat="false" ht="12.75" hidden="false" customHeight="true" outlineLevel="0" collapsed="false">
      <c r="B16" s="34" t="n">
        <v>1</v>
      </c>
      <c r="C16" s="35" t="s">
        <v>668</v>
      </c>
      <c r="D16" s="35" t="s">
        <v>1004</v>
      </c>
      <c r="E16" s="36" t="s">
        <v>58</v>
      </c>
      <c r="F16" s="37" t="n">
        <v>60</v>
      </c>
      <c r="G16" s="38" t="s">
        <v>1005</v>
      </c>
      <c r="H16" s="38"/>
    </row>
    <row r="17" customFormat="false" ht="12.75" hidden="false" customHeight="true" outlineLevel="0" collapsed="false">
      <c r="B17" s="39" t="n">
        <v>2</v>
      </c>
      <c r="C17" s="40" t="s">
        <v>322</v>
      </c>
      <c r="D17" s="40" t="s">
        <v>1006</v>
      </c>
      <c r="E17" s="41" t="s">
        <v>29</v>
      </c>
      <c r="F17" s="42" t="n">
        <v>32</v>
      </c>
      <c r="G17" s="43"/>
    </row>
    <row r="18" customFormat="false" ht="12.75" hidden="false" customHeight="true" outlineLevel="0" collapsed="false">
      <c r="B18" s="44" t="n">
        <v>3</v>
      </c>
      <c r="C18" s="45" t="s">
        <v>646</v>
      </c>
      <c r="D18" s="45" t="s">
        <v>1007</v>
      </c>
      <c r="E18" s="46" t="s">
        <v>58</v>
      </c>
      <c r="F18" s="47" t="n">
        <v>21</v>
      </c>
      <c r="G18" s="48"/>
      <c r="H18" s="48"/>
    </row>
    <row r="19" customFormat="false" ht="12.75" hidden="false" customHeight="true" outlineLevel="0" collapsed="false">
      <c r="B19" s="49" t="n">
        <v>4</v>
      </c>
      <c r="C19" s="50" t="s">
        <v>555</v>
      </c>
      <c r="D19" s="50" t="s">
        <v>1008</v>
      </c>
      <c r="E19" s="51" t="s">
        <v>29</v>
      </c>
      <c r="F19" s="52" t="n">
        <v>19</v>
      </c>
      <c r="G19" s="53"/>
      <c r="H19" s="53"/>
    </row>
    <row r="20" customFormat="false" ht="12.75" hidden="false" customHeight="true" outlineLevel="0" collapsed="false">
      <c r="B20" s="44" t="n">
        <v>5</v>
      </c>
      <c r="C20" s="45" t="s">
        <v>1009</v>
      </c>
      <c r="D20" s="45" t="s">
        <v>1010</v>
      </c>
      <c r="E20" s="46" t="s">
        <v>58</v>
      </c>
      <c r="F20" s="47" t="n">
        <v>18</v>
      </c>
      <c r="G20" s="48"/>
      <c r="H20" s="48"/>
    </row>
    <row r="21" customFormat="false" ht="12.75" hidden="false" customHeight="true" outlineLevel="0" collapsed="false">
      <c r="B21" s="49" t="n">
        <v>6</v>
      </c>
      <c r="C21" s="50" t="s">
        <v>622</v>
      </c>
      <c r="D21" s="50" t="s">
        <v>1011</v>
      </c>
      <c r="E21" s="51" t="s">
        <v>29</v>
      </c>
      <c r="F21" s="52" t="n">
        <v>16</v>
      </c>
      <c r="G21" s="53"/>
      <c r="H21" s="53"/>
    </row>
    <row r="22" customFormat="false" ht="12.75" hidden="false" customHeight="true" outlineLevel="0" collapsed="false">
      <c r="B22" s="44" t="n">
        <v>7</v>
      </c>
      <c r="C22" s="45" t="s">
        <v>713</v>
      </c>
      <c r="D22" s="45" t="s">
        <v>1012</v>
      </c>
      <c r="E22" s="46" t="s">
        <v>58</v>
      </c>
      <c r="F22" s="47" t="n">
        <v>16</v>
      </c>
      <c r="G22" s="48"/>
      <c r="H22" s="48"/>
    </row>
    <row r="23" customFormat="false" ht="12.75" hidden="false" customHeight="true" outlineLevel="0" collapsed="false">
      <c r="B23" s="49" t="n">
        <v>8</v>
      </c>
      <c r="C23" s="50" t="s">
        <v>401</v>
      </c>
      <c r="D23" s="50" t="s">
        <v>1013</v>
      </c>
      <c r="E23" s="51" t="s">
        <v>404</v>
      </c>
      <c r="F23" s="52" t="n">
        <v>15</v>
      </c>
      <c r="G23" s="53"/>
      <c r="H23" s="53"/>
    </row>
    <row r="24" customFormat="false" ht="12.75" hidden="false" customHeight="true" outlineLevel="0" collapsed="false">
      <c r="B24" s="44" t="n">
        <v>9</v>
      </c>
      <c r="C24" s="45" t="s">
        <v>607</v>
      </c>
      <c r="D24" s="45" t="s">
        <v>1014</v>
      </c>
      <c r="E24" s="46" t="s">
        <v>404</v>
      </c>
      <c r="F24" s="47" t="n">
        <v>15</v>
      </c>
      <c r="G24" s="48"/>
      <c r="H24" s="48"/>
    </row>
    <row r="25" customFormat="false" ht="12.75" hidden="false" customHeight="true" outlineLevel="0" collapsed="false">
      <c r="B25" s="49" t="n">
        <v>10</v>
      </c>
      <c r="C25" s="50" t="s">
        <v>322</v>
      </c>
      <c r="D25" s="50" t="s">
        <v>1015</v>
      </c>
      <c r="E25" s="51" t="s">
        <v>58</v>
      </c>
      <c r="F25" s="52" t="n">
        <v>14</v>
      </c>
      <c r="G25" s="53" t="s">
        <v>1016</v>
      </c>
      <c r="H25" s="53"/>
    </row>
    <row r="26" customFormat="false" ht="12.75" hidden="false" customHeight="true" outlineLevel="0" collapsed="false">
      <c r="B26" s="44" t="n">
        <v>11</v>
      </c>
      <c r="C26" s="45" t="s">
        <v>431</v>
      </c>
      <c r="D26" s="45" t="s">
        <v>1014</v>
      </c>
      <c r="E26" s="46" t="s">
        <v>58</v>
      </c>
      <c r="F26" s="47" t="n">
        <v>13</v>
      </c>
      <c r="G26" s="48"/>
      <c r="H26" s="48"/>
    </row>
    <row r="27" customFormat="false" ht="12.75" hidden="false" customHeight="true" outlineLevel="0" collapsed="false">
      <c r="B27" s="39" t="n">
        <v>12</v>
      </c>
      <c r="C27" s="40" t="s">
        <v>877</v>
      </c>
      <c r="D27" s="40" t="s">
        <v>1017</v>
      </c>
      <c r="E27" s="41" t="s">
        <v>1018</v>
      </c>
      <c r="F27" s="42" t="n">
        <v>13</v>
      </c>
      <c r="G27" s="43"/>
    </row>
    <row r="28" customFormat="false" ht="12.75" hidden="false" customHeight="true" outlineLevel="0" collapsed="false">
      <c r="B28" s="49" t="n">
        <v>13</v>
      </c>
      <c r="C28" s="50" t="s">
        <v>167</v>
      </c>
      <c r="D28" s="50" t="s">
        <v>1019</v>
      </c>
      <c r="E28" s="51" t="s">
        <v>58</v>
      </c>
      <c r="F28" s="52" t="n">
        <v>12.5</v>
      </c>
      <c r="G28" s="53"/>
      <c r="H28" s="53"/>
    </row>
    <row r="29" customFormat="false" ht="12.75" hidden="false" customHeight="true" outlineLevel="0" collapsed="false">
      <c r="B29" s="44" t="n">
        <v>14</v>
      </c>
      <c r="C29" s="45" t="s">
        <v>192</v>
      </c>
      <c r="D29" s="45" t="s">
        <v>1020</v>
      </c>
      <c r="E29" s="46" t="s">
        <v>197</v>
      </c>
      <c r="F29" s="47" t="n">
        <v>12</v>
      </c>
      <c r="G29" s="48"/>
      <c r="H29" s="48"/>
    </row>
    <row r="30" customFormat="false" ht="12.75" hidden="false" customHeight="true" outlineLevel="0" collapsed="false">
      <c r="B30" s="49" t="n">
        <v>15</v>
      </c>
      <c r="C30" s="50" t="s">
        <v>431</v>
      </c>
      <c r="D30" s="50" t="s">
        <v>1021</v>
      </c>
      <c r="E30" s="51" t="s">
        <v>58</v>
      </c>
      <c r="F30" s="52" t="n">
        <v>12</v>
      </c>
      <c r="G30" s="53"/>
      <c r="H30" s="53"/>
    </row>
    <row r="31" customFormat="false" ht="12.75" hidden="false" customHeight="true" outlineLevel="0" collapsed="false">
      <c r="B31" s="44" t="n">
        <v>16</v>
      </c>
      <c r="C31" s="45" t="s">
        <v>748</v>
      </c>
      <c r="D31" s="45" t="s">
        <v>1022</v>
      </c>
      <c r="E31" s="46" t="s">
        <v>29</v>
      </c>
      <c r="F31" s="47" t="n">
        <v>12</v>
      </c>
      <c r="G31" s="48"/>
      <c r="H31" s="48"/>
    </row>
    <row r="32" customFormat="false" ht="12.75" hidden="false" customHeight="true" outlineLevel="0" collapsed="false">
      <c r="B32" s="39" t="n">
        <v>17</v>
      </c>
      <c r="C32" s="40" t="s">
        <v>332</v>
      </c>
      <c r="D32" s="40" t="s">
        <v>1023</v>
      </c>
      <c r="E32" s="41" t="s">
        <v>58</v>
      </c>
      <c r="F32" s="42" t="n">
        <v>12</v>
      </c>
      <c r="G32" s="43" t="s">
        <v>1024</v>
      </c>
    </row>
    <row r="33" customFormat="false" ht="12.75" hidden="false" customHeight="true" outlineLevel="0" collapsed="false">
      <c r="B33" s="49" t="n">
        <v>18</v>
      </c>
      <c r="C33" s="50" t="s">
        <v>920</v>
      </c>
      <c r="D33" s="50" t="s">
        <v>1025</v>
      </c>
      <c r="E33" s="51" t="s">
        <v>1018</v>
      </c>
      <c r="F33" s="52" t="n">
        <v>11.75</v>
      </c>
      <c r="G33" s="53" t="s">
        <v>1026</v>
      </c>
      <c r="H33" s="53"/>
    </row>
    <row r="34" customFormat="false" ht="12.75" hidden="false" customHeight="true" outlineLevel="0" collapsed="false">
      <c r="B34" s="54" t="n">
        <v>19</v>
      </c>
      <c r="C34" s="55" t="s">
        <v>167</v>
      </c>
      <c r="D34" s="55" t="s">
        <v>1021</v>
      </c>
      <c r="E34" s="56" t="s">
        <v>58</v>
      </c>
      <c r="F34" s="57" t="n">
        <v>11</v>
      </c>
      <c r="G34" s="58"/>
      <c r="H34" s="58"/>
    </row>
    <row r="35" customFormat="false" ht="12.75" hidden="false" customHeight="true" outlineLevel="0" collapsed="false">
      <c r="B35" s="49" t="n">
        <v>20</v>
      </c>
      <c r="C35" s="50" t="s">
        <v>784</v>
      </c>
      <c r="D35" s="50" t="s">
        <v>1027</v>
      </c>
      <c r="E35" s="51" t="s">
        <v>404</v>
      </c>
      <c r="F35" s="52" t="n">
        <v>10.5</v>
      </c>
      <c r="G35" s="53" t="s">
        <v>1028</v>
      </c>
      <c r="H35" s="53"/>
    </row>
    <row r="36" customFormat="false" ht="12.75" hidden="false" customHeight="true" outlineLevel="0" collapsed="false">
      <c r="B36" s="44" t="n">
        <v>21</v>
      </c>
      <c r="C36" s="45" t="s">
        <v>668</v>
      </c>
      <c r="D36" s="45" t="s">
        <v>1029</v>
      </c>
      <c r="E36" s="46" t="s">
        <v>1018</v>
      </c>
      <c r="F36" s="47" t="n">
        <v>10</v>
      </c>
      <c r="G36" s="48"/>
      <c r="H36" s="48"/>
    </row>
    <row r="37" customFormat="false" ht="12.75" hidden="false" customHeight="true" outlineLevel="0" collapsed="false">
      <c r="B37" s="49" t="n">
        <v>22</v>
      </c>
      <c r="C37" s="50" t="s">
        <v>577</v>
      </c>
      <c r="D37" s="50" t="s">
        <v>1030</v>
      </c>
      <c r="E37" s="51" t="s">
        <v>29</v>
      </c>
      <c r="F37" s="52" t="n">
        <v>9.9</v>
      </c>
      <c r="G37" s="53"/>
      <c r="H37" s="53"/>
    </row>
    <row r="38" customFormat="false" ht="12.75" hidden="false" customHeight="true" outlineLevel="0" collapsed="false">
      <c r="B38" s="49" t="n">
        <v>23</v>
      </c>
      <c r="C38" s="50" t="s">
        <v>115</v>
      </c>
      <c r="D38" s="50" t="s">
        <v>1031</v>
      </c>
      <c r="E38" s="51" t="s">
        <v>58</v>
      </c>
      <c r="F38" s="49" t="n">
        <v>9.5</v>
      </c>
      <c r="G38" s="59"/>
    </row>
    <row r="39" customFormat="false" ht="12.75" hidden="false" customHeight="true" outlineLevel="0" collapsed="false">
      <c r="B39" s="49" t="n">
        <v>24</v>
      </c>
      <c r="C39" s="50" t="s">
        <v>322</v>
      </c>
      <c r="D39" s="50" t="s">
        <v>1032</v>
      </c>
      <c r="E39" s="51" t="s">
        <v>58</v>
      </c>
      <c r="F39" s="49" t="n">
        <v>9</v>
      </c>
      <c r="G39" s="59" t="s">
        <v>1033</v>
      </c>
    </row>
    <row r="40" customFormat="false" ht="16.5" hidden="false" customHeight="true" outlineLevel="0" collapsed="false">
      <c r="B40" s="60" t="str">
        <f aca="false">"GESHA PREMIUM ECONOMICS   ·   avg Gesha "&amp;TEXT(AVERAGEIFS('Coffee Audit'!Q2:Q2000,'Coffee Audit'!W2:W2000,"⭐ GESHA",'Coffee Audit'!Q2:Q2000,"&gt;0"),"""S$""#,##0.00")&amp;"   vs   non-Gesha "&amp;TEXT(AVERAGEIFS('Coffee Audit'!Q2:Q2000,'Coffee Audit'!W2:W2000,"",'Coffee Audit'!Q2:Q2000,"&gt;0"),"""S$""#,##0.00")&amp;"   =   +"&amp;TEXT(AVERAGEIFS('Coffee Audit'!Q2:Q2000,'Coffee Audit'!W2:W2000,"⭐ GESHA",'Coffee Audit'!Q2:Q2000,"&gt;0")/AVERAGEIFS('Coffee Audit'!Q2:Q2000,'Coffee Audit'!W2:W2000,"",'Coffee Audit'!Q2:Q2000,"&gt;0")-1,"0%")&amp;" premium   ·   "&amp;COUNTIF('Coffee Audit'!W2:W2000,"⭐ GESHA")&amp;" of "&amp;COUNTA('Coffee Audit'!A2:A2000)&amp;" cups ("&amp;TEXT(COUNTIF('Coffee Audit'!W2:W2000,"⭐ GESHA")/COUNTA('Coffee Audit'!A2:A2000),"0%")&amp;") are the apex varietal"</f>
        <v>GESHA PREMIUM ECONOMICS   ·   avg Gesha S$15.77   vs   non-Gesha S$9.35   =   +69% premium   ·   25 of 89 cups (28%) are the apex varietal</v>
      </c>
    </row>
    <row r="41" customFormat="false" ht="15" hidden="false" customHeight="true" outlineLevel="0" collapsed="false">
      <c r="B41" s="61"/>
      <c r="C41" s="61"/>
      <c r="D41" s="61"/>
      <c r="E41" s="61"/>
      <c r="F41" s="61"/>
      <c r="G41" s="61"/>
      <c r="H41" s="61"/>
      <c r="I41" s="61"/>
      <c r="J41" s="61"/>
      <c r="K41" s="61"/>
      <c r="L41" s="61"/>
      <c r="M41" s="61"/>
    </row>
    <row r="42" customFormat="false" ht="12.75" hidden="false" customHeight="true" outlineLevel="0" collapsed="false">
      <c r="B42" s="62" t="s">
        <v>1034</v>
      </c>
      <c r="F42" s="61"/>
      <c r="G42" s="61"/>
      <c r="H42" s="61"/>
      <c r="I42" s="61"/>
      <c r="J42" s="61"/>
      <c r="K42" s="61"/>
      <c r="L42" s="61"/>
      <c r="M42" s="61"/>
    </row>
    <row r="43" customFormat="false" ht="12.75" hidden="false" customHeight="true" outlineLevel="0" collapsed="false">
      <c r="B43" s="32" t="s">
        <v>1035</v>
      </c>
      <c r="C43" s="32" t="s">
        <v>1036</v>
      </c>
      <c r="D43" s="32" t="s">
        <v>1037</v>
      </c>
      <c r="E43" s="32" t="s">
        <v>1038</v>
      </c>
      <c r="F43" s="33" t="s">
        <v>1039</v>
      </c>
      <c r="G43" s="33"/>
      <c r="H43" s="33"/>
      <c r="I43" s="33"/>
      <c r="J43" s="33"/>
      <c r="K43" s="33"/>
      <c r="L43" s="33"/>
      <c r="M43" s="33"/>
    </row>
    <row r="44" customFormat="false" ht="12.75" hidden="false" customHeight="true" outlineLevel="0" collapsed="false">
      <c r="B44" s="63" t="s">
        <v>1040</v>
      </c>
      <c r="C44" s="49" t="n">
        <f aca="false">COUNTIF('Coffee Audit'!H2:H2000,"*Washed*")</f>
        <v>48</v>
      </c>
      <c r="D44" s="51" t="str">
        <f aca="false">TEXT(COUNTIF('Coffee Audit'!H2:H2000,"*Washed*")/COUNTA('Coffee Audit'!A2:A2000),"0%")</f>
        <v>54%</v>
      </c>
      <c r="E44" s="64" t="s">
        <v>1041</v>
      </c>
      <c r="F44" s="65" t="s">
        <v>1042</v>
      </c>
      <c r="G44" s="65"/>
      <c r="H44" s="65"/>
      <c r="I44" s="65"/>
      <c r="J44" s="65"/>
      <c r="K44" s="65"/>
      <c r="L44" s="65"/>
      <c r="M44" s="65"/>
    </row>
    <row r="45" customFormat="false" ht="12.75" hidden="false" customHeight="true" outlineLevel="0" collapsed="false">
      <c r="B45" s="66" t="s">
        <v>1043</v>
      </c>
      <c r="C45" s="44" t="n">
        <f aca="false">COUNTIF('Coffee Audit'!H2:H2000,"*Natural*")</f>
        <v>30</v>
      </c>
      <c r="D45" s="46" t="str">
        <f aca="false">TEXT(COUNTIF('Coffee Audit'!H2:H2000,"*Natural*")/COUNTA('Coffee Audit'!A2:A2000),"0%")</f>
        <v>34%</v>
      </c>
      <c r="E45" s="67" t="s">
        <v>1044</v>
      </c>
      <c r="F45" s="68" t="s">
        <v>1045</v>
      </c>
      <c r="G45" s="68"/>
      <c r="H45" s="68"/>
      <c r="I45" s="68"/>
      <c r="J45" s="68"/>
      <c r="K45" s="68"/>
      <c r="L45" s="68"/>
      <c r="M45" s="68"/>
    </row>
    <row r="46" customFormat="false" ht="12.75" hidden="false" customHeight="true" outlineLevel="0" collapsed="false">
      <c r="B46" s="63" t="s">
        <v>1046</v>
      </c>
      <c r="C46" s="49" t="n">
        <f aca="false">COUNTIF('Coffee Audit'!H2:H2000,"*Honey*")</f>
        <v>7</v>
      </c>
      <c r="D46" s="51" t="str">
        <f aca="false">TEXT(COUNTIF('Coffee Audit'!H2:H2000,"*Honey*")/COUNTA('Coffee Audit'!A2:A2000),"0%")</f>
        <v>8%</v>
      </c>
      <c r="E46" s="64" t="s">
        <v>1047</v>
      </c>
      <c r="F46" s="65" t="s">
        <v>1048</v>
      </c>
      <c r="G46" s="65"/>
      <c r="H46" s="65"/>
      <c r="I46" s="65"/>
      <c r="J46" s="65"/>
      <c r="K46" s="65"/>
      <c r="L46" s="65"/>
      <c r="M46" s="65"/>
    </row>
    <row r="47" customFormat="false" ht="12.75" hidden="false" customHeight="true" outlineLevel="0" collapsed="false">
      <c r="B47" s="66" t="s">
        <v>1049</v>
      </c>
      <c r="C47" s="44" t="n">
        <f aca="false">COUNTIF('Coffee Audit'!H2:H2000,"*Anaerobic*")</f>
        <v>14</v>
      </c>
      <c r="D47" s="46" t="str">
        <f aca="false">TEXT(COUNTIF('Coffee Audit'!H2:H2000,"*Anaerobic*")/COUNTA('Coffee Audit'!A2:A2000),"0%")</f>
        <v>16%</v>
      </c>
      <c r="E47" s="67" t="s">
        <v>1050</v>
      </c>
      <c r="F47" s="68" t="s">
        <v>1051</v>
      </c>
      <c r="G47" s="68"/>
      <c r="H47" s="68"/>
      <c r="I47" s="68"/>
      <c r="J47" s="68"/>
      <c r="K47" s="68"/>
      <c r="L47" s="68"/>
      <c r="M47" s="68"/>
    </row>
    <row r="48" customFormat="false" ht="15" hidden="false" customHeight="true" outlineLevel="0" collapsed="false">
      <c r="B48" s="63" t="s">
        <v>1052</v>
      </c>
      <c r="C48" s="49" t="n">
        <f aca="false">COUNTIF('Coffee Audit'!H2:H2000,"*Ferment*")</f>
        <v>9</v>
      </c>
      <c r="D48" s="51" t="str">
        <f aca="false">TEXT(COUNTIF('Coffee Audit'!H2:H2000,"*Ferment*")/COUNTA('Coffee Audit'!A2:A2000),"0%")</f>
        <v>10%</v>
      </c>
      <c r="E48" s="64" t="s">
        <v>1053</v>
      </c>
      <c r="F48" s="65" t="s">
        <v>1054</v>
      </c>
      <c r="G48" s="65"/>
      <c r="H48" s="65"/>
      <c r="I48" s="65"/>
      <c r="J48" s="65"/>
      <c r="K48" s="65"/>
      <c r="L48" s="65"/>
      <c r="M48" s="65"/>
    </row>
    <row r="49" customFormat="false" ht="16.5" hidden="false" customHeight="true" outlineLevel="0" collapsed="false">
      <c r="B49" s="66" t="s">
        <v>1055</v>
      </c>
      <c r="C49" s="44" t="n">
        <f aca="false">COUNTIF('Coffee Audit'!H2:H2000,"*Hulled*")</f>
        <v>1</v>
      </c>
      <c r="D49" s="46" t="str">
        <f aca="false">TEXT(COUNTIF('Coffee Audit'!H2:H2000,"*Hulled*")/COUNTA('Coffee Audit'!A2:A2000),"0%")</f>
        <v>1%</v>
      </c>
      <c r="E49" s="67" t="s">
        <v>1056</v>
      </c>
      <c r="F49" s="69" t="s">
        <v>1057</v>
      </c>
    </row>
    <row r="50" customFormat="false" ht="15" hidden="false" customHeight="true" outlineLevel="0" collapsed="false">
      <c r="B50" s="61"/>
      <c r="C50" s="61"/>
      <c r="D50" s="61"/>
      <c r="E50" s="61"/>
      <c r="F50" s="61"/>
      <c r="G50" s="61"/>
      <c r="H50" s="61"/>
      <c r="I50" s="61"/>
      <c r="J50" s="61"/>
      <c r="K50" s="61"/>
      <c r="L50" s="61"/>
      <c r="M50" s="61"/>
    </row>
    <row r="51" customFormat="false" ht="12.75" hidden="false" customHeight="true" outlineLevel="0" collapsed="false">
      <c r="B51" s="62" t="s">
        <v>1058</v>
      </c>
      <c r="G51" s="61"/>
      <c r="H51" s="61"/>
      <c r="I51" s="61"/>
      <c r="J51" s="61"/>
      <c r="K51" s="61"/>
      <c r="L51" s="61"/>
      <c r="M51" s="61"/>
    </row>
    <row r="52" customFormat="false" ht="12.75" hidden="false" customHeight="true" outlineLevel="0" collapsed="false">
      <c r="B52" s="32" t="s">
        <v>5</v>
      </c>
      <c r="C52" s="32" t="s">
        <v>1036</v>
      </c>
      <c r="D52" s="32" t="s">
        <v>1059</v>
      </c>
      <c r="E52" s="32" t="s">
        <v>171</v>
      </c>
      <c r="F52" s="32" t="s">
        <v>1060</v>
      </c>
      <c r="G52" s="33" t="s">
        <v>1061</v>
      </c>
      <c r="H52" s="33"/>
      <c r="I52" s="33"/>
      <c r="J52" s="33"/>
      <c r="K52" s="33"/>
      <c r="L52" s="33"/>
      <c r="M52" s="33"/>
    </row>
    <row r="53" customFormat="false" ht="12.75" hidden="false" customHeight="true" outlineLevel="0" collapsed="false">
      <c r="B53" s="63" t="s">
        <v>118</v>
      </c>
      <c r="C53" s="49" t="n">
        <f aca="false">COUNTIF('Coffee Audit'!F2:F2000,"*Colombia*")</f>
        <v>22</v>
      </c>
      <c r="D53" s="51" t="str">
        <f aca="false">TEXT(COUNTIF('Coffee Audit'!F2:F2000,"*Colombia*")/COUNTA('Coffee Audit'!A2:A2000),"0%")</f>
        <v>25%</v>
      </c>
      <c r="E53" s="70" t="n">
        <f aca="false">SUMPRODUCT(ISNUMBER(SEARCH("Colombia",'Coffee Audit'!F2:F2000))*('Coffee Audit'!W2:W2000="⭐ GESHA"))</f>
        <v>9</v>
      </c>
      <c r="F53" s="71" t="str">
        <f aca="false">REPT("█",COUNTIF('Coffee Audit'!F2:F2000,"*Colombia*"))</f>
        <v>██████████████████████</v>
      </c>
      <c r="G53" s="72" t="s">
        <v>1062</v>
      </c>
      <c r="H53" s="72"/>
      <c r="I53" s="72"/>
      <c r="J53" s="72"/>
      <c r="K53" s="72"/>
      <c r="L53" s="72"/>
      <c r="M53" s="72"/>
    </row>
    <row r="54" customFormat="false" ht="12.75" hidden="false" customHeight="true" outlineLevel="0" collapsed="false">
      <c r="B54" s="66" t="s">
        <v>266</v>
      </c>
      <c r="C54" s="44" t="n">
        <f aca="false">COUNTIF('Coffee Audit'!F2:F2000,"*Ethiopia*")</f>
        <v>9</v>
      </c>
      <c r="D54" s="46" t="str">
        <f aca="false">TEXT(COUNTIF('Coffee Audit'!F2:F2000,"*Ethiopia*")/COUNTA('Coffee Audit'!A2:A2000),"0%")</f>
        <v>10%</v>
      </c>
      <c r="E54" s="73" t="n">
        <f aca="false">SUMPRODUCT(ISNUMBER(SEARCH("Ethiopia",'Coffee Audit'!F2:F2000))*('Coffee Audit'!W2:W2000="⭐ GESHA"))</f>
        <v>0</v>
      </c>
      <c r="F54" s="74" t="str">
        <f aca="false">REPT("█",COUNTIF('Coffee Audit'!F2:F2000,"*Ethiopia*"))</f>
        <v>█████████</v>
      </c>
      <c r="G54" s="75" t="s">
        <v>1063</v>
      </c>
      <c r="H54" s="75"/>
      <c r="I54" s="75"/>
      <c r="J54" s="75"/>
      <c r="K54" s="75"/>
      <c r="L54" s="75"/>
      <c r="M54" s="75"/>
    </row>
    <row r="55" customFormat="false" ht="12.75" hidden="false" customHeight="true" outlineLevel="0" collapsed="false">
      <c r="B55" s="63" t="s">
        <v>639</v>
      </c>
      <c r="C55" s="49" t="n">
        <f aca="false">COUNTIF('Coffee Audit'!F2:F2000,"*Peru*")</f>
        <v>9</v>
      </c>
      <c r="D55" s="51" t="str">
        <f aca="false">TEXT(COUNTIF('Coffee Audit'!F2:F2000,"*Peru*")/COUNTA('Coffee Audit'!A2:A2000),"0%")</f>
        <v>10%</v>
      </c>
      <c r="E55" s="70" t="n">
        <f aca="false">SUMPRODUCT(ISNUMBER(SEARCH("Peru",'Coffee Audit'!F2:F2000))*('Coffee Audit'!W2:W2000="⭐ GESHA"))</f>
        <v>7</v>
      </c>
      <c r="F55" s="71" t="str">
        <f aca="false">REPT("█",COUNTIF('Coffee Audit'!F2:F2000,"*Peru*"))</f>
        <v>█████████</v>
      </c>
      <c r="G55" s="72" t="s">
        <v>1064</v>
      </c>
      <c r="H55" s="72"/>
      <c r="I55" s="72"/>
      <c r="J55" s="72"/>
      <c r="K55" s="72"/>
      <c r="L55" s="72"/>
      <c r="M55" s="72"/>
    </row>
    <row r="56" customFormat="false" ht="12.75" hidden="false" customHeight="true" outlineLevel="0" collapsed="false">
      <c r="B56" s="66" t="s">
        <v>127</v>
      </c>
      <c r="C56" s="44" t="n">
        <f aca="false">COUNTIF('Coffee Audit'!F2:F2000,"*Kenya*")</f>
        <v>5</v>
      </c>
      <c r="D56" s="46" t="str">
        <f aca="false">TEXT(COUNTIF('Coffee Audit'!F2:F2000,"*Kenya*")/COUNTA('Coffee Audit'!A2:A2000),"0%")</f>
        <v>6%</v>
      </c>
      <c r="E56" s="73" t="n">
        <f aca="false">SUMPRODUCT(ISNUMBER(SEARCH("Kenya",'Coffee Audit'!F2:F2000))*('Coffee Audit'!W2:W2000="⭐ GESHA"))</f>
        <v>0</v>
      </c>
      <c r="F56" s="74" t="str">
        <f aca="false">REPT("█",COUNTIF('Coffee Audit'!F2:F2000,"*Kenya*"))</f>
        <v>█████</v>
      </c>
      <c r="G56" s="75" t="s">
        <v>1065</v>
      </c>
      <c r="H56" s="75"/>
      <c r="I56" s="75"/>
      <c r="J56" s="75"/>
      <c r="K56" s="75"/>
      <c r="L56" s="75"/>
      <c r="M56" s="75"/>
    </row>
    <row r="57" customFormat="false" ht="12.75" hidden="false" customHeight="true" outlineLevel="0" collapsed="false">
      <c r="B57" s="63" t="s">
        <v>253</v>
      </c>
      <c r="C57" s="49" t="n">
        <f aca="false">COUNTIF('Coffee Audit'!F2:F2000,"*Brazil*")</f>
        <v>5</v>
      </c>
      <c r="D57" s="51" t="str">
        <f aca="false">TEXT(COUNTIF('Coffee Audit'!F2:F2000,"*Brazil*")/COUNTA('Coffee Audit'!A2:A2000),"0%")</f>
        <v>6%</v>
      </c>
      <c r="E57" s="70" t="n">
        <f aca="false">SUMPRODUCT(ISNUMBER(SEARCH("Brazil",'Coffee Audit'!F2:F2000))*('Coffee Audit'!W2:W2000="⭐ GESHA"))</f>
        <v>0</v>
      </c>
      <c r="F57" s="71" t="str">
        <f aca="false">REPT("█",COUNTIF('Coffee Audit'!F2:F2000,"*Brazil*"))</f>
        <v>█████</v>
      </c>
      <c r="G57" s="72" t="s">
        <v>1066</v>
      </c>
      <c r="H57" s="72"/>
      <c r="I57" s="72"/>
      <c r="J57" s="72"/>
      <c r="K57" s="72"/>
      <c r="L57" s="72"/>
      <c r="M57" s="72"/>
    </row>
    <row r="58" customFormat="false" ht="12.75" hidden="false" customHeight="true" outlineLevel="0" collapsed="false">
      <c r="B58" s="66" t="s">
        <v>694</v>
      </c>
      <c r="C58" s="44" t="n">
        <f aca="false">COUNTIF('Coffee Audit'!F2:F2000,"*Panama*")</f>
        <v>7</v>
      </c>
      <c r="D58" s="46" t="str">
        <f aca="false">TEXT(COUNTIF('Coffee Audit'!F2:F2000,"*Panama*")/COUNTA('Coffee Audit'!A2:A2000),"0%")</f>
        <v>8%</v>
      </c>
      <c r="E58" s="73" t="n">
        <f aca="false">SUMPRODUCT(ISNUMBER(SEARCH("Panama",'Coffee Audit'!F2:F2000))*('Coffee Audit'!W2:W2000="⭐ GESHA"))</f>
        <v>7</v>
      </c>
      <c r="F58" s="74" t="str">
        <f aca="false">REPT("█",COUNTIF('Coffee Audit'!F2:F2000,"*Panama*"))</f>
        <v>███████</v>
      </c>
      <c r="G58" s="75" t="s">
        <v>1067</v>
      </c>
      <c r="H58" s="75"/>
      <c r="I58" s="75"/>
      <c r="J58" s="75"/>
      <c r="K58" s="75"/>
      <c r="L58" s="75"/>
      <c r="M58" s="75"/>
    </row>
    <row r="59" customFormat="false" ht="12.75" hidden="false" customHeight="true" outlineLevel="0" collapsed="false">
      <c r="B59" s="63" t="s">
        <v>1068</v>
      </c>
      <c r="C59" s="49" t="n">
        <f aca="false">COUNTIF('Coffee Audit'!F2:F2000,"*Indonesia*")</f>
        <v>4</v>
      </c>
      <c r="D59" s="51" t="str">
        <f aca="false">TEXT(COUNTIF('Coffee Audit'!F2:F2000,"*Indonesia*")/COUNTA('Coffee Audit'!A2:A2000),"0%")</f>
        <v>4%</v>
      </c>
      <c r="E59" s="70" t="n">
        <f aca="false">SUMPRODUCT(ISNUMBER(SEARCH("Indonesia",'Coffee Audit'!F2:F2000))*('Coffee Audit'!W2:W2000="⭐ GESHA"))</f>
        <v>0</v>
      </c>
      <c r="F59" s="71" t="str">
        <f aca="false">REPT("█",COUNTIF('Coffee Audit'!F2:F2000,"*Indonesia*"))</f>
        <v>████</v>
      </c>
      <c r="G59" s="72" t="s">
        <v>1069</v>
      </c>
      <c r="H59" s="72"/>
      <c r="I59" s="72"/>
      <c r="J59" s="72"/>
      <c r="K59" s="72"/>
      <c r="L59" s="72"/>
      <c r="M59" s="72"/>
    </row>
    <row r="60" customFormat="false" ht="12.75" hidden="false" customHeight="true" outlineLevel="0" collapsed="false">
      <c r="B60" s="66" t="s">
        <v>98</v>
      </c>
      <c r="C60" s="44" t="n">
        <f aca="false">COUNTIF('Coffee Audit'!F2:F2000,"*Honduras*")</f>
        <v>3</v>
      </c>
      <c r="D60" s="46" t="str">
        <f aca="false">TEXT(COUNTIF('Coffee Audit'!F2:F2000,"*Honduras*")/COUNTA('Coffee Audit'!A2:A2000),"0%")</f>
        <v>3%</v>
      </c>
      <c r="E60" s="73" t="n">
        <f aca="false">SUMPRODUCT(ISNUMBER(SEARCH("Honduras",'Coffee Audit'!F2:F2000))*('Coffee Audit'!W2:W2000="⭐ GESHA"))</f>
        <v>0</v>
      </c>
      <c r="F60" s="74" t="str">
        <f aca="false">REPT("█",COUNTIF('Coffee Audit'!F2:F2000,"*Honduras*"))</f>
        <v>███</v>
      </c>
      <c r="G60" s="75" t="s">
        <v>1070</v>
      </c>
      <c r="H60" s="75"/>
      <c r="I60" s="75"/>
      <c r="J60" s="75"/>
      <c r="K60" s="75"/>
      <c r="L60" s="75"/>
      <c r="M60" s="75"/>
    </row>
    <row r="61" customFormat="false" ht="15" hidden="false" customHeight="true" outlineLevel="0" collapsed="false">
      <c r="B61" s="63" t="s">
        <v>1071</v>
      </c>
      <c r="C61" s="49" t="n">
        <f aca="false">COUNTIF('Coffee Audit'!F2:F2000,"*Thailand*")</f>
        <v>3</v>
      </c>
      <c r="D61" s="51" t="str">
        <f aca="false">TEXT(COUNTIF('Coffee Audit'!F2:F2000,"*Thailand*")/COUNTA('Coffee Audit'!A2:A2000),"0%")</f>
        <v>3%</v>
      </c>
      <c r="E61" s="70" t="n">
        <f aca="false">SUMPRODUCT(ISNUMBER(SEARCH("Thailand",'Coffee Audit'!F2:F2000))*('Coffee Audit'!W2:W2000="⭐ GESHA"))</f>
        <v>1</v>
      </c>
      <c r="F61" s="71" t="str">
        <f aca="false">REPT("█",COUNTIF('Coffee Audit'!F2:F2000,"*Thailand*"))</f>
        <v>███</v>
      </c>
      <c r="G61" s="72" t="s">
        <v>1072</v>
      </c>
      <c r="H61" s="72"/>
      <c r="I61" s="72"/>
      <c r="J61" s="72"/>
      <c r="K61" s="72"/>
      <c r="L61" s="72"/>
      <c r="M61" s="72"/>
    </row>
    <row r="62" customFormat="false" ht="16.5" hidden="false" customHeight="true" outlineLevel="0" collapsed="false">
      <c r="B62" s="66" t="s">
        <v>1073</v>
      </c>
      <c r="C62" s="44" t="n">
        <f aca="false">COUNTIF('Coffee Audit'!F2:F2000,"*Guatemala*")</f>
        <v>1</v>
      </c>
      <c r="D62" s="46" t="str">
        <f aca="false">TEXT(COUNTIF('Coffee Audit'!F2:F2000,"*Guatemala*")/COUNTA('Coffee Audit'!A2:A2000),"0%")</f>
        <v>1%</v>
      </c>
      <c r="E62" s="73" t="n">
        <f aca="false">SUMPRODUCT(ISNUMBER(SEARCH("Guatemala",'Coffee Audit'!F2:F2000))*('Coffee Audit'!W2:W2000="⭐ GESHA"))</f>
        <v>0</v>
      </c>
      <c r="F62" s="74" t="str">
        <f aca="false">REPT("█",COUNTIF('Coffee Audit'!F2:F2000,"*Guatemala*"))</f>
        <v>█</v>
      </c>
      <c r="G62" s="67" t="s">
        <v>1074</v>
      </c>
    </row>
    <row r="63" customFormat="false" ht="15" hidden="false" customHeight="true" outlineLevel="0" collapsed="false">
      <c r="B63" s="61"/>
      <c r="C63" s="61"/>
      <c r="D63" s="61"/>
      <c r="E63" s="61"/>
      <c r="F63" s="61"/>
      <c r="G63" s="61"/>
      <c r="H63" s="61"/>
      <c r="I63" s="61"/>
      <c r="J63" s="61"/>
      <c r="K63" s="61"/>
      <c r="L63" s="61"/>
      <c r="M63" s="61"/>
    </row>
    <row r="64" customFormat="false" ht="12.75" hidden="false" customHeight="true" outlineLevel="0" collapsed="false">
      <c r="B64" s="62" t="s">
        <v>1075</v>
      </c>
      <c r="F64" s="61"/>
      <c r="G64" s="61"/>
      <c r="H64" s="61"/>
      <c r="I64" s="61"/>
      <c r="J64" s="61"/>
      <c r="K64" s="61"/>
      <c r="L64" s="61"/>
      <c r="M64" s="61"/>
    </row>
    <row r="65" customFormat="false" ht="12.75" hidden="false" customHeight="true" outlineLevel="0" collapsed="false">
      <c r="B65" s="32" t="s">
        <v>1076</v>
      </c>
      <c r="C65" s="32" t="s">
        <v>1036</v>
      </c>
      <c r="D65" s="32" t="s">
        <v>1059</v>
      </c>
      <c r="E65" s="32" t="s">
        <v>1077</v>
      </c>
      <c r="F65" s="33" t="s">
        <v>1078</v>
      </c>
      <c r="G65" s="33"/>
      <c r="H65" s="33"/>
      <c r="I65" s="33"/>
      <c r="J65" s="33"/>
      <c r="K65" s="33"/>
      <c r="L65" s="33"/>
      <c r="M65" s="33"/>
    </row>
    <row r="66" customFormat="false" ht="12.75" hidden="false" customHeight="true" outlineLevel="0" collapsed="false">
      <c r="B66" s="63" t="s">
        <v>1079</v>
      </c>
      <c r="C66" s="49" t="n">
        <f aca="false">SUM(COUNTIF('Coffee Audit'!M2:M2000,{"1:13*","1:14*"}))</f>
        <v>12</v>
      </c>
      <c r="D66" s="51" t="str">
        <f aca="false">TEXT(SUM(COUNTIF('Coffee Audit'!M2:M2000,{"1:13*","1:14*"}))/COUNTA('Coffee Audit'!A2:A2000),"0%")</f>
        <v>13%</v>
      </c>
      <c r="E66" s="76" t="s">
        <v>1080</v>
      </c>
      <c r="F66" s="72" t="s">
        <v>1081</v>
      </c>
      <c r="G66" s="72"/>
      <c r="H66" s="72"/>
      <c r="I66" s="72"/>
      <c r="J66" s="72"/>
      <c r="K66" s="72"/>
      <c r="L66" s="72"/>
      <c r="M66" s="72"/>
    </row>
    <row r="67" customFormat="false" ht="12.75" hidden="false" customHeight="true" outlineLevel="0" collapsed="false">
      <c r="B67" s="66" t="s">
        <v>1082</v>
      </c>
      <c r="C67" s="44" t="n">
        <f aca="false">SUM(COUNTIF('Coffee Audit'!M2:M2000,{"1:15*"}))</f>
        <v>27</v>
      </c>
      <c r="D67" s="46" t="str">
        <f aca="false">TEXT(SUM(COUNTIF('Coffee Audit'!M2:M2000,{"1:15*"}))/COUNTA('Coffee Audit'!A2:A2000),"0%")</f>
        <v>30%</v>
      </c>
      <c r="E67" s="77" t="s">
        <v>1083</v>
      </c>
      <c r="F67" s="75" t="s">
        <v>1084</v>
      </c>
      <c r="G67" s="75"/>
      <c r="H67" s="75"/>
      <c r="I67" s="75"/>
      <c r="J67" s="75"/>
      <c r="K67" s="75"/>
      <c r="L67" s="75"/>
      <c r="M67" s="75"/>
    </row>
    <row r="68" customFormat="false" ht="13.5" hidden="false" customHeight="true" outlineLevel="0" collapsed="false">
      <c r="B68" s="63" t="s">
        <v>1085</v>
      </c>
      <c r="C68" s="49" t="n">
        <f aca="false">SUM(COUNTIF('Coffee Audit'!M2:M2000,{"1:16*"}))</f>
        <v>19</v>
      </c>
      <c r="D68" s="51" t="str">
        <f aca="false">TEXT(SUM(COUNTIF('Coffee Audit'!M2:M2000,{"1:16*"}))/COUNTA('Coffee Audit'!A2:A2000),"0%")</f>
        <v>21%</v>
      </c>
      <c r="E68" s="76" t="s">
        <v>1083</v>
      </c>
      <c r="F68" s="72" t="s">
        <v>1086</v>
      </c>
      <c r="G68" s="72"/>
      <c r="H68" s="72"/>
      <c r="I68" s="72"/>
      <c r="J68" s="72"/>
      <c r="K68" s="72"/>
      <c r="L68" s="72"/>
      <c r="M68" s="72"/>
    </row>
    <row r="69" customFormat="false" ht="15" hidden="false" customHeight="true" outlineLevel="0" collapsed="false">
      <c r="B69" s="63" t="s">
        <v>1087</v>
      </c>
      <c r="C69" s="49" t="n">
        <f aca="false">SUM(COUNTIF('Coffee Audit'!M2:M2000,{"1:17*"}))</f>
        <v>8</v>
      </c>
      <c r="D69" s="51" t="str">
        <f aca="false">TEXT(SUM(COUNTIF('Coffee Audit'!M2:M2000,{"1:17*"}))/COUNTA('Coffee Audit'!A2:A2000),"0%")</f>
        <v>9%</v>
      </c>
      <c r="E69" s="76" t="s">
        <v>1083</v>
      </c>
      <c r="F69" s="72" t="s">
        <v>1088</v>
      </c>
      <c r="G69" s="72"/>
      <c r="H69" s="72"/>
      <c r="I69" s="72"/>
      <c r="J69" s="72"/>
      <c r="K69" s="72"/>
      <c r="L69" s="72"/>
      <c r="M69" s="72"/>
    </row>
    <row r="70" customFormat="false" ht="16.5" hidden="false" customHeight="true" outlineLevel="0" collapsed="false">
      <c r="B70" s="78" t="str">
        <f aca="false">"IN-BAND DISCIPLINE   ·   "&amp;SUM(COUNTIF('Coffee Audit'!M2:M2000,{"1:15*","1:16*","1:17*"}))&amp;" of "&amp;COUNTA('Coffee Audit'!A2:A2000)&amp;" logged brews sit inside the 1:15–1:17 Palate DNA band ("&amp;TEXT(SUM(COUNTIF('Coffee Audit'!M2:M2000,{"1:15*","1:16*","1:17*"}))/COUNTA('Coffee Audit'!A2:A2000),"0%")&amp;" of all entries, including those logged Unknown)"</f>
        <v>IN-BAND DISCIPLINE   ·   54 of 89 logged brews sit inside the 1:15–1:17 Palate DNA band (61% of all entries, including those logged Unknown)</v>
      </c>
    </row>
    <row r="71" customFormat="false" ht="15" hidden="false" customHeight="true" outlineLevel="0" collapsed="false">
      <c r="B71" s="61"/>
      <c r="C71" s="61"/>
      <c r="D71" s="61"/>
      <c r="E71" s="61"/>
      <c r="F71" s="61"/>
      <c r="G71" s="61"/>
      <c r="H71" s="61"/>
      <c r="I71" s="61"/>
      <c r="J71" s="61"/>
      <c r="K71" s="61"/>
      <c r="L71" s="61"/>
      <c r="M71" s="61"/>
    </row>
    <row r="72" customFormat="false" ht="12.75" hidden="false" customHeight="true" outlineLevel="0" collapsed="false">
      <c r="B72" s="62" t="s">
        <v>1089</v>
      </c>
      <c r="E72" s="61"/>
      <c r="F72" s="61"/>
      <c r="G72" s="61"/>
      <c r="H72" s="61"/>
      <c r="I72" s="61"/>
      <c r="J72" s="61"/>
      <c r="K72" s="61"/>
      <c r="L72" s="61"/>
      <c r="M72" s="61"/>
    </row>
    <row r="73" customFormat="false" ht="12.75" hidden="false" customHeight="true" outlineLevel="0" collapsed="false">
      <c r="B73" s="32" t="s">
        <v>1090</v>
      </c>
      <c r="C73" s="32" t="s">
        <v>1036</v>
      </c>
      <c r="D73" s="32" t="s">
        <v>1059</v>
      </c>
      <c r="E73" s="33" t="s">
        <v>1091</v>
      </c>
      <c r="F73" s="33"/>
      <c r="G73" s="33"/>
      <c r="H73" s="33"/>
      <c r="I73" s="33"/>
      <c r="J73" s="33"/>
      <c r="K73" s="33"/>
      <c r="L73" s="33"/>
      <c r="M73" s="33"/>
    </row>
    <row r="74" customFormat="false" ht="12.75" hidden="false" customHeight="true" outlineLevel="0" collapsed="false">
      <c r="B74" s="63" t="s">
        <v>1092</v>
      </c>
      <c r="C74" s="49" t="n">
        <f aca="false">COUNTIF('Coffee Audit'!P2:P2000,"*EK43*")</f>
        <v>34</v>
      </c>
      <c r="D74" s="51" t="str">
        <f aca="false">TEXT(COUNTIF('Coffee Audit'!P2:P2000,"*EK43*")/COUNTA('Coffee Audit'!A2:A2000),"0%")</f>
        <v>38%</v>
      </c>
      <c r="E74" s="72" t="s">
        <v>1093</v>
      </c>
      <c r="F74" s="72"/>
      <c r="G74" s="72"/>
      <c r="H74" s="72"/>
      <c r="I74" s="72"/>
      <c r="J74" s="72"/>
      <c r="K74" s="72"/>
      <c r="L74" s="72"/>
      <c r="M74" s="72"/>
    </row>
    <row r="75" customFormat="false" ht="12.75" hidden="false" customHeight="true" outlineLevel="0" collapsed="false">
      <c r="B75" s="66" t="s">
        <v>1094</v>
      </c>
      <c r="C75" s="44" t="n">
        <f aca="false">COUNTIF('Coffee Audit'!P2:P2000,"*Lagom*")</f>
        <v>14</v>
      </c>
      <c r="D75" s="46" t="str">
        <f aca="false">TEXT(COUNTIF('Coffee Audit'!P2:P2000,"*Lagom*")/COUNTA('Coffee Audit'!A2:A2000),"0%")</f>
        <v>16%</v>
      </c>
      <c r="E75" s="75" t="s">
        <v>1095</v>
      </c>
      <c r="F75" s="75"/>
      <c r="G75" s="75"/>
      <c r="H75" s="75"/>
      <c r="I75" s="75"/>
      <c r="J75" s="75"/>
      <c r="K75" s="75"/>
      <c r="L75" s="75"/>
      <c r="M75" s="75"/>
    </row>
    <row r="76" customFormat="false" ht="12.75" hidden="false" customHeight="true" outlineLevel="0" collapsed="false">
      <c r="B76" s="63" t="s">
        <v>1096</v>
      </c>
      <c r="C76" s="49" t="n">
        <f aca="false">SUMPRODUCT(--ISNUMBER(SEARCH("Flat-Bottom",'Coffee Audit'!J2:J2000)))</f>
        <v>34</v>
      </c>
      <c r="D76" s="51" t="str">
        <f aca="false">TEXT(SUMPRODUCT(--ISNUMBER(SEARCH("Flat-Bottom",'Coffee Audit'!J2:J2000)))/COUNTA('Coffee Audit'!A2:A2000),"0%")</f>
        <v>38%</v>
      </c>
      <c r="E76" s="72" t="s">
        <v>1097</v>
      </c>
      <c r="F76" s="72"/>
      <c r="G76" s="72"/>
      <c r="H76" s="72"/>
      <c r="I76" s="72"/>
      <c r="J76" s="72"/>
      <c r="K76" s="72"/>
      <c r="L76" s="72"/>
      <c r="M76" s="72"/>
    </row>
    <row r="77" customFormat="false" ht="15" hidden="false" customHeight="true" outlineLevel="0" collapsed="false">
      <c r="B77" s="66" t="s">
        <v>1098</v>
      </c>
      <c r="C77" s="44" t="n">
        <f aca="false">COUNTIF('Coffee Audit'!J2:J2000,"*V60*")</f>
        <v>21</v>
      </c>
      <c r="D77" s="46" t="str">
        <f aca="false">TEXT(COUNTIF('Coffee Audit'!J2:J2000,"*V60*")/COUNTA('Coffee Audit'!A2:A2000),"0%")</f>
        <v>24%</v>
      </c>
      <c r="E77" s="75" t="s">
        <v>1099</v>
      </c>
      <c r="F77" s="75"/>
      <c r="G77" s="75"/>
      <c r="H77" s="75"/>
      <c r="I77" s="75"/>
      <c r="J77" s="75"/>
      <c r="K77" s="75"/>
      <c r="L77" s="75"/>
      <c r="M77" s="75"/>
    </row>
    <row r="78" customFormat="false" ht="12.75" hidden="false" customHeight="true" outlineLevel="0" collapsed="false">
      <c r="B78" s="63" t="s">
        <v>1100</v>
      </c>
      <c r="C78" s="49" t="n">
        <f aca="false">COUNTIF('Coffee Audit'!J2:J2000,"*Switch*")</f>
        <v>10</v>
      </c>
      <c r="D78" s="51" t="str">
        <f aca="false">TEXT(COUNTIF('Coffee Audit'!J2:J2000,"*Switch*")/COUNTA('Coffee Audit'!A2:A2000),"0%")</f>
        <v>11%</v>
      </c>
      <c r="E78" s="64" t="s">
        <v>1101</v>
      </c>
    </row>
    <row r="79" customFormat="false" ht="12.75" hidden="false" customHeight="true" outlineLevel="0" collapsed="false">
      <c r="B79" s="61"/>
      <c r="C79" s="61"/>
      <c r="D79" s="61"/>
      <c r="E79" s="61"/>
      <c r="F79" s="61"/>
      <c r="G79" s="61"/>
      <c r="H79" s="61"/>
      <c r="I79" s="61"/>
      <c r="J79" s="61"/>
      <c r="K79" s="61"/>
      <c r="L79" s="61"/>
      <c r="M79" s="61"/>
    </row>
    <row r="80" customFormat="false" ht="12.75" hidden="false" customHeight="true" outlineLevel="0" collapsed="false">
      <c r="B80" s="61"/>
      <c r="C80" s="61"/>
      <c r="D80" s="61"/>
      <c r="E80" s="61"/>
      <c r="F80" s="61"/>
      <c r="G80" s="61"/>
      <c r="H80" s="61"/>
      <c r="I80" s="61"/>
      <c r="J80" s="61"/>
      <c r="K80" s="61"/>
      <c r="L80" s="61"/>
      <c r="M80" s="61"/>
    </row>
    <row r="81" customFormat="false" ht="15" hidden="false" customHeight="true" outlineLevel="0" collapsed="false">
      <c r="B81" s="61"/>
      <c r="C81" s="61"/>
      <c r="D81" s="61"/>
      <c r="E81" s="61"/>
      <c r="F81" s="61"/>
      <c r="G81" s="61"/>
      <c r="H81" s="61"/>
      <c r="I81" s="61"/>
      <c r="J81" s="61"/>
      <c r="K81" s="61"/>
      <c r="L81" s="61"/>
      <c r="M81" s="61"/>
    </row>
  </sheetData>
  <mergeCells count="72">
    <mergeCell ref="B1:M1"/>
    <mergeCell ref="B2:M2"/>
    <mergeCell ref="B4:M4"/>
    <mergeCell ref="B6:C6"/>
    <mergeCell ref="H6:I6"/>
    <mergeCell ref="B7:C7"/>
    <mergeCell ref="H7:I7"/>
    <mergeCell ref="B8:C8"/>
    <mergeCell ref="H8:I8"/>
    <mergeCell ref="B10:M10"/>
    <mergeCell ref="B11:C11"/>
    <mergeCell ref="J11:K11"/>
    <mergeCell ref="L11:M11"/>
    <mergeCell ref="B12:C12"/>
    <mergeCell ref="J12:K12"/>
    <mergeCell ref="L12:M12"/>
    <mergeCell ref="B14:M14"/>
    <mergeCell ref="G15:H15"/>
    <mergeCell ref="G16:H16"/>
    <mergeCell ref="G18:H18"/>
    <mergeCell ref="G19:H19"/>
    <mergeCell ref="G20:H20"/>
    <mergeCell ref="G21:H21"/>
    <mergeCell ref="G22:H22"/>
    <mergeCell ref="G23:H23"/>
    <mergeCell ref="G24:H24"/>
    <mergeCell ref="G25:H25"/>
    <mergeCell ref="G26:H26"/>
    <mergeCell ref="G28:H28"/>
    <mergeCell ref="G29:H29"/>
    <mergeCell ref="G30:H30"/>
    <mergeCell ref="G31:H31"/>
    <mergeCell ref="G33:H33"/>
    <mergeCell ref="G34:H34"/>
    <mergeCell ref="G35:H35"/>
    <mergeCell ref="G36:H36"/>
    <mergeCell ref="G37:H37"/>
    <mergeCell ref="B41:M41"/>
    <mergeCell ref="F42:M42"/>
    <mergeCell ref="F43:M43"/>
    <mergeCell ref="F44:M44"/>
    <mergeCell ref="F45:M45"/>
    <mergeCell ref="F46:M46"/>
    <mergeCell ref="F47:M47"/>
    <mergeCell ref="F48:M48"/>
    <mergeCell ref="B50:M50"/>
    <mergeCell ref="G51:M51"/>
    <mergeCell ref="G52:M52"/>
    <mergeCell ref="G53:M53"/>
    <mergeCell ref="G54:M54"/>
    <mergeCell ref="G55:M55"/>
    <mergeCell ref="G56:M56"/>
    <mergeCell ref="G57:M57"/>
    <mergeCell ref="G58:M58"/>
    <mergeCell ref="G59:M59"/>
    <mergeCell ref="G60:M60"/>
    <mergeCell ref="G61:M61"/>
    <mergeCell ref="B63:M63"/>
    <mergeCell ref="F64:M64"/>
    <mergeCell ref="F65:M65"/>
    <mergeCell ref="F66:M66"/>
    <mergeCell ref="F67:M67"/>
    <mergeCell ref="F68:M68"/>
    <mergeCell ref="F69:M69"/>
    <mergeCell ref="B71:M71"/>
    <mergeCell ref="E72:M72"/>
    <mergeCell ref="E73:M73"/>
    <mergeCell ref="E74:M74"/>
    <mergeCell ref="E75:M75"/>
    <mergeCell ref="E76:M76"/>
    <mergeCell ref="E77:M77"/>
    <mergeCell ref="B79:M8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1B9A"/>
    <pageSetUpPr fitToPage="false"/>
  </sheetPr>
  <dimension ref="B1:L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8"/>
    <col collapsed="false" customWidth="true" hidden="false" outlineLevel="0" max="4" min="4" style="1" width="6"/>
    <col collapsed="false" customWidth="true" hidden="false" outlineLevel="0" max="5" min="5" style="1" width="30"/>
    <col collapsed="false" customWidth="true" hidden="false" outlineLevel="0" max="6" min="6" style="1" width="14"/>
    <col collapsed="false" customWidth="true" hidden="false" outlineLevel="0" max="7" min="7" style="1" width="5"/>
    <col collapsed="false" customWidth="true" hidden="false" outlineLevel="0" max="8" min="8" style="1" width="14"/>
    <col collapsed="false" customWidth="true" hidden="false" outlineLevel="0" max="9" min="9" style="1" width="8"/>
    <col collapsed="false" customWidth="true" hidden="false" outlineLevel="0" max="10" min="10"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79" t="s">
        <v>1102</v>
      </c>
      <c r="C1" s="79"/>
      <c r="D1" s="79"/>
      <c r="E1" s="79"/>
      <c r="F1" s="79"/>
      <c r="G1" s="79"/>
      <c r="H1" s="79"/>
      <c r="I1" s="79"/>
      <c r="J1" s="79"/>
      <c r="K1" s="79"/>
      <c r="L1" s="79"/>
    </row>
    <row r="2" customFormat="false" ht="13.5" hidden="false" customHeight="true" outlineLevel="0" collapsed="false">
      <c r="B2" s="80" t="str">
        <f aca="false">"What "&amp;COUNTA('Coffee Audit'!A2:A2000)&amp;" cups reveal about one palate — malic acid · linalool · flat-bottom geometry · washed clarity"</f>
        <v>What 89 cups reveal about one palate — malic acid · linalool · flat-bottom geometry · washed clarity</v>
      </c>
      <c r="C2" s="80"/>
      <c r="D2" s="80"/>
      <c r="E2" s="80"/>
      <c r="F2" s="80"/>
      <c r="G2" s="80"/>
      <c r="H2" s="80"/>
      <c r="I2" s="80"/>
      <c r="J2" s="80"/>
      <c r="K2" s="80"/>
      <c r="L2" s="80"/>
    </row>
    <row r="3" customFormat="false" ht="6" hidden="false" customHeight="true" outlineLevel="0" collapsed="false"/>
    <row r="4" customFormat="false" ht="15.75" hidden="false" customHeight="true" outlineLevel="0" collapsed="false">
      <c r="B4" s="81" t="s">
        <v>1103</v>
      </c>
      <c r="C4" s="81"/>
      <c r="D4" s="81"/>
      <c r="E4" s="81"/>
      <c r="F4" s="81"/>
      <c r="G4" s="81"/>
      <c r="H4" s="81"/>
      <c r="I4" s="81"/>
      <c r="J4" s="81"/>
      <c r="K4" s="81"/>
      <c r="L4" s="81"/>
    </row>
    <row r="5" customFormat="false" ht="13.5" hidden="false" customHeight="true" outlineLevel="0" collapsed="false">
      <c r="B5" s="82" t="str">
        <f aca="false">"CLARITY OVER COMPLEXITY.  Across "&amp;COUNTA('Coffee Audit'!A2:A2000)&amp;" cups and seven months, one pattern dominates: "&amp;TEXT(COUNTIF('Coffee Audit'!H2:H2000,"*Washed*")/COUNTA('Coffee Audit'!A2:A2000),"0%")&amp;" of all entries fall in the Washed process family. The palate responds strongest to malic-acid stone fruit (white peach, nectarine, apricot, mandarin) and linalool/geraniol florals (jasmine, honeysuckle, orange blossom) carried on a clean, low-noise base. Fermentation-forward processing is logged as archive data, not as preference — the ceiling was formally confirmed at Entry #059. Gesha/Geisha remains the apex varietal at "&amp;COUNTIF('Coffee Audit'!W2:W2000,"⭐ GESHA")&amp;" cups ("&amp;TEXT(COUNTIF('Coffee Audit'!W2:W2000,"⭐ GESHA")/COUNTA('Coffee Audit'!A2:A2000),"0%")&amp;"), commanding a "&amp;TEXT(AVERAGEIFS('Coffee Audit'!Q2:Q2000,'Coffee Audit'!W2:W2000,"⭐ GESHA",'Coffee Audit'!Q2:Q2000,"&gt;0")/AVERAGEIFS('Coffee Audit'!Q2:Q2000,'Coffee Audit'!W2:W2000,"",'Coffee Audit'!Q2:Q2000,"&gt;0")-1,"0%")&amp;" premium over everything else."</f>
        <v>CLARITY OVER COMPLEXITY.  Across 89 cups and seven months, one pattern dominates: 54% of all entries fall in the Washed process family. The palate responds strongest to malic-acid stone fruit (white peach, nectarine, apricot, mandarin) and linalool/geraniol florals (jasmine, honeysuckle, orange blossom) carried on a clean, low-noise base. Fermentation-forward processing is logged as archive data, not as preference — the ceiling was formally confirmed at Entry #059. Gesha/Geisha remains the apex varietal at 25 cups (28%), commanding a 69% premium over everything else.</v>
      </c>
      <c r="C5" s="82"/>
      <c r="D5" s="82"/>
      <c r="E5" s="82"/>
      <c r="F5" s="82"/>
      <c r="G5" s="82"/>
      <c r="H5" s="82"/>
      <c r="I5" s="82"/>
      <c r="J5" s="82"/>
      <c r="K5" s="82"/>
      <c r="L5" s="82"/>
    </row>
    <row r="6" customFormat="false" ht="13.5" hidden="false" customHeight="true" outlineLevel="0" collapsed="false">
      <c r="B6" s="82"/>
      <c r="C6" s="82"/>
      <c r="D6" s="82"/>
      <c r="E6" s="82"/>
      <c r="F6" s="82"/>
      <c r="G6" s="82"/>
      <c r="H6" s="82"/>
      <c r="I6" s="82"/>
      <c r="J6" s="82"/>
      <c r="K6" s="82"/>
      <c r="L6" s="82"/>
    </row>
    <row r="7" customFormat="false" ht="13.5" hidden="false" customHeight="true" outlineLevel="0" collapsed="false">
      <c r="B7" s="82"/>
      <c r="C7" s="82"/>
      <c r="D7" s="82"/>
      <c r="E7" s="82"/>
      <c r="F7" s="82"/>
      <c r="G7" s="82"/>
      <c r="H7" s="82"/>
      <c r="I7" s="82"/>
      <c r="J7" s="82"/>
      <c r="K7" s="82"/>
      <c r="L7" s="82"/>
    </row>
    <row r="9" customFormat="false" ht="6" hidden="false" customHeight="true" outlineLevel="0" collapsed="false"/>
    <row r="10" customFormat="false" ht="15.75" hidden="false" customHeight="true" outlineLevel="0" collapsed="false">
      <c r="B10" s="81" t="str">
        <f aca="false">"  🍯  PROCESS PREFERENCE SPECTRUM   —   live across "&amp;COUNTA('Coffee Audit'!A2:A2000)&amp;" entries"</f>
        <v>  🍯  PROCESS PREFERENCE SPECTRUM   —   live across 89 entries</v>
      </c>
      <c r="C10" s="81"/>
      <c r="D10" s="81"/>
      <c r="E10" s="81"/>
      <c r="F10" s="81"/>
      <c r="G10" s="81"/>
      <c r="H10" s="81" t="s">
        <v>1104</v>
      </c>
      <c r="I10" s="81"/>
      <c r="J10" s="81"/>
      <c r="K10" s="81"/>
      <c r="L10" s="81"/>
    </row>
    <row r="11" customFormat="false" ht="15.75" hidden="false" customHeight="true" outlineLevel="0" collapsed="false">
      <c r="B11" s="83" t="s">
        <v>7</v>
      </c>
      <c r="C11" s="83" t="s">
        <v>1105</v>
      </c>
      <c r="D11" s="83" t="s">
        <v>1106</v>
      </c>
      <c r="E11" s="83" t="s">
        <v>1038</v>
      </c>
      <c r="F11" s="83" t="s">
        <v>1107</v>
      </c>
      <c r="H11" s="83" t="s">
        <v>1108</v>
      </c>
      <c r="I11" s="83" t="s">
        <v>1105</v>
      </c>
      <c r="J11" s="83" t="s">
        <v>1109</v>
      </c>
    </row>
    <row r="12" customFormat="false" ht="12.75" hidden="false" customHeight="true" outlineLevel="0" collapsed="false">
      <c r="B12" s="84" t="s">
        <v>58</v>
      </c>
      <c r="C12" s="84" t="n">
        <f aca="false">COUNTIF('Coffee Audit'!H2:H2000,"*Washed*")</f>
        <v>48</v>
      </c>
      <c r="D12" s="85" t="str">
        <f aca="false">TEXT(COUNTIF('Coffee Audit'!H2:H2000,"*Washed*")/COUNTA('Coffee Audit'!A2:A2000),"0%")</f>
        <v>54%</v>
      </c>
      <c r="E12" s="86" t="s">
        <v>1110</v>
      </c>
      <c r="F12" s="87" t="s">
        <v>1111</v>
      </c>
      <c r="H12" s="88" t="s">
        <v>1112</v>
      </c>
      <c r="I12" s="89" t="n">
        <f aca="false">SUMPRODUCT(('Coffee Audit'!A2:A2000&lt;&gt;"")*((ISNUMBER(SEARCH("85",'Coffee Audit'!N2:N2000))+ISNUMBER(SEARCH("86",'Coffee Audit'!N2:N2000))+ISNUMBER(SEARCH("87",'Coffee Audit'!N2:N2000))+ISNUMBER(SEARCH("88",'Coffee Audit'!N2:N2000))+ISNUMBER(SEARCH("89",'Coffee Audit'!N2:N2000)))&gt;0))</f>
        <v>5</v>
      </c>
      <c r="J12" s="89" t="s">
        <v>1113</v>
      </c>
    </row>
    <row r="13" customFormat="false" ht="12.75" hidden="false" customHeight="true" outlineLevel="0" collapsed="false">
      <c r="B13" s="90" t="s">
        <v>29</v>
      </c>
      <c r="C13" s="90" t="n">
        <f aca="false">COUNTIF('Coffee Audit'!H2:H2000,"*Natural*")</f>
        <v>30</v>
      </c>
      <c r="D13" s="91" t="str">
        <f aca="false">TEXT(COUNTIF('Coffee Audit'!H2:H2000,"*Natural*")/COUNTA('Coffee Audit'!A2:A2000),"0%")</f>
        <v>34%</v>
      </c>
      <c r="E13" s="92" t="s">
        <v>1114</v>
      </c>
      <c r="F13" s="93" t="s">
        <v>1115</v>
      </c>
      <c r="H13" s="94" t="s">
        <v>1116</v>
      </c>
      <c r="I13" s="95" t="n">
        <f aca="false">SUMPRODUCT(('Coffee Audit'!A2:A2000&lt;&gt;"")*((ISNUMBER(SEARCH("90",'Coffee Audit'!N2:N2000))+ISNUMBER(SEARCH("91",'Coffee Audit'!N2:N2000)))&gt;0))</f>
        <v>21</v>
      </c>
      <c r="J13" s="95" t="s">
        <v>1117</v>
      </c>
    </row>
    <row r="14" customFormat="false" ht="12.75" hidden="false" customHeight="true" outlineLevel="0" collapsed="false">
      <c r="B14" s="84" t="s">
        <v>404</v>
      </c>
      <c r="C14" s="84" t="n">
        <f aca="false">COUNTIF('Coffee Audit'!H2:H2000,"*Honey*")</f>
        <v>7</v>
      </c>
      <c r="D14" s="85" t="str">
        <f aca="false">TEXT(COUNTIF('Coffee Audit'!H2:H2000,"*Honey*")/COUNTA('Coffee Audit'!A2:A2000),"0%")</f>
        <v>8%</v>
      </c>
      <c r="E14" s="86" t="s">
        <v>1118</v>
      </c>
      <c r="F14" s="87" t="s">
        <v>1119</v>
      </c>
      <c r="H14" s="88" t="s">
        <v>1120</v>
      </c>
      <c r="I14" s="89" t="n">
        <f aca="false">SUMPRODUCT(('Coffee Audit'!A2:A2000&lt;&gt;"")*((ISNUMBER(SEARCH("92",'Coffee Audit'!N2:N2000))+ISNUMBER(SEARCH("93",'Coffee Audit'!N2:N2000))+ISNUMBER(SEARCH("94",'Coffee Audit'!N2:N2000)))&gt;0))</f>
        <v>29</v>
      </c>
      <c r="J14" s="89" t="s">
        <v>1121</v>
      </c>
    </row>
    <row r="15" customFormat="false" ht="12.75" hidden="false" customHeight="true" outlineLevel="0" collapsed="false">
      <c r="B15" s="90" t="s">
        <v>1122</v>
      </c>
      <c r="C15" s="90" t="n">
        <f aca="false">COUNTIF('Coffee Audit'!H2:H2000,"*Anaerobic*")</f>
        <v>14</v>
      </c>
      <c r="D15" s="91" t="str">
        <f aca="false">TEXT(COUNTIF('Coffee Audit'!H2:H2000,"*Anaerobic*")/COUNTA('Coffee Audit'!A2:A2000),"0%")</f>
        <v>16%</v>
      </c>
      <c r="E15" s="92" t="s">
        <v>1123</v>
      </c>
      <c r="F15" s="93" t="s">
        <v>1124</v>
      </c>
      <c r="H15" s="94" t="s">
        <v>1125</v>
      </c>
      <c r="I15" s="95" t="n">
        <f aca="false">SUMPRODUCT(('Coffee Audit'!A2:A2000&lt;&gt;"")*((ISNUMBER(SEARCH("95",'Coffee Audit'!N2:N2000)))&gt;0))</f>
        <v>6</v>
      </c>
      <c r="J15" s="95" t="s">
        <v>1126</v>
      </c>
    </row>
    <row r="16" customFormat="false" ht="12.75" hidden="false" customHeight="true" outlineLevel="0" collapsed="false">
      <c r="B16" s="84" t="s">
        <v>1127</v>
      </c>
      <c r="C16" s="84" t="n">
        <f aca="false">COUNTIF('Coffee Audit'!H2:H2000,"*Ferment*")</f>
        <v>9</v>
      </c>
      <c r="D16" s="85" t="str">
        <f aca="false">TEXT(COUNTIF('Coffee Audit'!H2:H2000,"*Ferment*")/COUNTA('Coffee Audit'!A2:A2000),"0%")</f>
        <v>10%</v>
      </c>
      <c r="E16" s="86" t="s">
        <v>1128</v>
      </c>
      <c r="F16" s="87" t="s">
        <v>1129</v>
      </c>
      <c r="H16" s="88" t="s">
        <v>1130</v>
      </c>
      <c r="I16" s="89" t="s">
        <v>1131</v>
      </c>
      <c r="J16" s="89" t="s">
        <v>1132</v>
      </c>
    </row>
    <row r="17" customFormat="false" ht="12.75" hidden="false" customHeight="true" outlineLevel="0" collapsed="false">
      <c r="B17" s="90" t="s">
        <v>40</v>
      </c>
      <c r="C17" s="90" t="n">
        <f aca="false">COUNTIF('Coffee Audit'!H2:H2000,"*Hulled*")</f>
        <v>1</v>
      </c>
      <c r="D17" s="91" t="str">
        <f aca="false">TEXT(COUNTIF('Coffee Audit'!H2:H2000,"*Hulled*")/COUNTA('Coffee Audit'!A2:A2000),"0%")</f>
        <v>1%</v>
      </c>
      <c r="E17" s="92" t="s">
        <v>1133</v>
      </c>
      <c r="F17" s="93" t="s">
        <v>1134</v>
      </c>
      <c r="H17" s="94" t="s">
        <v>1135</v>
      </c>
      <c r="I17" s="95" t="s">
        <v>1136</v>
      </c>
      <c r="J17" s="95" t="s">
        <v>1137</v>
      </c>
    </row>
    <row r="18" customFormat="false" ht="12.75" hidden="false" customHeight="true" outlineLevel="0" collapsed="false">
      <c r="B18" s="96"/>
      <c r="C18" s="4"/>
      <c r="D18" s="4"/>
      <c r="E18" s="4"/>
      <c r="F18" s="4"/>
      <c r="H18" s="88" t="s">
        <v>1138</v>
      </c>
      <c r="I18" s="89" t="s">
        <v>1139</v>
      </c>
      <c r="J18" s="89" t="s">
        <v>1140</v>
      </c>
    </row>
    <row r="19" customFormat="false" ht="12.75" hidden="false" customHeight="true" outlineLevel="0" collapsed="false">
      <c r="B19" s="96"/>
      <c r="C19" s="4"/>
      <c r="D19" s="4"/>
      <c r="E19" s="4"/>
      <c r="F19" s="4"/>
      <c r="H19" s="94" t="s">
        <v>1141</v>
      </c>
      <c r="I19" s="95" t="s">
        <v>1139</v>
      </c>
      <c r="J19" s="95" t="s">
        <v>1142</v>
      </c>
    </row>
    <row r="20" customFormat="false" ht="7.5" hidden="false" customHeight="true" outlineLevel="0" collapsed="false"/>
    <row r="21" customFormat="false" ht="15.75" hidden="false" customHeight="true" outlineLevel="0" collapsed="false">
      <c r="B21" s="81" t="s">
        <v>1143</v>
      </c>
      <c r="C21" s="81"/>
      <c r="D21" s="81"/>
      <c r="E21" s="81"/>
      <c r="F21" s="81"/>
      <c r="G21" s="81"/>
      <c r="H21" s="81" t="s">
        <v>1144</v>
      </c>
      <c r="I21" s="81"/>
      <c r="J21" s="81"/>
      <c r="K21" s="81"/>
      <c r="L21" s="81"/>
    </row>
    <row r="22" customFormat="false" ht="15.75" hidden="false" customHeight="true" outlineLevel="0" collapsed="false">
      <c r="B22" s="83" t="s">
        <v>7</v>
      </c>
      <c r="C22" s="83" t="s">
        <v>1000</v>
      </c>
      <c r="D22" s="83" t="s">
        <v>1145</v>
      </c>
      <c r="E22" s="83" t="s">
        <v>1146</v>
      </c>
      <c r="H22" s="83" t="s">
        <v>1147</v>
      </c>
      <c r="I22" s="83" t="s">
        <v>1148</v>
      </c>
      <c r="J22" s="83" t="s">
        <v>1149</v>
      </c>
      <c r="K22" s="83" t="s">
        <v>1150</v>
      </c>
    </row>
    <row r="23" customFormat="false" ht="12.75" hidden="false" customHeight="true" outlineLevel="0" collapsed="false">
      <c r="B23" s="94" t="s">
        <v>1151</v>
      </c>
      <c r="C23" s="95" t="s">
        <v>1152</v>
      </c>
      <c r="D23" s="95" t="s">
        <v>1153</v>
      </c>
      <c r="E23" s="95" t="s">
        <v>1154</v>
      </c>
      <c r="H23" s="94" t="s">
        <v>1155</v>
      </c>
      <c r="I23" s="95" t="n">
        <f aca="false">SUMPRODUCT(('Coffee Audit'!A2:A2000&lt;&gt;"")*((ISNUMBER(SEARCH("1:10",'Coffee Audit'!M2:M2000))+ISNUMBER(SEARCH("1:11",'Coffee Audit'!M2:M2000))+ISNUMBER(SEARCH("1:12",'Coffee Audit'!M2:M2000))+ISNUMBER(SEARCH("1:2",'Coffee Audit'!M2:M2000))+ISNUMBER(SEARCH("1:1 ",'Coffee Audit'!M2:M2000)))&gt;0))</f>
        <v>2</v>
      </c>
      <c r="J23" s="95" t="s">
        <v>1156</v>
      </c>
      <c r="K23" s="95" t="s">
        <v>1157</v>
      </c>
    </row>
    <row r="24" customFormat="false" ht="12.75" hidden="false" customHeight="true" outlineLevel="0" collapsed="false">
      <c r="B24" s="88" t="s">
        <v>404</v>
      </c>
      <c r="C24" s="89" t="s">
        <v>1158</v>
      </c>
      <c r="D24" s="89" t="s">
        <v>1159</v>
      </c>
      <c r="E24" s="89" t="s">
        <v>1160</v>
      </c>
      <c r="H24" s="88" t="s">
        <v>1161</v>
      </c>
      <c r="I24" s="89" t="n">
        <f aca="false">SUMPRODUCT(('Coffee Audit'!A2:A2000&lt;&gt;"")*((ISNUMBER(SEARCH("1:13",'Coffee Audit'!M2:M2000)))&gt;0))</f>
        <v>3</v>
      </c>
      <c r="J24" s="89" t="s">
        <v>1162</v>
      </c>
      <c r="K24" s="89" t="s">
        <v>1163</v>
      </c>
    </row>
    <row r="25" customFormat="false" ht="12.75" hidden="false" customHeight="true" outlineLevel="0" collapsed="false">
      <c r="B25" s="94" t="s">
        <v>404</v>
      </c>
      <c r="C25" s="95" t="s">
        <v>1164</v>
      </c>
      <c r="D25" s="95" t="s">
        <v>1165</v>
      </c>
      <c r="E25" s="95" t="s">
        <v>1166</v>
      </c>
      <c r="H25" s="94" t="s">
        <v>1167</v>
      </c>
      <c r="I25" s="95" t="n">
        <f aca="false">SUMPRODUCT(('Coffee Audit'!A2:A2000&lt;&gt;"")*((ISNUMBER(SEARCH("1:14",'Coffee Audit'!M2:M2000)))&gt;0))</f>
        <v>9</v>
      </c>
      <c r="J25" s="95" t="s">
        <v>1168</v>
      </c>
      <c r="K25" s="95" t="s">
        <v>1169</v>
      </c>
    </row>
    <row r="26" customFormat="false" ht="12.75" hidden="false" customHeight="true" outlineLevel="0" collapsed="false">
      <c r="B26" s="88" t="s">
        <v>29</v>
      </c>
      <c r="C26" s="89" t="s">
        <v>1170</v>
      </c>
      <c r="D26" s="89" t="s">
        <v>1171</v>
      </c>
      <c r="E26" s="89" t="s">
        <v>1160</v>
      </c>
      <c r="H26" s="88" t="s">
        <v>1172</v>
      </c>
      <c r="I26" s="89" t="n">
        <f aca="false">SUMPRODUCT(('Coffee Audit'!A2:A2000&lt;&gt;"")*((ISNUMBER(SEARCH("1:15",'Coffee Audit'!M2:M2000))+ISNUMBER(SEARCH("1:16",'Coffee Audit'!M2:M2000))+ISNUMBER(SEARCH("1:17",'Coffee Audit'!M2:M2000)))&gt;0))</f>
        <v>56</v>
      </c>
      <c r="J26" s="89" t="s">
        <v>1173</v>
      </c>
      <c r="K26" s="89" t="str">
        <f aca="false">"Core extraction philosophy — "&amp;TEXT(I26/COUNTA('Coffee Audit'!A2:A2000),"0%")&amp;" of all logged entries"</f>
        <v>Core extraction philosophy — 63% of all logged entries</v>
      </c>
    </row>
    <row r="27" customFormat="false" ht="12.75" hidden="false" customHeight="true" outlineLevel="0" collapsed="false">
      <c r="B27" s="94" t="s">
        <v>29</v>
      </c>
      <c r="C27" s="95" t="s">
        <v>1174</v>
      </c>
      <c r="D27" s="95" t="s">
        <v>1175</v>
      </c>
      <c r="E27" s="95" t="s">
        <v>1176</v>
      </c>
      <c r="H27" s="94" t="s">
        <v>1177</v>
      </c>
      <c r="I27" s="95" t="n">
        <f aca="false">SUMPRODUCT(('Coffee Audit'!A2:A2000&lt;&gt;"")*((ISNUMBER(SEARCH("1:18",'Coffee Audit'!M2:M2000))+ISNUMBER(SEARCH("1:19",'Coffee Audit'!M2:M2000)))&gt;0))</f>
        <v>0</v>
      </c>
      <c r="J27" s="95" t="s">
        <v>1178</v>
      </c>
      <c r="K27" s="95" t="s">
        <v>1179</v>
      </c>
    </row>
    <row r="28" customFormat="false" ht="12.75" hidden="false" customHeight="true" outlineLevel="0" collapsed="false">
      <c r="B28" s="97" t="s">
        <v>1180</v>
      </c>
      <c r="C28" s="97"/>
      <c r="D28" s="97"/>
      <c r="E28" s="97"/>
      <c r="F28" s="97"/>
      <c r="H28" s="88" t="s">
        <v>27</v>
      </c>
      <c r="I28" s="89" t="n">
        <f aca="false">COUNTA('Coffee Audit'!A2:A2000)-SUM(I23:I27)</f>
        <v>19</v>
      </c>
      <c r="J28" s="89" t="s">
        <v>1178</v>
      </c>
      <c r="K28" s="89" t="s">
        <v>1181</v>
      </c>
    </row>
  </sheetData>
  <mergeCells count="9">
    <mergeCell ref="B1:L1"/>
    <mergeCell ref="B2:L2"/>
    <mergeCell ref="B4:L4"/>
    <mergeCell ref="B5:L7"/>
    <mergeCell ref="B10:G10"/>
    <mergeCell ref="H10:L10"/>
    <mergeCell ref="B21:G21"/>
    <mergeCell ref="H21:L21"/>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B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14"/>
    <col collapsed="false" customWidth="true" hidden="false" outlineLevel="0" max="4" min="4" style="1" width="22"/>
    <col collapsed="false" customWidth="true" hidden="false" outlineLevel="0" max="6" min="5" style="1" width="24"/>
    <col collapsed="false" customWidth="true" hidden="false" outlineLevel="0" max="7" min="7" style="1" width="30"/>
    <col collapsed="false" customWidth="true" hidden="false" outlineLevel="0" max="8" min="8" style="1" width="16"/>
    <col collapsed="false" customWidth="true" hidden="false" outlineLevel="0" max="10" min="9"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79" t="s">
        <v>1182</v>
      </c>
      <c r="C1" s="79"/>
      <c r="D1" s="79"/>
      <c r="E1" s="79"/>
      <c r="F1" s="79"/>
      <c r="G1" s="79"/>
      <c r="H1" s="79"/>
      <c r="I1" s="79"/>
      <c r="J1" s="79"/>
      <c r="K1" s="79"/>
      <c r="L1" s="79"/>
    </row>
    <row r="2" customFormat="false" ht="13.5" hidden="false" customHeight="true" outlineLevel="0" collapsed="false">
      <c r="B2" s="80" t="str">
        <f aca="false">"Where the archive has travelled — "&amp;SUMPRODUCT(('Coffee Audit'!F2:F2000&lt;&gt;"")/COUNTIF('Coffee Audit'!F2:F2000,'Coffee Audit'!F2:F2000&amp;""))&amp;" distinct origin strings · Colombia leads at "&amp;TEXT(COUNTIF('Coffee Audit'!F2:F2000,"*Colombia*")/COUNTA('Coffee Audit'!A2:A2000),"0%")&amp;" · "&amp;COUNTIF('Coffee Audit'!W2:W2000,"⭐ GESHA")&amp;" Gesha entries"</f>
        <v>Where the archive has travelled — 58 distinct origin strings · Colombia leads at 25% · 25 Gesha entries</v>
      </c>
      <c r="C2" s="80"/>
      <c r="D2" s="80"/>
      <c r="E2" s="80"/>
      <c r="F2" s="80"/>
      <c r="G2" s="80"/>
      <c r="H2" s="80"/>
      <c r="I2" s="80"/>
      <c r="J2" s="80"/>
      <c r="K2" s="80"/>
      <c r="L2" s="80"/>
    </row>
    <row r="3" customFormat="false" ht="6" hidden="false" customHeight="true" outlineLevel="0" collapsed="false"/>
    <row r="4" customFormat="false" ht="15.75" hidden="false" customHeight="true" outlineLevel="0" collapsed="false">
      <c r="B4" s="81" t="s">
        <v>1183</v>
      </c>
      <c r="C4" s="81"/>
      <c r="D4" s="81"/>
      <c r="E4" s="81"/>
      <c r="F4" s="81"/>
      <c r="G4" s="81"/>
      <c r="H4" s="81" t="str">
        <f aca="false">"  ⭐  GESHA REGISTER  —  The Apex Varietal · "&amp;COUNTIF('Coffee Audit'!W2:W2000,"⭐ GESHA")&amp;" archive entries"</f>
        <v>  ⭐  GESHA REGISTER  —  The Apex Varietal · 25 archive entries</v>
      </c>
      <c r="I4" s="81"/>
      <c r="J4" s="81"/>
      <c r="K4" s="81"/>
      <c r="L4" s="81"/>
    </row>
    <row r="5" customFormat="false" ht="15.75" hidden="false" customHeight="true" outlineLevel="0" collapsed="false">
      <c r="B5" s="83" t="s">
        <v>5</v>
      </c>
      <c r="C5" s="83" t="s">
        <v>1105</v>
      </c>
      <c r="D5" s="83" t="s">
        <v>1059</v>
      </c>
      <c r="E5" s="83" t="s">
        <v>1184</v>
      </c>
      <c r="F5" s="83" t="s">
        <v>1185</v>
      </c>
      <c r="H5" s="83" t="s">
        <v>1186</v>
      </c>
      <c r="I5" s="83" t="s">
        <v>1187</v>
      </c>
    </row>
    <row r="6" customFormat="false" ht="12.75" hidden="false" customHeight="true" outlineLevel="0" collapsed="false">
      <c r="B6" s="88" t="s">
        <v>118</v>
      </c>
      <c r="C6" s="89" t="n">
        <f aca="false">COUNTIF('Coffee Audit'!F2:F2000,"*Colombia*")</f>
        <v>22</v>
      </c>
      <c r="D6" s="89" t="str">
        <f aca="false">TEXT(COUNTIF('Coffee Audit'!F2:F2000,"*Colombia*")/COUNTA('Coffee Audit'!A2:A2000),"0%")</f>
        <v>25%</v>
      </c>
      <c r="E6" s="89" t="str">
        <f aca="false">IF(SUMPRODUCT(ISNUMBER(SEARCH("Colombia",'Coffee Audit'!F2:F2000))*('Coffee Audit'!W2:W2000="⭐ GESHA"))=0,"—","⭐ ×"&amp;SUMPRODUCT(ISNUMBER(SEARCH("Colombia",'Coffee Audit'!F2:F2000))*('Coffee Audit'!W2:W2000="⭐ GESHA")))</f>
        <v>⭐ ×9</v>
      </c>
      <c r="F6" s="89" t="s">
        <v>1188</v>
      </c>
      <c r="H6" s="88" t="s">
        <v>1189</v>
      </c>
      <c r="I6" s="98" t="n">
        <f aca="false">COUNTIF('Coffee Audit'!W2:W2000,"⭐ GESHA")</f>
        <v>25</v>
      </c>
    </row>
    <row r="7" customFormat="false" ht="12.75" hidden="false" customHeight="true" outlineLevel="0" collapsed="false">
      <c r="B7" s="94" t="s">
        <v>266</v>
      </c>
      <c r="C7" s="95" t="n">
        <f aca="false">COUNTIF('Coffee Audit'!F2:F2000,"*Ethiopia*")</f>
        <v>9</v>
      </c>
      <c r="D7" s="95" t="str">
        <f aca="false">TEXT(COUNTIF('Coffee Audit'!F2:F2000,"*Ethiopia*")/COUNTA('Coffee Audit'!A2:A2000),"0%")</f>
        <v>10%</v>
      </c>
      <c r="E7" s="95" t="str">
        <f aca="false">IF(SUMPRODUCT(ISNUMBER(SEARCH("Ethiopia",'Coffee Audit'!F2:F2000))*('Coffee Audit'!W2:W2000="⭐ GESHA"))=0,"—","⭐ ×"&amp;SUMPRODUCT(ISNUMBER(SEARCH("Ethiopia",'Coffee Audit'!F2:F2000))*('Coffee Audit'!W2:W2000="⭐ GESHA")))</f>
        <v>—</v>
      </c>
      <c r="F7" s="95" t="s">
        <v>1190</v>
      </c>
      <c r="H7" s="94" t="s">
        <v>1191</v>
      </c>
      <c r="I7" s="99" t="n">
        <f aca="false">SUMPRODUCT(('Coffee Audit'!W2:W2000="⭐ GESHA")*(ISNUMBER(SEARCH("washed",'Coffee Audit'!H2:H2000))))</f>
        <v>13</v>
      </c>
    </row>
    <row r="8" customFormat="false" ht="12.75" hidden="false" customHeight="true" outlineLevel="0" collapsed="false">
      <c r="B8" s="88" t="s">
        <v>253</v>
      </c>
      <c r="C8" s="89" t="n">
        <f aca="false">COUNTIF('Coffee Audit'!F2:F2000,"*Brazil*")</f>
        <v>5</v>
      </c>
      <c r="D8" s="89" t="str">
        <f aca="false">TEXT(COUNTIF('Coffee Audit'!F2:F2000,"*Brazil*")/COUNTA('Coffee Audit'!A2:A2000),"0%")</f>
        <v>6%</v>
      </c>
      <c r="E8" s="89" t="str">
        <f aca="false">IF(SUMPRODUCT(ISNUMBER(SEARCH("Brazil",'Coffee Audit'!F2:F2000))*('Coffee Audit'!W2:W2000="⭐ GESHA"))=0,"—","⭐ ×"&amp;SUMPRODUCT(ISNUMBER(SEARCH("Brazil",'Coffee Audit'!F2:F2000))*('Coffee Audit'!W2:W2000="⭐ GESHA")))</f>
        <v>—</v>
      </c>
      <c r="F8" s="89" t="s">
        <v>1192</v>
      </c>
      <c r="H8" s="88" t="s">
        <v>1193</v>
      </c>
      <c r="I8" s="98" t="n">
        <f aca="false">SUMPRODUCT(('Coffee Audit'!W2:W2000="⭐ GESHA")*(ISNUMBER(SEARCH("honey",'Coffee Audit'!H2:H2000))))</f>
        <v>4</v>
      </c>
    </row>
    <row r="9" customFormat="false" ht="12.75" hidden="false" customHeight="true" outlineLevel="0" collapsed="false">
      <c r="B9" s="94" t="s">
        <v>98</v>
      </c>
      <c r="C9" s="95" t="n">
        <f aca="false">COUNTIF('Coffee Audit'!F2:F2000,"*Honduras*")</f>
        <v>3</v>
      </c>
      <c r="D9" s="95" t="str">
        <f aca="false">TEXT(COUNTIF('Coffee Audit'!F2:F2000,"*Honduras*")/COUNTA('Coffee Audit'!A2:A2000),"0%")</f>
        <v>3%</v>
      </c>
      <c r="E9" s="95" t="str">
        <f aca="false">IF(SUMPRODUCT(ISNUMBER(SEARCH("Honduras",'Coffee Audit'!F2:F2000))*('Coffee Audit'!W2:W2000="⭐ GESHA"))=0,"—","⭐ ×"&amp;SUMPRODUCT(ISNUMBER(SEARCH("Honduras",'Coffee Audit'!F2:F2000))*('Coffee Audit'!W2:W2000="⭐ GESHA")))</f>
        <v>—</v>
      </c>
      <c r="F9" s="95" t="s">
        <v>1070</v>
      </c>
      <c r="H9" s="94" t="s">
        <v>1194</v>
      </c>
      <c r="I9" s="99" t="n">
        <f aca="false">SUMPRODUCT(('Coffee Audit'!W2:W2000="⭐ GESHA")*(ISNUMBER(SEARCH("natural",'Coffee Audit'!H2:H2000))))</f>
        <v>8</v>
      </c>
    </row>
    <row r="10" customFormat="false" ht="12.75" hidden="false" customHeight="true" outlineLevel="0" collapsed="false">
      <c r="B10" s="88" t="s">
        <v>1068</v>
      </c>
      <c r="C10" s="89" t="n">
        <f aca="false">COUNTIF('Coffee Audit'!F2:F2000,"*Indonesia*")</f>
        <v>4</v>
      </c>
      <c r="D10" s="89" t="str">
        <f aca="false">TEXT(COUNTIF('Coffee Audit'!F2:F2000,"*Indonesia*")/COUNTA('Coffee Audit'!A2:A2000),"0%")</f>
        <v>4%</v>
      </c>
      <c r="E10" s="89" t="str">
        <f aca="false">IF(SUMPRODUCT(ISNUMBER(SEARCH("Indonesia",'Coffee Audit'!F2:F2000))*('Coffee Audit'!W2:W2000="⭐ GESHA"))=0,"—","⭐ ×"&amp;SUMPRODUCT(ISNUMBER(SEARCH("Indonesia",'Coffee Audit'!F2:F2000))*('Coffee Audit'!W2:W2000="⭐ GESHA")))</f>
        <v>—</v>
      </c>
      <c r="F10" s="89" t="s">
        <v>1195</v>
      </c>
      <c r="H10" s="88" t="s">
        <v>1196</v>
      </c>
      <c r="I10" s="98" t="str">
        <f aca="false">"S$"&amp;TEXT(AVERAGEIFS('Coffee Audit'!Q2:Q2000,'Coffee Audit'!W2:W2000,"⭐ GESHA",'Coffee Audit'!Q2:Q2000,"&gt;0"),"0.00")</f>
        <v>S$15.77</v>
      </c>
    </row>
    <row r="11" customFormat="false" ht="12.75" hidden="false" customHeight="true" outlineLevel="0" collapsed="false">
      <c r="B11" s="94" t="s">
        <v>639</v>
      </c>
      <c r="C11" s="95" t="n">
        <f aca="false">COUNTIF('Coffee Audit'!F2:F2000,"*Peru*")</f>
        <v>9</v>
      </c>
      <c r="D11" s="95" t="str">
        <f aca="false">TEXT(COUNTIF('Coffee Audit'!F2:F2000,"*Peru*")/COUNTA('Coffee Audit'!A2:A2000),"0%")</f>
        <v>10%</v>
      </c>
      <c r="E11" s="95" t="str">
        <f aca="false">IF(SUMPRODUCT(ISNUMBER(SEARCH("Peru",'Coffee Audit'!F2:F2000))*('Coffee Audit'!W2:W2000="⭐ GESHA"))=0,"—","⭐ ×"&amp;SUMPRODUCT(ISNUMBER(SEARCH("Peru",'Coffee Audit'!F2:F2000))*('Coffee Audit'!W2:W2000="⭐ GESHA")))</f>
        <v>⭐ ×7</v>
      </c>
      <c r="F11" s="95" t="s">
        <v>1197</v>
      </c>
      <c r="H11" s="94" t="s">
        <v>1198</v>
      </c>
      <c r="I11" s="99" t="str">
        <f aca="false">"S$"&amp;TEXT(AVERAGEIFS('Coffee Audit'!Q2:Q2000,'Coffee Audit'!W2:W2000,"&lt;&gt;⭐ GESHA",'Coffee Audit'!Q2:Q2000,"&gt;0"),"0.00")</f>
        <v>S$9.35</v>
      </c>
    </row>
    <row r="12" customFormat="false" ht="12.75" hidden="false" customHeight="true" outlineLevel="0" collapsed="false">
      <c r="B12" s="88" t="s">
        <v>127</v>
      </c>
      <c r="C12" s="89" t="n">
        <f aca="false">COUNTIF('Coffee Audit'!F2:F2000,"*Kenya*")</f>
        <v>5</v>
      </c>
      <c r="D12" s="89" t="str">
        <f aca="false">TEXT(COUNTIF('Coffee Audit'!F2:F2000,"*Kenya*")/COUNTA('Coffee Audit'!A2:A2000),"0%")</f>
        <v>6%</v>
      </c>
      <c r="E12" s="89" t="str">
        <f aca="false">IF(SUMPRODUCT(ISNUMBER(SEARCH("Kenya",'Coffee Audit'!F2:F2000))*('Coffee Audit'!W2:W2000="⭐ GESHA"))=0,"—","⭐ ×"&amp;SUMPRODUCT(ISNUMBER(SEARCH("Kenya",'Coffee Audit'!F2:F2000))*('Coffee Audit'!W2:W2000="⭐ GESHA")))</f>
        <v>—</v>
      </c>
      <c r="F12" s="89" t="s">
        <v>1065</v>
      </c>
      <c r="H12" s="88" t="s">
        <v>1199</v>
      </c>
      <c r="I12" s="98" t="str">
        <f aca="false">"+"&amp;TEXT(AVERAGEIFS('Coffee Audit'!Q2:Q2000,'Coffee Audit'!W2:W2000,"⭐ GESHA",'Coffee Audit'!Q2:Q2000,"&gt;0")/AVERAGEIFS('Coffee Audit'!Q2:Q2000,'Coffee Audit'!W2:W2000,"&lt;&gt;⭐ GESHA",'Coffee Audit'!Q2:Q2000,"&gt;0")-1,"0%")</f>
        <v>+69%</v>
      </c>
    </row>
    <row r="13" customFormat="false" ht="12.75" hidden="false" customHeight="true" outlineLevel="0" collapsed="false">
      <c r="B13" s="94" t="s">
        <v>694</v>
      </c>
      <c r="C13" s="95" t="n">
        <f aca="false">COUNTIF('Coffee Audit'!F2:F2000,"*Panama*")</f>
        <v>7</v>
      </c>
      <c r="D13" s="95" t="str">
        <f aca="false">TEXT(COUNTIF('Coffee Audit'!F2:F2000,"*Panama*")/COUNTA('Coffee Audit'!A2:A2000),"0%")</f>
        <v>8%</v>
      </c>
      <c r="E13" s="95" t="str">
        <f aca="false">IF(SUMPRODUCT(ISNUMBER(SEARCH("Panama",'Coffee Audit'!F2:F2000))*('Coffee Audit'!W2:W2000="⭐ GESHA"))=0,"—","⭐ ×"&amp;SUMPRODUCT(ISNUMBER(SEARCH("Panama",'Coffee Audit'!F2:F2000))*('Coffee Audit'!W2:W2000="⭐ GESHA")))</f>
        <v>⭐ ×7</v>
      </c>
      <c r="F13" s="95" t="s">
        <v>1200</v>
      </c>
      <c r="H13" s="94" t="s">
        <v>1201</v>
      </c>
      <c r="I13" s="99" t="s">
        <v>1202</v>
      </c>
    </row>
    <row r="14" customFormat="false" ht="12.75" hidden="false" customHeight="true" outlineLevel="0" collapsed="false">
      <c r="B14" s="88" t="s">
        <v>135</v>
      </c>
      <c r="C14" s="89" t="n">
        <f aca="false">COUNTIF('Coffee Audit'!F2:F2000,"*Nicaragua*")</f>
        <v>3</v>
      </c>
      <c r="D14" s="89" t="str">
        <f aca="false">TEXT(COUNTIF('Coffee Audit'!F2:F2000,"*Nicaragua*")/COUNTA('Coffee Audit'!A2:A2000),"0%")</f>
        <v>3%</v>
      </c>
      <c r="E14" s="89" t="str">
        <f aca="false">IF(SUMPRODUCT(ISNUMBER(SEARCH("Nicaragua",'Coffee Audit'!F2:F2000))*('Coffee Audit'!W2:W2000="⭐ GESHA"))=0,"—","⭐ ×"&amp;SUMPRODUCT(ISNUMBER(SEARCH("Nicaragua",'Coffee Audit'!F2:F2000))*('Coffee Audit'!W2:W2000="⭐ GESHA")))</f>
        <v>—</v>
      </c>
      <c r="F14" s="89" t="s">
        <v>1203</v>
      </c>
      <c r="H14" s="88" t="s">
        <v>1204</v>
      </c>
      <c r="I14" s="98" t="str">
        <f aca="false">"S$"&amp;TEXT(_xlfn.MAXIFS('Coffee Audit'!Q2:Q2000,'Coffee Audit'!W2:W2000,"⭐ GESHA"),"0")&amp;" — "&amp;INDEX('Coffee Audit'!D2:D2000,MATCH(1,INDEX(('Coffee Audit'!W2:W2000="⭐ GESHA")*('Coffee Audit'!Q2:Q2000=_xlfn.MAXIFS('Coffee Audit'!Q2:Q2000,'Coffee Audit'!W2:W2000,"⭐ GESHA")),0),0))&amp;" ("&amp;INDEX('Coffee Audit'!C2:C2000,MATCH(1,INDEX(('Coffee Audit'!W2:W2000="⭐ GESHA")*('Coffee Audit'!Q2:Q2000=_xlfn.MAXIFS('Coffee Audit'!Q2:Q2000,'Coffee Audit'!W2:W2000,"⭐ GESHA")),0),0))&amp;")"</f>
        <v>S$60 — Finca Sophia Torcaza Grand Reserve Washed Geisha (Pour.traits Roasters)</v>
      </c>
    </row>
    <row r="15" customFormat="false" ht="12.75" hidden="false" customHeight="true" outlineLevel="0" collapsed="false">
      <c r="B15" s="94" t="s">
        <v>543</v>
      </c>
      <c r="C15" s="95" t="n">
        <f aca="false">COUNTIF('Coffee Audit'!F2:F2000,"*Bolivia*")</f>
        <v>2</v>
      </c>
      <c r="D15" s="95" t="str">
        <f aca="false">TEXT(COUNTIF('Coffee Audit'!F2:F2000,"*Bolivia*")/COUNTA('Coffee Audit'!A2:A2000),"0%")</f>
        <v>2%</v>
      </c>
      <c r="E15" s="95" t="str">
        <f aca="false">IF(SUMPRODUCT(ISNUMBER(SEARCH("Bolivia",'Coffee Audit'!F2:F2000))*('Coffee Audit'!W2:W2000="⭐ GESHA"))=0,"—","⭐ ×"&amp;SUMPRODUCT(ISNUMBER(SEARCH("Bolivia",'Coffee Audit'!F2:F2000))*('Coffee Audit'!W2:W2000="⭐ GESHA")))</f>
        <v>—</v>
      </c>
      <c r="F15" s="95" t="s">
        <v>1205</v>
      </c>
      <c r="H15" s="94" t="s">
        <v>1206</v>
      </c>
      <c r="I15" s="99" t="str">
        <f aca="false">"S$"&amp;TEXT(_xlfn.MINIFS('Coffee Audit'!Q2:Q2000,'Coffee Audit'!W2:W2000,"⭐ GESHA",'Coffee Audit'!Q2:Q2000,"&gt;0"),"0.00")&amp;" — "&amp;INDEX('Coffee Audit'!D2:D2000,MATCH(1,INDEX(('Coffee Audit'!W2:W2000="⭐ GESHA")*('Coffee Audit'!Q2:Q2000=_xlfn.MINIFS('Coffee Audit'!Q2:Q2000,'Coffee Audit'!W2:W2000,"⭐ GESHA",'Coffee Audit'!Q2:Q2000,"&gt;0")),0),0))&amp;" ("&amp;INDEX('Coffee Audit'!C2:C2000,MATCH(1,INDEX(('Coffee Audit'!W2:W2000="⭐ GESHA")*('Coffee Audit'!Q2:Q2000=_xlfn.MINIFS('Coffee Audit'!Q2:Q2000,'Coffee Audit'!W2:W2000,"⭐ GESHA",'Coffee Audit'!Q2:Q2000,"&gt;0")),0),0))&amp;")"</f>
        <v>S$9.00 — Berlina — Washed Panama Geisha (Fluid Collective)</v>
      </c>
    </row>
    <row r="16" customFormat="false" ht="12.75" hidden="false" customHeight="true" outlineLevel="0" collapsed="false">
      <c r="B16" s="88" t="s">
        <v>1207</v>
      </c>
      <c r="C16" s="89" t="n">
        <f aca="false">COUNTIF('Coffee Audit'!F2:F2000,"*Ecuador*")</f>
        <v>2</v>
      </c>
      <c r="D16" s="89" t="str">
        <f aca="false">TEXT(COUNTIF('Coffee Audit'!F2:F2000,"*Ecuador*")/COUNTA('Coffee Audit'!A2:A2000),"0%")</f>
        <v>2%</v>
      </c>
      <c r="E16" s="89" t="str">
        <f aca="false">IF(SUMPRODUCT(ISNUMBER(SEARCH("Ecuador",'Coffee Audit'!F2:F2000))*('Coffee Audit'!W2:W2000="⭐ GESHA"))=0,"—","⭐ ×"&amp;SUMPRODUCT(ISNUMBER(SEARCH("Ecuador",'Coffee Audit'!F2:F2000))*('Coffee Audit'!W2:W2000="⭐ GESHA")))</f>
        <v>⭐ ×1</v>
      </c>
      <c r="F16" s="89" t="s">
        <v>1208</v>
      </c>
      <c r="H16" s="88" t="s">
        <v>1209</v>
      </c>
      <c r="I16" s="98" t="s">
        <v>1210</v>
      </c>
    </row>
    <row r="17" customFormat="false" ht="12.75" hidden="false" customHeight="true" outlineLevel="0" collapsed="false">
      <c r="B17" s="94" t="s">
        <v>73</v>
      </c>
      <c r="C17" s="95" t="n">
        <f aca="false">COUNTIF('Coffee Audit'!F2:F2000,"*India*")</f>
        <v>3</v>
      </c>
      <c r="D17" s="95" t="str">
        <f aca="false">TEXT(COUNTIF('Coffee Audit'!F2:F2000,"*India*")/COUNTA('Coffee Audit'!A2:A2000),"0%")</f>
        <v>3%</v>
      </c>
      <c r="E17" s="95" t="str">
        <f aca="false">IF(SUMPRODUCT(ISNUMBER(SEARCH("India",'Coffee Audit'!F2:F2000))*('Coffee Audit'!W2:W2000="⭐ GESHA"))=0,"—","⭐ ×"&amp;SUMPRODUCT(ISNUMBER(SEARCH("India",'Coffee Audit'!F2:F2000))*('Coffee Audit'!W2:W2000="⭐ GESHA")))</f>
        <v>—</v>
      </c>
      <c r="F17" s="95" t="s">
        <v>1211</v>
      </c>
    </row>
    <row r="18" customFormat="false" ht="12.75" hidden="false" customHeight="true" outlineLevel="0" collapsed="false">
      <c r="B18" s="88" t="s">
        <v>1212</v>
      </c>
      <c r="C18" s="89" t="n">
        <f aca="false">COUNTIF('Coffee Audit'!F2:F2000,"*Malaysia*")</f>
        <v>1</v>
      </c>
      <c r="D18" s="89" t="str">
        <f aca="false">TEXT(COUNTIF('Coffee Audit'!F2:F2000,"*Malaysia*")/COUNTA('Coffee Audit'!A2:A2000),"0%")</f>
        <v>1%</v>
      </c>
      <c r="E18" s="89" t="str">
        <f aca="false">IF(SUMPRODUCT(ISNUMBER(SEARCH("Malaysia",'Coffee Audit'!F2:F2000))*('Coffee Audit'!W2:W2000="⭐ GESHA"))=0,"—","⭐ ×"&amp;SUMPRODUCT(ISNUMBER(SEARCH("Malaysia",'Coffee Audit'!F2:F2000))*('Coffee Audit'!W2:W2000="⭐ GESHA")))</f>
        <v>—</v>
      </c>
      <c r="F18" s="89" t="s">
        <v>1213</v>
      </c>
    </row>
    <row r="19" customFormat="false" ht="12.75" hidden="false" customHeight="true" outlineLevel="0" collapsed="false">
      <c r="B19" s="94" t="s">
        <v>1214</v>
      </c>
      <c r="C19" s="95" t="n">
        <f aca="false">COUNTIF('Coffee Audit'!F2:F2000,"*China*")</f>
        <v>1</v>
      </c>
      <c r="D19" s="95" t="str">
        <f aca="false">TEXT(COUNTIF('Coffee Audit'!F2:F2000,"*China*")/COUNTA('Coffee Audit'!A2:A2000),"0%")</f>
        <v>1%</v>
      </c>
      <c r="E19" s="95" t="str">
        <f aca="false">IF(SUMPRODUCT(ISNUMBER(SEARCH("China",'Coffee Audit'!F2:F2000))*('Coffee Audit'!W2:W2000="⭐ GESHA"))=0,"—","⭐ ×"&amp;SUMPRODUCT(ISNUMBER(SEARCH("China",'Coffee Audit'!F2:F2000))*('Coffee Audit'!W2:W2000="⭐ GESHA")))</f>
        <v>—</v>
      </c>
      <c r="F19" s="95" t="s">
        <v>1215</v>
      </c>
    </row>
    <row r="20" customFormat="false" ht="12.75" hidden="false" customHeight="true" outlineLevel="0" collapsed="false">
      <c r="B20" s="88" t="s">
        <v>395</v>
      </c>
      <c r="C20" s="89" t="n">
        <f aca="false">COUNTIF('Coffee Audit'!F2:F2000,"*Rwanda*")</f>
        <v>3</v>
      </c>
      <c r="D20" s="89" t="str">
        <f aca="false">TEXT(COUNTIF('Coffee Audit'!F2:F2000,"*Rwanda*")/COUNTA('Coffee Audit'!A2:A2000),"0%")</f>
        <v>3%</v>
      </c>
      <c r="E20" s="89" t="str">
        <f aca="false">IF(SUMPRODUCT(ISNUMBER(SEARCH("Rwanda",'Coffee Audit'!F2:F2000))*('Coffee Audit'!W2:W2000="⭐ GESHA"))=0,"—","⭐ ×"&amp;SUMPRODUCT(ISNUMBER(SEARCH("Rwanda",'Coffee Audit'!F2:F2000))*('Coffee Audit'!W2:W2000="⭐ GESHA")))</f>
        <v>—</v>
      </c>
      <c r="F20" s="89" t="s">
        <v>1216</v>
      </c>
    </row>
    <row r="21" customFormat="false" ht="12.75" hidden="false" customHeight="true" outlineLevel="0" collapsed="false">
      <c r="B21" s="94" t="s">
        <v>1217</v>
      </c>
      <c r="C21" s="95" t="n">
        <f aca="false">COUNTIF('Coffee Audit'!F2:F2000,"*Myanmar*")</f>
        <v>1</v>
      </c>
      <c r="D21" s="95" t="str">
        <f aca="false">TEXT(COUNTIF('Coffee Audit'!F2:F2000,"*Myanmar*")/COUNTA('Coffee Audit'!A2:A2000),"0%")</f>
        <v>1%</v>
      </c>
      <c r="E21" s="95" t="str">
        <f aca="false">IF(SUMPRODUCT(ISNUMBER(SEARCH("Myanmar",'Coffee Audit'!F2:F2000))*('Coffee Audit'!W2:W2000="⭐ GESHA"))=0,"—","⭐ ×"&amp;SUMPRODUCT(ISNUMBER(SEARCH("Myanmar",'Coffee Audit'!F2:F2000))*('Coffee Audit'!W2:W2000="⭐ GESHA")))</f>
        <v>—</v>
      </c>
      <c r="F21" s="95" t="s">
        <v>1218</v>
      </c>
    </row>
    <row r="22" customFormat="false" ht="12.75" hidden="false" customHeight="true" outlineLevel="0" collapsed="false">
      <c r="B22" s="88" t="s">
        <v>90</v>
      </c>
      <c r="C22" s="89" t="n">
        <f aca="false">COUNTIF('Coffee Audit'!F2:F2000,"*El Salvador*")</f>
        <v>1</v>
      </c>
      <c r="D22" s="89" t="str">
        <f aca="false">TEXT(COUNTIF('Coffee Audit'!F2:F2000,"*El Salvador*")/COUNTA('Coffee Audit'!A2:A2000),"0%")</f>
        <v>1%</v>
      </c>
      <c r="E22" s="89" t="str">
        <f aca="false">IF(SUMPRODUCT(ISNUMBER(SEARCH("El Salvador",'Coffee Audit'!F2:F2000))*('Coffee Audit'!W2:W2000="⭐ GESHA"))=0,"—","⭐ ×"&amp;SUMPRODUCT(ISNUMBER(SEARCH("El Salvador",'Coffee Audit'!F2:F2000))*('Coffee Audit'!W2:W2000="⭐ GESHA")))</f>
        <v>—</v>
      </c>
      <c r="F22" s="89" t="s">
        <v>1219</v>
      </c>
    </row>
    <row r="23" customFormat="false" ht="12.75" hidden="false" customHeight="true" outlineLevel="0" collapsed="false">
      <c r="B23" s="63" t="s">
        <v>1071</v>
      </c>
      <c r="C23" s="51" t="n">
        <f aca="false">COUNTIF('Coffee Audit'!F2:F2000,"*Thailand*")</f>
        <v>3</v>
      </c>
      <c r="D23" s="51" t="str">
        <f aca="false">TEXT(COUNTIF('Coffee Audit'!F2:F2000,"*Thailand*")/COUNTA('Coffee Audit'!A2:A2000),"0%")</f>
        <v>3%</v>
      </c>
      <c r="E23" s="51" t="str">
        <f aca="false">IF(SUMPRODUCT(ISNUMBER(SEARCH("Thailand",'Coffee Audit'!F2:F2000))*('Coffee Audit'!W2:W2000="⭐ GESHA"))=0,"—","⭐ ×"&amp;SUMPRODUCT(ISNUMBER(SEARCH("Thailand",'Coffee Audit'!F2:F2000))*('Coffee Audit'!W2:W2000="⭐ GESHA")))</f>
        <v>⭐ ×1</v>
      </c>
      <c r="F23" s="100" t="s">
        <v>1220</v>
      </c>
    </row>
    <row r="24" customFormat="false" ht="12.75" hidden="false" customHeight="true" outlineLevel="0" collapsed="false">
      <c r="B24" s="63" t="s">
        <v>1073</v>
      </c>
      <c r="C24" s="51" t="n">
        <f aca="false">COUNTIF('Coffee Audit'!F2:F2000,"*Guatemala*")</f>
        <v>1</v>
      </c>
      <c r="D24" s="51" t="str">
        <f aca="false">TEXT(COUNTIF('Coffee Audit'!F2:F2000,"*Guatemala*")/COUNTA('Coffee Audit'!A2:A2000),"0%")</f>
        <v>1%</v>
      </c>
      <c r="E24" s="51" t="str">
        <f aca="false">IF(SUMPRODUCT(ISNUMBER(SEARCH("Guatemala",'Coffee Audit'!F2:F2000))*('Coffee Audit'!W2:W2000="⭐ GESHA"))=0,"—","⭐ ×"&amp;SUMPRODUCT(ISNUMBER(SEARCH("Guatemala",'Coffee Audit'!F2:F2000))*('Coffee Audit'!W2:W2000="⭐ GESHA")))</f>
        <v>—</v>
      </c>
      <c r="F24" s="100" t="s">
        <v>1074</v>
      </c>
    </row>
    <row r="25" customFormat="false" ht="12.75" hidden="false" customHeight="true" outlineLevel="0" collapsed="false">
      <c r="B25" s="63" t="s">
        <v>1221</v>
      </c>
      <c r="C25" s="51" t="n">
        <f aca="false">COUNTIF('Coffee Audit'!F2:F2000,"*Uganda*")</f>
        <v>1</v>
      </c>
      <c r="D25" s="51" t="str">
        <f aca="false">TEXT(COUNTIF('Coffee Audit'!F2:F2000,"*Uganda*")/COUNTA('Coffee Audit'!A2:A2000),"0%")</f>
        <v>1%</v>
      </c>
      <c r="E25" s="51" t="str">
        <f aca="false">IF(SUMPRODUCT(ISNUMBER(SEARCH("Uganda",'Coffee Audit'!F2:F2000))*('Coffee Audit'!W2:W2000="⭐ GESHA"))=0,"—","⭐ ×"&amp;SUMPRODUCT(ISNUMBER(SEARCH("Uganda",'Coffee Audit'!F2:F2000))*('Coffee Audit'!W2:W2000="⭐ GESHA")))</f>
        <v>—</v>
      </c>
      <c r="F25" s="100" t="s">
        <v>1222</v>
      </c>
    </row>
    <row r="26" customFormat="false" ht="12.75" hidden="false" customHeight="true" outlineLevel="0" collapsed="false"/>
    <row r="27" customFormat="false" ht="12.75" hidden="false" customHeight="true" outlineLevel="0" collapsed="false">
      <c r="B27" s="101" t="s">
        <v>1223</v>
      </c>
    </row>
    <row r="28" customFormat="false" ht="12.75" hidden="false" customHeight="true" outlineLevel="0" collapsed="false">
      <c r="B28" s="83" t="s">
        <v>6</v>
      </c>
      <c r="C28" s="83" t="s">
        <v>1149</v>
      </c>
      <c r="D28" s="83" t="s">
        <v>1224</v>
      </c>
      <c r="E28" s="83" t="s">
        <v>1225</v>
      </c>
      <c r="F28" s="83" t="s">
        <v>1226</v>
      </c>
    </row>
    <row r="29" customFormat="false" ht="12.75" hidden="false" customHeight="true" outlineLevel="0" collapsed="false">
      <c r="B29" s="102" t="s">
        <v>1227</v>
      </c>
      <c r="C29" s="103" t="s">
        <v>1228</v>
      </c>
      <c r="D29" s="103" t="s">
        <v>1229</v>
      </c>
      <c r="E29" s="103" t="s">
        <v>1230</v>
      </c>
      <c r="F29" s="103" t="str">
        <f aca="false">"Apex varietal · "&amp;COUNTIF('Coffee Audit'!W2:W2000,"⭐ GESHA")&amp;" entries"</f>
        <v>Apex varietal · 25 entries</v>
      </c>
    </row>
    <row r="30" customFormat="false" ht="12.75" hidden="false" customHeight="true" outlineLevel="0" collapsed="false">
      <c r="B30" s="102" t="s">
        <v>91</v>
      </c>
      <c r="C30" s="103" t="s">
        <v>1228</v>
      </c>
      <c r="D30" s="103" t="s">
        <v>1231</v>
      </c>
      <c r="E30" s="103" t="s">
        <v>1232</v>
      </c>
      <c r="F30" s="103" t="s">
        <v>1233</v>
      </c>
    </row>
    <row r="31" customFormat="false" ht="12.75" hidden="false" customHeight="true" outlineLevel="0" collapsed="false">
      <c r="B31" s="102" t="s">
        <v>661</v>
      </c>
      <c r="C31" s="103" t="s">
        <v>1228</v>
      </c>
      <c r="D31" s="103" t="s">
        <v>1234</v>
      </c>
      <c r="E31" s="103" t="s">
        <v>662</v>
      </c>
      <c r="F31" s="103" t="s">
        <v>1235</v>
      </c>
    </row>
    <row r="32" customFormat="false" ht="12.75" hidden="false" customHeight="true" outlineLevel="0" collapsed="false">
      <c r="B32" s="102" t="s">
        <v>183</v>
      </c>
      <c r="C32" s="103" t="s">
        <v>1228</v>
      </c>
      <c r="D32" s="103" t="s">
        <v>1236</v>
      </c>
      <c r="E32" s="103" t="s">
        <v>58</v>
      </c>
      <c r="F32" s="103" t="s">
        <v>1237</v>
      </c>
    </row>
    <row r="33" customFormat="false" ht="12.75" hidden="false" customHeight="true" outlineLevel="0" collapsed="false">
      <c r="B33" s="102" t="s">
        <v>530</v>
      </c>
      <c r="C33" s="103" t="s">
        <v>1228</v>
      </c>
      <c r="D33" s="103" t="s">
        <v>1238</v>
      </c>
      <c r="E33" s="103" t="s">
        <v>58</v>
      </c>
      <c r="F33" s="103" t="s">
        <v>1239</v>
      </c>
    </row>
    <row r="34" customFormat="false" ht="12.75" hidden="false" customHeight="true" outlineLevel="0" collapsed="false">
      <c r="B34" s="102" t="s">
        <v>119</v>
      </c>
      <c r="C34" s="103" t="s">
        <v>1228</v>
      </c>
      <c r="D34" s="103" t="s">
        <v>1240</v>
      </c>
      <c r="E34" s="103" t="s">
        <v>58</v>
      </c>
      <c r="F34" s="103" t="s">
        <v>1241</v>
      </c>
    </row>
    <row r="35" customFormat="false" ht="12.75" hidden="false" customHeight="true" outlineLevel="0" collapsed="false">
      <c r="B35" s="102" t="s">
        <v>316</v>
      </c>
      <c r="C35" s="103" t="s">
        <v>1228</v>
      </c>
      <c r="D35" s="103" t="s">
        <v>1242</v>
      </c>
      <c r="E35" s="103" t="s">
        <v>74</v>
      </c>
      <c r="F35" s="103" t="s">
        <v>1243</v>
      </c>
    </row>
    <row r="36" customFormat="false" ht="12.75" hidden="false" customHeight="true" outlineLevel="0" collapsed="false">
      <c r="B36" s="102" t="s">
        <v>373</v>
      </c>
      <c r="C36" s="103" t="s">
        <v>1228</v>
      </c>
      <c r="D36" s="103" t="s">
        <v>1244</v>
      </c>
      <c r="E36" s="103" t="s">
        <v>374</v>
      </c>
      <c r="F36" s="103" t="s">
        <v>1245</v>
      </c>
    </row>
    <row r="37" customFormat="false" ht="12.75" hidden="false" customHeight="true" outlineLevel="0" collapsed="false">
      <c r="B37" s="102" t="s">
        <v>1246</v>
      </c>
      <c r="C37" s="103" t="s">
        <v>1228</v>
      </c>
      <c r="D37" s="103" t="s">
        <v>1247</v>
      </c>
      <c r="E37" s="103" t="s">
        <v>1248</v>
      </c>
      <c r="F37" s="103" t="s">
        <v>1249</v>
      </c>
    </row>
    <row r="38" customFormat="false" ht="12.75" hidden="false" customHeight="true" outlineLevel="0" collapsed="false">
      <c r="B38" s="102" t="s">
        <v>472</v>
      </c>
      <c r="C38" s="103" t="s">
        <v>1228</v>
      </c>
      <c r="D38" s="103" t="s">
        <v>1250</v>
      </c>
      <c r="E38" s="103" t="s">
        <v>473</v>
      </c>
      <c r="F38" s="103" t="s">
        <v>1251</v>
      </c>
    </row>
    <row r="39" customFormat="false" ht="12.75" hidden="false" customHeight="true" outlineLevel="0" collapsed="false">
      <c r="B39" s="102" t="s">
        <v>230</v>
      </c>
      <c r="C39" s="103" t="s">
        <v>1228</v>
      </c>
      <c r="D39" s="103" t="s">
        <v>1252</v>
      </c>
      <c r="E39" s="103" t="s">
        <v>1253</v>
      </c>
      <c r="F39" s="103" t="s">
        <v>1254</v>
      </c>
    </row>
    <row r="40" customFormat="false" ht="12.75" hidden="false" customHeight="true" outlineLevel="0" collapsed="false">
      <c r="B40" s="102" t="s">
        <v>1255</v>
      </c>
      <c r="C40" s="103" t="s">
        <v>1228</v>
      </c>
      <c r="D40" s="103" t="s">
        <v>1256</v>
      </c>
      <c r="E40" s="103" t="s">
        <v>29</v>
      </c>
      <c r="F40" s="103" t="s">
        <v>1257</v>
      </c>
    </row>
    <row r="41" customFormat="false" ht="12.75" hidden="false" customHeight="true" outlineLevel="0" collapsed="false">
      <c r="B41" s="104" t="s">
        <v>1258</v>
      </c>
      <c r="C41" s="8" t="s">
        <v>1228</v>
      </c>
      <c r="D41" s="8" t="s">
        <v>1259</v>
      </c>
      <c r="E41" s="8" t="s">
        <v>58</v>
      </c>
      <c r="F41" s="8" t="s">
        <v>1260</v>
      </c>
    </row>
    <row r="42" customFormat="false" ht="15" hidden="false" customHeight="true" outlineLevel="0" collapsed="false">
      <c r="B42" s="105" t="s">
        <v>1261</v>
      </c>
      <c r="C42" s="106" t="s">
        <v>1262</v>
      </c>
      <c r="D42" s="106" t="s">
        <v>1178</v>
      </c>
      <c r="E42" s="106" t="s">
        <v>1178</v>
      </c>
      <c r="F42" s="106" t="s">
        <v>1263</v>
      </c>
    </row>
    <row r="43" customFormat="false" ht="20.25" hidden="false" customHeight="true" outlineLevel="0" collapsed="false">
      <c r="B43" s="105" t="s">
        <v>1264</v>
      </c>
      <c r="C43" s="106" t="s">
        <v>1262</v>
      </c>
      <c r="D43" s="106" t="s">
        <v>1178</v>
      </c>
      <c r="E43" s="106" t="s">
        <v>1178</v>
      </c>
      <c r="F43" s="106" t="s">
        <v>1265</v>
      </c>
    </row>
    <row r="44" customFormat="false" ht="15" hidden="false" customHeight="true" outlineLevel="0" collapsed="false">
      <c r="B44" s="105" t="s">
        <v>1266</v>
      </c>
      <c r="C44" s="106" t="s">
        <v>1262</v>
      </c>
      <c r="D44" s="106" t="s">
        <v>1178</v>
      </c>
      <c r="E44" s="106" t="s">
        <v>1178</v>
      </c>
      <c r="F44" s="106" t="s">
        <v>1267</v>
      </c>
    </row>
  </sheetData>
  <mergeCells count="4">
    <mergeCell ref="B1:L1"/>
    <mergeCell ref="B2:L2"/>
    <mergeCell ref="B4:G4"/>
    <mergeCell ref="H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B1:K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26"/>
    <col collapsed="false" customWidth="true" hidden="false" outlineLevel="0" max="3" min="3" style="1" width="8"/>
    <col collapsed="false" customWidth="true" hidden="false" outlineLevel="0" max="4" min="4" style="1" width="11"/>
    <col collapsed="false" customWidth="true" hidden="false" outlineLevel="0" max="5" min="5" style="1" width="13"/>
    <col collapsed="false" customWidth="true" hidden="false" outlineLevel="0" max="6" min="6" style="1" width="42"/>
    <col collapsed="false" customWidth="true" hidden="false" outlineLevel="0" max="11" min="7" style="1" width="5"/>
  </cols>
  <sheetData>
    <row r="1" customFormat="false" ht="21.75" hidden="false" customHeight="true" outlineLevel="0" collapsed="false">
      <c r="B1" s="79" t="s">
        <v>1268</v>
      </c>
      <c r="C1" s="79"/>
      <c r="D1" s="79"/>
      <c r="E1" s="79"/>
      <c r="F1" s="79"/>
      <c r="G1" s="79"/>
      <c r="H1" s="79"/>
      <c r="I1" s="79"/>
      <c r="J1" s="79"/>
      <c r="K1" s="79"/>
    </row>
    <row r="2" customFormat="false" ht="13.5" hidden="false" customHeight="true" outlineLevel="0" collapsed="false">
      <c r="B2" s="80" t="str">
        <f aca="false">"Flat burrs · flat beds · the physics of clarity   ·   measured live across "&amp;COUNTA('Coffee Audit'!A2:A2000)&amp;" field audits"</f>
        <v>Flat burrs · flat beds · the physics of clarity   ·   measured live across 89 field audits</v>
      </c>
      <c r="C2" s="80"/>
      <c r="D2" s="80"/>
      <c r="E2" s="80"/>
      <c r="F2" s="80"/>
      <c r="G2" s="80"/>
      <c r="H2" s="80"/>
      <c r="I2" s="80"/>
      <c r="J2" s="80"/>
      <c r="K2" s="80"/>
    </row>
    <row r="3" customFormat="false" ht="6" hidden="false" customHeight="true" outlineLevel="0" collapsed="false"/>
    <row r="4" customFormat="false" ht="15.75" hidden="false" customHeight="true" outlineLevel="0" collapsed="false">
      <c r="B4" s="81" t="s">
        <v>1269</v>
      </c>
      <c r="C4" s="81"/>
      <c r="D4" s="81"/>
      <c r="E4" s="81"/>
      <c r="F4" s="81"/>
      <c r="G4" s="81"/>
      <c r="H4" s="81"/>
      <c r="I4" s="81"/>
      <c r="J4" s="81"/>
      <c r="K4" s="81"/>
    </row>
    <row r="5" customFormat="false" ht="15.75" hidden="false" customHeight="true" outlineLevel="0" collapsed="false">
      <c r="B5" s="83" t="s">
        <v>1270</v>
      </c>
      <c r="C5" s="83" t="s">
        <v>1105</v>
      </c>
      <c r="D5" s="83" t="s">
        <v>1271</v>
      </c>
      <c r="E5" s="83" t="s">
        <v>1272</v>
      </c>
      <c r="F5" s="83" t="s">
        <v>1273</v>
      </c>
    </row>
    <row r="6" customFormat="false" ht="12.75" hidden="false" customHeight="true" outlineLevel="0" collapsed="false">
      <c r="B6" s="88" t="s">
        <v>1274</v>
      </c>
      <c r="C6" s="89" t="n">
        <f aca="false">COUNTIF('Coffee Audit'!P2:P2000,"*P80*")</f>
        <v>2</v>
      </c>
      <c r="D6" s="89" t="s">
        <v>1275</v>
      </c>
      <c r="E6" s="89" t="s">
        <v>1276</v>
      </c>
      <c r="F6" s="89" t="s">
        <v>1277</v>
      </c>
    </row>
    <row r="7" customFormat="false" ht="12.75" hidden="false" customHeight="true" outlineLevel="0" collapsed="false">
      <c r="B7" s="94" t="s">
        <v>174</v>
      </c>
      <c r="C7" s="95" t="n">
        <f aca="false">COUNTIF('Coffee Audit'!P2:P2000,"*P64*")</f>
        <v>12</v>
      </c>
      <c r="D7" s="95" t="s">
        <v>1278</v>
      </c>
      <c r="E7" s="95" t="s">
        <v>1279</v>
      </c>
      <c r="F7" s="95" t="s">
        <v>1280</v>
      </c>
    </row>
    <row r="8" customFormat="false" ht="12.75" hidden="false" customHeight="true" outlineLevel="0" collapsed="false">
      <c r="B8" s="88" t="s">
        <v>1281</v>
      </c>
      <c r="C8" s="89" t="n">
        <f aca="false">COUNTIF('Coffee Audit'!P2:P2000,"*EK43*")</f>
        <v>34</v>
      </c>
      <c r="D8" s="89" t="s">
        <v>1282</v>
      </c>
      <c r="E8" s="89" t="s">
        <v>1283</v>
      </c>
      <c r="F8" s="89" t="s">
        <v>1284</v>
      </c>
    </row>
    <row r="9" customFormat="false" ht="12.75" hidden="false" customHeight="true" outlineLevel="0" collapsed="false">
      <c r="B9" s="94" t="s">
        <v>235</v>
      </c>
      <c r="C9" s="95" t="n">
        <f aca="false">COUNTIF('Coffee Audit'!P2:P2000,"*Omnia*")</f>
        <v>7</v>
      </c>
      <c r="D9" s="95" t="s">
        <v>1282</v>
      </c>
      <c r="E9" s="95" t="s">
        <v>1285</v>
      </c>
      <c r="F9" s="95" t="s">
        <v>1286</v>
      </c>
    </row>
    <row r="10" customFormat="false" ht="12.75" hidden="false" customHeight="true" outlineLevel="0" collapsed="false">
      <c r="B10" s="88" t="s">
        <v>1287</v>
      </c>
      <c r="C10" s="89" t="n">
        <f aca="false">COUNTIF('Coffee Audit'!P2:P2000,"*Ditting*")</f>
        <v>5</v>
      </c>
      <c r="D10" s="89" t="s">
        <v>1288</v>
      </c>
      <c r="E10" s="89" t="s">
        <v>1289</v>
      </c>
      <c r="F10" s="89" t="s">
        <v>1290</v>
      </c>
    </row>
    <row r="11" customFormat="false" ht="12.75" hidden="false" customHeight="true" outlineLevel="0" collapsed="false">
      <c r="B11" s="94" t="s">
        <v>1291</v>
      </c>
      <c r="C11" s="95" t="n">
        <f aca="false">COUNTIF('Coffee Audit'!P2:P2000,"*DF83*")</f>
        <v>2</v>
      </c>
      <c r="D11" s="95" t="s">
        <v>1292</v>
      </c>
      <c r="E11" s="95" t="s">
        <v>1293</v>
      </c>
      <c r="F11" s="95" t="s">
        <v>370</v>
      </c>
    </row>
    <row r="12" customFormat="false" ht="12.75" hidden="false" customHeight="true" outlineLevel="0" collapsed="false">
      <c r="B12" s="88" t="s">
        <v>222</v>
      </c>
      <c r="C12" s="89" t="n">
        <f aca="false">COUNTIF('Coffee Audit'!P2:P2000,"*Sculptor*")</f>
        <v>2</v>
      </c>
      <c r="D12" s="89" t="s">
        <v>1294</v>
      </c>
      <c r="E12" s="89" t="s">
        <v>1295</v>
      </c>
      <c r="F12" s="89" t="s">
        <v>1296</v>
      </c>
    </row>
    <row r="13" customFormat="false" ht="12.75" hidden="false" customHeight="true" outlineLevel="0" collapsed="false">
      <c r="B13" s="94" t="s">
        <v>1297</v>
      </c>
      <c r="C13" s="95" t="n">
        <f aca="false">COUNTIF('Coffee Audit'!P2:P2000,"*FM 120*")</f>
        <v>0</v>
      </c>
      <c r="D13" s="95" t="s">
        <v>1298</v>
      </c>
      <c r="E13" s="95" t="s">
        <v>1299</v>
      </c>
      <c r="F13" s="95" t="s">
        <v>1300</v>
      </c>
    </row>
    <row r="14" customFormat="false" ht="12.75" hidden="false" customHeight="true" outlineLevel="0" collapsed="false">
      <c r="B14" s="88" t="s">
        <v>1301</v>
      </c>
      <c r="C14" s="89" t="n">
        <f aca="false">COUNTIF('Coffee Audit'!P2:P2000,"*Mazzer*")</f>
        <v>1</v>
      </c>
      <c r="D14" s="89" t="s">
        <v>1292</v>
      </c>
      <c r="E14" s="89" t="s">
        <v>1302</v>
      </c>
      <c r="F14" s="89" t="s">
        <v>456</v>
      </c>
    </row>
    <row r="15" customFormat="false" ht="12.75" hidden="false" customHeight="true" outlineLevel="0" collapsed="false">
      <c r="B15" s="94" t="s">
        <v>1303</v>
      </c>
      <c r="C15" s="95" t="n">
        <f aca="false">COUNTIF('Coffee Audit'!P2:P2000,"*Conical Gold*")</f>
        <v>1</v>
      </c>
      <c r="D15" s="95" t="s">
        <v>1304</v>
      </c>
      <c r="E15" s="95" t="s">
        <v>1305</v>
      </c>
      <c r="F15" s="95" t="s">
        <v>416</v>
      </c>
    </row>
    <row r="16" customFormat="false" ht="7.5" hidden="false" customHeight="true" outlineLevel="0" collapsed="false"/>
    <row r="17" customFormat="false" ht="15.75" hidden="false" customHeight="true" outlineLevel="0" collapsed="false">
      <c r="B17" s="81" t="s">
        <v>1306</v>
      </c>
      <c r="C17" s="81"/>
      <c r="D17" s="81"/>
      <c r="E17" s="81"/>
      <c r="F17" s="81"/>
      <c r="G17" s="81"/>
      <c r="H17" s="81"/>
      <c r="I17" s="81"/>
      <c r="J17" s="81"/>
      <c r="K17" s="81"/>
    </row>
    <row r="18" customFormat="false" ht="15.75" hidden="false" customHeight="true" outlineLevel="0" collapsed="false">
      <c r="B18" s="83" t="s">
        <v>1307</v>
      </c>
      <c r="C18" s="83" t="s">
        <v>1105</v>
      </c>
      <c r="D18" s="83" t="s">
        <v>1308</v>
      </c>
      <c r="E18" s="83" t="s">
        <v>1150</v>
      </c>
    </row>
    <row r="19" customFormat="false" ht="15.75" hidden="false" customHeight="true" outlineLevel="0" collapsed="false">
      <c r="B19" s="102" t="s">
        <v>1309</v>
      </c>
      <c r="C19" s="103" t="n">
        <f aca="false">SUMPRODUCT(--ISNUMBER(SEARCH("Flat-Bottom",'Coffee Audit'!J2:J2000)))</f>
        <v>34</v>
      </c>
      <c r="D19" s="103" t="s">
        <v>1310</v>
      </c>
      <c r="E19" s="103" t="s">
        <v>1311</v>
      </c>
    </row>
    <row r="20" customFormat="false" ht="15.75" hidden="false" customHeight="true" outlineLevel="0" collapsed="false">
      <c r="B20" s="102" t="s">
        <v>1312</v>
      </c>
      <c r="C20" s="103" t="n">
        <f aca="false">COUNTIF('Coffee Audit'!J2:J2000,"*CT62*")</f>
        <v>1</v>
      </c>
      <c r="D20" s="103" t="s">
        <v>1313</v>
      </c>
      <c r="E20" s="103" t="s">
        <v>1314</v>
      </c>
    </row>
    <row r="21" customFormat="false" ht="15.75" hidden="false" customHeight="true" outlineLevel="0" collapsed="false">
      <c r="B21" s="107" t="s">
        <v>1315</v>
      </c>
      <c r="C21" s="108" t="n">
        <f aca="false">COUNTIF('Coffee Audit'!J2:J2000,"*V60*")</f>
        <v>21</v>
      </c>
      <c r="D21" s="108" t="s">
        <v>1316</v>
      </c>
      <c r="E21" s="108" t="s">
        <v>1317</v>
      </c>
    </row>
    <row r="22" customFormat="false" ht="15.75" hidden="false" customHeight="true" outlineLevel="0" collapsed="false">
      <c r="B22" s="107" t="s">
        <v>1318</v>
      </c>
      <c r="C22" s="108" t="n">
        <f aca="false">COUNTIF('Coffee Audit'!J2:J2000,"*xBloom*")</f>
        <v>4</v>
      </c>
      <c r="D22" s="108" t="s">
        <v>1319</v>
      </c>
      <c r="E22" s="108" t="s">
        <v>1320</v>
      </c>
    </row>
    <row r="23" customFormat="false" ht="15.75" hidden="false" customHeight="true" outlineLevel="0" collapsed="false">
      <c r="B23" s="102" t="s">
        <v>1321</v>
      </c>
      <c r="C23" s="103" t="n">
        <f aca="false">COUNTIF('Coffee Audit'!J2:J2000,"*Switch*")</f>
        <v>10</v>
      </c>
      <c r="D23" s="103" t="s">
        <v>1322</v>
      </c>
      <c r="E23" s="103" t="s">
        <v>1323</v>
      </c>
    </row>
    <row r="24" customFormat="false" ht="15.75" hidden="false" customHeight="true" outlineLevel="0" collapsed="false">
      <c r="B24" s="105" t="s">
        <v>1324</v>
      </c>
      <c r="C24" s="106" t="n">
        <f aca="false">COUNTIF('Coffee Audit'!J2:J2000,"*Tap Dispenser*")</f>
        <v>1</v>
      </c>
      <c r="D24" s="106" t="s">
        <v>1325</v>
      </c>
      <c r="E24" s="106" t="s">
        <v>1326</v>
      </c>
    </row>
    <row r="25" customFormat="false" ht="15.75" hidden="false" customHeight="true" outlineLevel="0" collapsed="false">
      <c r="B25" s="105" t="s">
        <v>1327</v>
      </c>
      <c r="C25" s="106" t="n">
        <f aca="false">COUNTIF('Coffee Audit'!J2:J2000,"*Solo Dripper*")</f>
        <v>3</v>
      </c>
      <c r="D25" s="106" t="s">
        <v>1328</v>
      </c>
      <c r="E25" s="106" t="s">
        <v>1329</v>
      </c>
    </row>
    <row r="26" customFormat="false" ht="15.75" hidden="false" customHeight="true" outlineLevel="0" collapsed="false">
      <c r="B26" s="104" t="s">
        <v>1330</v>
      </c>
      <c r="C26" s="8" t="n">
        <f aca="false">COUNTIF('Coffee Audit'!J2:J2000,"*FOUR-HOLE*")</f>
        <v>2</v>
      </c>
      <c r="D26" s="8" t="s">
        <v>1331</v>
      </c>
      <c r="E26" s="8" t="s">
        <v>1332</v>
      </c>
    </row>
    <row r="27" customFormat="false" ht="15.75" hidden="false" customHeight="true" outlineLevel="0" collapsed="false"/>
    <row r="28" customFormat="false" ht="19.5" hidden="false" customHeight="true" outlineLevel="0" collapsed="false">
      <c r="B28" s="81" t="str">
        <f aca="false">"  📜  TEN EXTRACTION LAWS  —  empirically proven across "&amp;COUNTA('Coffee Audit'!A2:A2000)&amp;" audited cups"</f>
        <v>  📜  TEN EXTRACTION LAWS  —  empirically proven across 89 audited cups</v>
      </c>
      <c r="C28" s="81"/>
      <c r="D28" s="81"/>
      <c r="E28" s="81"/>
      <c r="F28" s="81"/>
      <c r="G28" s="81"/>
      <c r="H28" s="81"/>
      <c r="I28" s="81"/>
      <c r="J28" s="81"/>
      <c r="K28" s="81"/>
    </row>
    <row r="29" customFormat="false" ht="19.5" hidden="false" customHeight="true" outlineLevel="0" collapsed="false">
      <c r="B29" s="109" t="s">
        <v>1333</v>
      </c>
      <c r="C29" s="109"/>
      <c r="D29" s="109"/>
      <c r="E29" s="109"/>
      <c r="F29" s="109"/>
      <c r="G29" s="109"/>
      <c r="H29" s="109"/>
      <c r="I29" s="109"/>
      <c r="J29" s="109"/>
    </row>
    <row r="30" customFormat="false" ht="19.5" hidden="false" customHeight="true" outlineLevel="0" collapsed="false">
      <c r="B30" s="110" t="s">
        <v>1334</v>
      </c>
      <c r="C30" s="110"/>
      <c r="D30" s="110"/>
      <c r="E30" s="110"/>
      <c r="F30" s="110"/>
      <c r="G30" s="110"/>
      <c r="H30" s="110"/>
      <c r="I30" s="110"/>
      <c r="J30" s="110"/>
    </row>
    <row r="31" customFormat="false" ht="19.5" hidden="false" customHeight="true" outlineLevel="0" collapsed="false">
      <c r="B31" s="111" t="s">
        <v>1335</v>
      </c>
      <c r="C31" s="111"/>
      <c r="D31" s="111"/>
      <c r="E31" s="111"/>
      <c r="F31" s="111"/>
      <c r="G31" s="111"/>
      <c r="H31" s="111"/>
      <c r="I31" s="111"/>
      <c r="J31" s="111"/>
    </row>
    <row r="32" customFormat="false" ht="19.5" hidden="false" customHeight="true" outlineLevel="0" collapsed="false">
      <c r="B32" s="110" t="s">
        <v>1336</v>
      </c>
      <c r="C32" s="110"/>
      <c r="D32" s="110"/>
      <c r="E32" s="110"/>
      <c r="F32" s="110"/>
      <c r="G32" s="110"/>
      <c r="H32" s="110"/>
      <c r="I32" s="110"/>
      <c r="J32" s="110"/>
    </row>
    <row r="33" customFormat="false" ht="19.5" hidden="false" customHeight="true" outlineLevel="0" collapsed="false">
      <c r="B33" s="111" t="s">
        <v>1337</v>
      </c>
      <c r="C33" s="111"/>
      <c r="D33" s="111"/>
      <c r="E33" s="111"/>
      <c r="F33" s="111"/>
      <c r="G33" s="111"/>
      <c r="H33" s="111"/>
      <c r="I33" s="111"/>
      <c r="J33" s="111"/>
    </row>
    <row r="34" customFormat="false" ht="24" hidden="false" customHeight="true" outlineLevel="0" collapsed="false">
      <c r="B34" s="110" t="s">
        <v>1338</v>
      </c>
      <c r="C34" s="110"/>
      <c r="D34" s="110"/>
      <c r="E34" s="110"/>
      <c r="F34" s="110"/>
      <c r="G34" s="110"/>
      <c r="H34" s="110"/>
      <c r="I34" s="110"/>
      <c r="J34" s="110"/>
    </row>
    <row r="35" customFormat="false" ht="24" hidden="false" customHeight="true" outlineLevel="0" collapsed="false">
      <c r="B35" s="112" t="s">
        <v>1339</v>
      </c>
      <c r="C35" s="112"/>
      <c r="D35" s="112"/>
      <c r="E35" s="112"/>
      <c r="F35" s="112"/>
      <c r="G35" s="112"/>
      <c r="H35" s="112"/>
      <c r="I35" s="112"/>
      <c r="J35" s="112"/>
      <c r="K35" s="112"/>
    </row>
    <row r="36" customFormat="false" ht="30" hidden="false" customHeight="true" outlineLevel="0" collapsed="false">
      <c r="B36" s="112" t="s">
        <v>1340</v>
      </c>
      <c r="C36" s="112"/>
      <c r="D36" s="112"/>
      <c r="E36" s="112"/>
      <c r="F36" s="112"/>
      <c r="G36" s="112"/>
      <c r="H36" s="112"/>
      <c r="I36" s="112"/>
      <c r="J36" s="112"/>
      <c r="K36" s="112"/>
    </row>
    <row r="37" customFormat="false" ht="30" hidden="false" customHeight="true" outlineLevel="0" collapsed="false">
      <c r="B37" s="112" t="s">
        <v>1341</v>
      </c>
      <c r="C37" s="112"/>
      <c r="D37" s="112"/>
      <c r="E37" s="112"/>
      <c r="F37" s="112"/>
      <c r="G37" s="112"/>
      <c r="H37" s="112"/>
      <c r="I37" s="112"/>
      <c r="J37" s="112"/>
      <c r="K37" s="112"/>
    </row>
    <row r="38" customFormat="false" ht="30" hidden="false" customHeight="true" outlineLevel="0" collapsed="false">
      <c r="B38" s="113" t="s">
        <v>1342</v>
      </c>
      <c r="C38" s="113"/>
      <c r="D38" s="113"/>
      <c r="E38" s="113"/>
      <c r="F38" s="113"/>
      <c r="G38" s="113"/>
      <c r="H38" s="113"/>
      <c r="I38" s="113"/>
      <c r="J38" s="113"/>
      <c r="K38" s="113"/>
    </row>
  </sheetData>
  <mergeCells count="15">
    <mergeCell ref="B1:K1"/>
    <mergeCell ref="B2:K2"/>
    <mergeCell ref="B4:K4"/>
    <mergeCell ref="B17:K17"/>
    <mergeCell ref="B28:K28"/>
    <mergeCell ref="B29:J29"/>
    <mergeCell ref="B30:J30"/>
    <mergeCell ref="B31:J31"/>
    <mergeCell ref="B32:J32"/>
    <mergeCell ref="B33:J33"/>
    <mergeCell ref="B34:J34"/>
    <mergeCell ref="B35:K35"/>
    <mergeCell ref="B36:K36"/>
    <mergeCell ref="B37:K37"/>
    <mergeCell ref="B38:K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342E"/>
    <pageSetUpPr fitToPage="false"/>
  </sheetPr>
  <dimension ref="B1:L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32"/>
    <col collapsed="false" customWidth="true" hidden="false" outlineLevel="0" max="3" min="3" style="1" width="11"/>
    <col collapsed="false" customWidth="true" hidden="false" outlineLevel="0" max="4" min="4" style="1" width="7"/>
    <col collapsed="false" customWidth="true" hidden="false" outlineLevel="0" max="5" min="5" style="1" width="6"/>
    <col collapsed="false" customWidth="true" hidden="false" outlineLevel="0" max="6" min="6" style="1" width="7"/>
    <col collapsed="false" customWidth="true" hidden="false" outlineLevel="0" max="7" min="7" style="1" width="44"/>
    <col collapsed="false" customWidth="true" hidden="false" outlineLevel="0" max="9" min="8" style="1" width="22"/>
    <col collapsed="false" customWidth="true" hidden="false" outlineLevel="0" max="10" min="10" style="1" width="9"/>
    <col collapsed="false" customWidth="true" hidden="false" outlineLevel="0" max="11" min="11" style="1" width="36"/>
  </cols>
  <sheetData>
    <row r="1" customFormat="false" ht="21.75" hidden="false" customHeight="true" outlineLevel="0" collapsed="false">
      <c r="B1" s="79" t="str">
        <f aca="false">"🏙️  CAFÉ DIRECTORY   —   "&amp;SUMPRODUCT(('Coffee Audit'!C2:C2000&lt;&gt;"")/COUNTIF('Coffee Audit'!C2:C2000,'Coffee Audit'!C2:C2000&amp;""))&amp;" VENUES · 4 CITIES"</f>
        <v>🏙️  CAFÉ DIRECTORY   —   44 VENUES · 4 CITIES</v>
      </c>
      <c r="C1" s="79"/>
      <c r="D1" s="79"/>
      <c r="E1" s="79"/>
      <c r="F1" s="79"/>
      <c r="G1" s="79"/>
      <c r="H1" s="79"/>
      <c r="I1" s="79"/>
      <c r="J1" s="79"/>
      <c r="K1" s="79"/>
      <c r="L1" s="79"/>
    </row>
    <row r="2" customFormat="false" ht="13.5" hidden="false" customHeight="true" outlineLevel="0" collapsed="false">
      <c r="B2" s="114" t="str">
        <f aca="false">"Live-verified July 2026  ·  four-tier confidence rating  ·  entry counts and averages are live formulas across "&amp;COUNTA('Coffee Audit'!A2:A2000)&amp;" audits"</f>
        <v>Live-verified July 2026  ·  four-tier confidence rating  ·  entry counts and averages are live formulas across 89 audits</v>
      </c>
      <c r="C2" s="114"/>
      <c r="D2" s="114"/>
      <c r="E2" s="114"/>
      <c r="F2" s="114"/>
      <c r="G2" s="114"/>
      <c r="H2" s="114"/>
      <c r="I2" s="114"/>
      <c r="J2" s="114"/>
      <c r="K2" s="114"/>
      <c r="L2" s="114"/>
    </row>
    <row r="3" customFormat="false" ht="6" hidden="false" customHeight="true" outlineLevel="0" collapsed="false"/>
    <row r="4" customFormat="false" ht="15.75" hidden="false" customHeight="true" outlineLevel="0" collapsed="false">
      <c r="B4" s="81" t="s">
        <v>1343</v>
      </c>
      <c r="C4" s="81"/>
      <c r="D4" s="81"/>
      <c r="E4" s="81"/>
      <c r="F4" s="81"/>
      <c r="G4" s="81"/>
      <c r="H4" s="81"/>
      <c r="I4" s="81"/>
      <c r="J4" s="81"/>
      <c r="K4" s="81"/>
      <c r="L4" s="81"/>
    </row>
    <row r="5" customFormat="false" ht="15.75" hidden="false" customHeight="true" outlineLevel="0" collapsed="false">
      <c r="B5" s="83" t="s">
        <v>1</v>
      </c>
      <c r="C5" s="83" t="s">
        <v>1105</v>
      </c>
      <c r="D5" s="83" t="s">
        <v>1344</v>
      </c>
      <c r="E5" s="83" t="s">
        <v>1345</v>
      </c>
      <c r="F5" s="83" t="s">
        <v>1346</v>
      </c>
    </row>
    <row r="6" customFormat="false" ht="12.75" hidden="false" customHeight="true" outlineLevel="0" collapsed="false">
      <c r="B6" s="88" t="s">
        <v>52</v>
      </c>
      <c r="C6" s="89" t="n">
        <f aca="false">COUNTIF('Coffee Audit'!B2:B2000,"*Singapore*")</f>
        <v>80</v>
      </c>
      <c r="D6" s="89" t="n">
        <f aca="false">SUMPRODUCT((ISNUMBER(SEARCH("Singapore",'Coffee Audit'!B2:B2000)))*('Coffee Audit'!C2:C2000&lt;&gt;"")/COUNTIF('Coffee Audit'!C2:C2000,'Coffee Audit'!C2:C2000&amp;""))</f>
        <v>38</v>
      </c>
      <c r="E6" s="89" t="str">
        <f aca="false">TEXT(COUNTIF('Coffee Audit'!B2:B2000,"*Singapore*")/COUNTA('Coffee Audit'!A2:A2000),"0%")</f>
        <v>90%</v>
      </c>
      <c r="F6" s="89" t="s">
        <v>1347</v>
      </c>
    </row>
    <row r="7" customFormat="false" ht="12.75" hidden="false" customHeight="true" outlineLevel="0" collapsed="false">
      <c r="B7" s="94" t="s">
        <v>24</v>
      </c>
      <c r="C7" s="95" t="n">
        <f aca="false">COUNTIF('Coffee Audit'!B2:B2000,"*Bali*")</f>
        <v>3</v>
      </c>
      <c r="D7" s="95" t="n">
        <f aca="false">SUMPRODUCT((ISNUMBER(SEARCH("Bali",'Coffee Audit'!B2:B2000)))*('Coffee Audit'!C2:C2000&lt;&gt;"")/COUNTIF('Coffee Audit'!C2:C2000,'Coffee Audit'!C2:C2000&amp;""))</f>
        <v>1</v>
      </c>
      <c r="E7" s="95" t="str">
        <f aca="false">TEXT(COUNTIF('Coffee Audit'!B2:B2000,"*Bali*")/COUNTA('Coffee Audit'!A2:A2000),"0%")</f>
        <v>3%</v>
      </c>
      <c r="F7" s="95" t="s">
        <v>1348</v>
      </c>
    </row>
    <row r="8" customFormat="false" ht="12.75" hidden="false" customHeight="true" outlineLevel="0" collapsed="false">
      <c r="B8" s="88" t="s">
        <v>69</v>
      </c>
      <c r="C8" s="89" t="n">
        <f aca="false">COUNTIF('Coffee Audit'!B2:B2000,"*Mumbai*")</f>
        <v>2</v>
      </c>
      <c r="D8" s="89" t="n">
        <f aca="false">SUMPRODUCT((ISNUMBER(SEARCH("Mumbai",'Coffee Audit'!B2:B2000)))*('Coffee Audit'!C2:C2000&lt;&gt;"")/COUNTIF('Coffee Audit'!C2:C2000,'Coffee Audit'!C2:C2000&amp;""))</f>
        <v>2</v>
      </c>
      <c r="E8" s="89" t="str">
        <f aca="false">TEXT(COUNTIF('Coffee Audit'!B2:B2000,"*Mumbai*")/COUNTA('Coffee Audit'!A2:A2000),"0%")</f>
        <v>2%</v>
      </c>
      <c r="F8" s="89" t="s">
        <v>1349</v>
      </c>
    </row>
    <row r="9" customFormat="false" ht="12.75" hidden="false" customHeight="true" outlineLevel="0" collapsed="false">
      <c r="B9" s="94" t="s">
        <v>227</v>
      </c>
      <c r="C9" s="95" t="n">
        <f aca="false">COUNTIF('Coffee Audit'!B2:B2000,"*Johor*")</f>
        <v>4</v>
      </c>
      <c r="D9" s="95" t="n">
        <f aca="false">SUMPRODUCT((ISNUMBER(SEARCH("Johor",'Coffee Audit'!B2:B2000)))*('Coffee Audit'!C2:C2000&lt;&gt;"")/COUNTIF('Coffee Audit'!C2:C2000,'Coffee Audit'!C2:C2000&amp;""))</f>
        <v>3</v>
      </c>
      <c r="E9" s="95" t="str">
        <f aca="false">TEXT(COUNTIF('Coffee Audit'!B2:B2000,"*Johor*")/COUNTA('Coffee Audit'!A2:A2000),"0%")</f>
        <v>4%</v>
      </c>
      <c r="F9" s="95" t="s">
        <v>1350</v>
      </c>
    </row>
    <row r="10" customFormat="false" ht="7.5" hidden="false" customHeight="true" outlineLevel="0" collapsed="false"/>
    <row r="11" customFormat="false" ht="15.75" hidden="false" customHeight="true" outlineLevel="0" collapsed="false">
      <c r="B11" s="81" t="s">
        <v>1351</v>
      </c>
      <c r="C11" s="81"/>
      <c r="D11" s="81"/>
      <c r="E11" s="81"/>
      <c r="F11" s="81"/>
      <c r="G11" s="81"/>
      <c r="H11" s="81"/>
      <c r="I11" s="81"/>
      <c r="J11" s="81"/>
      <c r="K11" s="81"/>
      <c r="L11" s="81"/>
    </row>
    <row r="12" customFormat="false" ht="15.75" hidden="false" customHeight="true" outlineLevel="0" collapsed="false">
      <c r="B12" s="83" t="s">
        <v>1000</v>
      </c>
      <c r="C12" s="83" t="s">
        <v>1</v>
      </c>
      <c r="D12" s="83" t="s">
        <v>1105</v>
      </c>
      <c r="E12" s="83" t="s">
        <v>171</v>
      </c>
      <c r="F12" s="83" t="s">
        <v>1352</v>
      </c>
      <c r="G12" s="83" t="s">
        <v>1353</v>
      </c>
      <c r="H12" s="83" t="s">
        <v>1354</v>
      </c>
      <c r="I12" s="83" t="s">
        <v>1355</v>
      </c>
      <c r="J12" s="83" t="s">
        <v>1356</v>
      </c>
      <c r="K12" s="83" t="s">
        <v>1357</v>
      </c>
    </row>
    <row r="13" customFormat="false" ht="13.5" hidden="false" customHeight="true" outlineLevel="0" collapsed="false">
      <c r="B13" s="115" t="s">
        <v>251</v>
      </c>
      <c r="C13" s="116" t="s">
        <v>52</v>
      </c>
      <c r="D13" s="116" t="n">
        <f aca="false">COUNTIF('Coffee Audit'!C2:C2000,B13)</f>
        <v>8</v>
      </c>
      <c r="E13" s="116" t="n">
        <f aca="false">SUMPRODUCT(('Coffee Audit'!C2:C2000=B13)*('Coffee Audit'!W2:W2000="⭐ GESHA"))</f>
        <v>1</v>
      </c>
      <c r="F13" s="116" t="str">
        <f aca="false">IFERROR("S$"&amp;TEXT(AVERAGEIFS('Coffee Audit'!Q2:Q2000,'Coffee Audit'!C2:C2000,B13,'Coffee Audit'!Q2:Q2000,"&gt;0"),"0.00"),"—")</f>
        <v>S$8.25</v>
      </c>
      <c r="G13" s="116" t="s">
        <v>1358</v>
      </c>
      <c r="H13" s="116" t="s">
        <v>1359</v>
      </c>
      <c r="I13" s="116" t="s">
        <v>1360</v>
      </c>
      <c r="J13" s="116" t="s">
        <v>1361</v>
      </c>
      <c r="K13" s="116" t="s">
        <v>1362</v>
      </c>
    </row>
    <row r="14" customFormat="false" ht="13.5" hidden="false" customHeight="true" outlineLevel="0" collapsed="false">
      <c r="B14" s="117" t="s">
        <v>322</v>
      </c>
      <c r="C14" s="118" t="s">
        <v>52</v>
      </c>
      <c r="D14" s="118" t="n">
        <f aca="false">COUNTIF('Coffee Audit'!C2:C2000,B14)</f>
        <v>7</v>
      </c>
      <c r="E14" s="118" t="n">
        <f aca="false">SUMPRODUCT(('Coffee Audit'!C2:C2000=B14)*('Coffee Audit'!W2:W2000="⭐ GESHA"))</f>
        <v>3</v>
      </c>
      <c r="F14" s="118" t="str">
        <f aca="false">IFERROR("S$"&amp;TEXT(AVERAGEIFS('Coffee Audit'!Q2:Q2000,'Coffee Audit'!C2:C2000,B14,'Coffee Audit'!Q2:Q2000,"&gt;0"),"0.00"),"—")</f>
        <v>S$14.00</v>
      </c>
      <c r="G14" s="118" t="s">
        <v>1363</v>
      </c>
      <c r="H14" s="118" t="s">
        <v>1364</v>
      </c>
      <c r="I14" s="118" t="s">
        <v>1178</v>
      </c>
      <c r="J14" s="118" t="s">
        <v>1361</v>
      </c>
      <c r="K14" s="118" t="s">
        <v>1365</v>
      </c>
    </row>
    <row r="15" customFormat="false" ht="13.5" hidden="false" customHeight="true" outlineLevel="0" collapsed="false">
      <c r="B15" s="115" t="s">
        <v>167</v>
      </c>
      <c r="C15" s="116" t="s">
        <v>52</v>
      </c>
      <c r="D15" s="116" t="n">
        <f aca="false">COUNTIF('Coffee Audit'!C2:C2000,B15)</f>
        <v>4</v>
      </c>
      <c r="E15" s="116" t="n">
        <f aca="false">SUMPRODUCT(('Coffee Audit'!C2:C2000=B15)*('Coffee Audit'!W2:W2000="⭐ GESHA"))</f>
        <v>2</v>
      </c>
      <c r="F15" s="116" t="str">
        <f aca="false">IFERROR("S$"&amp;TEXT(AVERAGEIFS('Coffee Audit'!Q2:Q2000,'Coffee Audit'!C2:C2000,B15,'Coffee Audit'!Q2:Q2000,"&gt;0"),"0.00"),"—")</f>
        <v>S$12.50</v>
      </c>
      <c r="G15" s="116" t="s">
        <v>1366</v>
      </c>
      <c r="H15" s="116" t="s">
        <v>1178</v>
      </c>
      <c r="I15" s="116" t="s">
        <v>1178</v>
      </c>
      <c r="J15" s="116" t="s">
        <v>1361</v>
      </c>
      <c r="K15" s="116" t="s">
        <v>1367</v>
      </c>
    </row>
    <row r="16" customFormat="false" ht="13.5" hidden="false" customHeight="true" outlineLevel="0" collapsed="false">
      <c r="B16" s="117" t="s">
        <v>370</v>
      </c>
      <c r="C16" s="118" t="s">
        <v>52</v>
      </c>
      <c r="D16" s="118" t="n">
        <f aca="false">COUNTIF('Coffee Audit'!C2:C2000,B16)</f>
        <v>2</v>
      </c>
      <c r="E16" s="118" t="n">
        <f aca="false">SUMPRODUCT(('Coffee Audit'!C2:C2000=B16)*('Coffee Audit'!W2:W2000="⭐ GESHA"))</f>
        <v>0</v>
      </c>
      <c r="F16" s="118" t="str">
        <f aca="false">IFERROR("S$"&amp;TEXT(AVERAGEIFS('Coffee Audit'!Q2:Q2000,'Coffee Audit'!C2:C2000,B16,'Coffee Audit'!Q2:Q2000,"&gt;0"),"0.00"),"—")</f>
        <v>S$10.50</v>
      </c>
      <c r="G16" s="118" t="s">
        <v>1368</v>
      </c>
      <c r="H16" s="118" t="s">
        <v>1369</v>
      </c>
      <c r="I16" s="118" t="s">
        <v>1370</v>
      </c>
      <c r="J16" s="118" t="s">
        <v>1361</v>
      </c>
      <c r="K16" s="118" t="s">
        <v>1371</v>
      </c>
    </row>
    <row r="17" customFormat="false" ht="13.5" hidden="false" customHeight="true" outlineLevel="0" collapsed="false">
      <c r="B17" s="115" t="s">
        <v>53</v>
      </c>
      <c r="C17" s="116" t="s">
        <v>52</v>
      </c>
      <c r="D17" s="116" t="n">
        <f aca="false">COUNTIF('Coffee Audit'!C2:C2000,B17)</f>
        <v>3</v>
      </c>
      <c r="E17" s="116" t="n">
        <f aca="false">SUMPRODUCT(('Coffee Audit'!C2:C2000=B17)*('Coffee Audit'!W2:W2000="⭐ GESHA"))</f>
        <v>0</v>
      </c>
      <c r="F17" s="116" t="str">
        <f aca="false">IFERROR("S$"&amp;TEXT(AVERAGEIFS('Coffee Audit'!Q2:Q2000,'Coffee Audit'!C2:C2000,B17,'Coffee Audit'!Q2:Q2000,"&gt;0"),"0.00"),"—")</f>
        <v>S$8.67</v>
      </c>
      <c r="G17" s="116" t="s">
        <v>1372</v>
      </c>
      <c r="H17" s="116" t="s">
        <v>1373</v>
      </c>
      <c r="I17" s="116" t="s">
        <v>1374</v>
      </c>
      <c r="J17" s="116" t="s">
        <v>1361</v>
      </c>
      <c r="K17" s="116" t="s">
        <v>1375</v>
      </c>
    </row>
    <row r="18" customFormat="false" ht="13.5" hidden="false" customHeight="true" outlineLevel="0" collapsed="false">
      <c r="B18" s="117" t="s">
        <v>646</v>
      </c>
      <c r="C18" s="118" t="s">
        <v>52</v>
      </c>
      <c r="D18" s="118" t="n">
        <f aca="false">COUNTIF('Coffee Audit'!C2:C2000,B18)</f>
        <v>1</v>
      </c>
      <c r="E18" s="118" t="n">
        <f aca="false">SUMPRODUCT(('Coffee Audit'!C2:C2000=B18)*('Coffee Audit'!W2:W2000="⭐ GESHA"))</f>
        <v>1</v>
      </c>
      <c r="F18" s="118" t="str">
        <f aca="false">IFERROR("S$"&amp;TEXT(AVERAGEIFS('Coffee Audit'!Q2:Q2000,'Coffee Audit'!C2:C2000,B18,'Coffee Audit'!Q2:Q2000,"&gt;0"),"0.00"),"—")</f>
        <v>S$21.00</v>
      </c>
      <c r="G18" s="118" t="s">
        <v>1376</v>
      </c>
      <c r="H18" s="118" t="s">
        <v>1377</v>
      </c>
      <c r="I18" s="118" t="s">
        <v>1378</v>
      </c>
      <c r="J18" s="118" t="s">
        <v>1361</v>
      </c>
      <c r="K18" s="118" t="s">
        <v>1379</v>
      </c>
    </row>
    <row r="19" customFormat="false" ht="13.5" hidden="false" customHeight="true" outlineLevel="0" collapsed="false">
      <c r="B19" s="119" t="s">
        <v>540</v>
      </c>
      <c r="C19" s="120" t="s">
        <v>52</v>
      </c>
      <c r="D19" s="120" t="n">
        <f aca="false">COUNTIF('Coffee Audit'!C2:C2000,B19)</f>
        <v>2</v>
      </c>
      <c r="E19" s="120" t="n">
        <f aca="false">SUMPRODUCT(('Coffee Audit'!C2:C2000=B19)*('Coffee Audit'!W2:W2000="⭐ GESHA"))</f>
        <v>0</v>
      </c>
      <c r="F19" s="120" t="str">
        <f aca="false">IFERROR("S$"&amp;TEXT(AVERAGEIFS('Coffee Audit'!Q2:Q2000,'Coffee Audit'!C2:C2000,B19,'Coffee Audit'!Q2:Q2000,"&gt;0"),"0.00"),"—")</f>
        <v>S$9.00</v>
      </c>
      <c r="G19" s="120" t="s">
        <v>1380</v>
      </c>
      <c r="H19" s="120" t="s">
        <v>1381</v>
      </c>
      <c r="I19" s="120" t="s">
        <v>1382</v>
      </c>
      <c r="J19" s="120" t="s">
        <v>1383</v>
      </c>
      <c r="K19" s="120" t="s">
        <v>1384</v>
      </c>
    </row>
    <row r="20" customFormat="false" ht="13.5" hidden="false" customHeight="true" outlineLevel="0" collapsed="false">
      <c r="B20" s="117" t="s">
        <v>555</v>
      </c>
      <c r="C20" s="118" t="s">
        <v>52</v>
      </c>
      <c r="D20" s="118" t="n">
        <f aca="false">COUNTIF('Coffee Audit'!C2:C2000,B20)</f>
        <v>2</v>
      </c>
      <c r="E20" s="118" t="n">
        <f aca="false">SUMPRODUCT(('Coffee Audit'!C2:C2000=B20)*('Coffee Audit'!W2:W2000="⭐ GESHA"))</f>
        <v>1</v>
      </c>
      <c r="F20" s="118" t="str">
        <f aca="false">IFERROR("S$"&amp;TEXT(AVERAGEIFS('Coffee Audit'!Q2:Q2000,'Coffee Audit'!C2:C2000,B20,'Coffee Audit'!Q2:Q2000,"&gt;0"),"0.00"),"—")</f>
        <v>S$14.50</v>
      </c>
      <c r="G20" s="118" t="s">
        <v>1385</v>
      </c>
      <c r="H20" s="118" t="s">
        <v>1386</v>
      </c>
      <c r="I20" s="118" t="s">
        <v>1387</v>
      </c>
      <c r="J20" s="118" t="s">
        <v>1361</v>
      </c>
      <c r="K20" s="118" t="s">
        <v>1388</v>
      </c>
    </row>
    <row r="21" customFormat="false" ht="13.5" hidden="false" customHeight="true" outlineLevel="0" collapsed="false">
      <c r="B21" s="115" t="s">
        <v>607</v>
      </c>
      <c r="C21" s="116" t="s">
        <v>52</v>
      </c>
      <c r="D21" s="116" t="n">
        <f aca="false">COUNTIF('Coffee Audit'!C2:C2000,B21)</f>
        <v>1</v>
      </c>
      <c r="E21" s="116" t="n">
        <f aca="false">SUMPRODUCT(('Coffee Audit'!C2:C2000=B21)*('Coffee Audit'!W2:W2000="⭐ GESHA"))</f>
        <v>1</v>
      </c>
      <c r="F21" s="116" t="str">
        <f aca="false">IFERROR("S$"&amp;TEXT(AVERAGEIFS('Coffee Audit'!Q2:Q2000,'Coffee Audit'!C2:C2000,B21,'Coffee Audit'!Q2:Q2000,"&gt;0"),"0.00"),"—")</f>
        <v>S$15.00</v>
      </c>
      <c r="G21" s="116" t="s">
        <v>1389</v>
      </c>
      <c r="H21" s="116" t="s">
        <v>1390</v>
      </c>
      <c r="I21" s="116" t="s">
        <v>1391</v>
      </c>
      <c r="J21" s="116" t="s">
        <v>1361</v>
      </c>
      <c r="K21" s="116"/>
    </row>
    <row r="22" customFormat="false" ht="13.5" hidden="false" customHeight="true" outlineLevel="0" collapsed="false">
      <c r="B22" s="117" t="s">
        <v>622</v>
      </c>
      <c r="C22" s="118" t="s">
        <v>52</v>
      </c>
      <c r="D22" s="118" t="n">
        <f aca="false">COUNTIF('Coffee Audit'!C2:C2000,B22)</f>
        <v>1</v>
      </c>
      <c r="E22" s="118" t="n">
        <f aca="false">SUMPRODUCT(('Coffee Audit'!C2:C2000=B22)*('Coffee Audit'!W2:W2000="⭐ GESHA"))</f>
        <v>1</v>
      </c>
      <c r="F22" s="118" t="str">
        <f aca="false">IFERROR("S$"&amp;TEXT(AVERAGEIFS('Coffee Audit'!Q2:Q2000,'Coffee Audit'!C2:C2000,B22,'Coffee Audit'!Q2:Q2000,"&gt;0"),"0.00"),"—")</f>
        <v>S$16.00</v>
      </c>
      <c r="G22" s="118" t="s">
        <v>1392</v>
      </c>
      <c r="H22" s="118" t="s">
        <v>1178</v>
      </c>
      <c r="I22" s="118" t="s">
        <v>1393</v>
      </c>
      <c r="J22" s="118" t="s">
        <v>1361</v>
      </c>
      <c r="K22" s="118" t="s">
        <v>1394</v>
      </c>
    </row>
    <row r="23" customFormat="false" ht="13.5" hidden="false" customHeight="true" outlineLevel="0" collapsed="false">
      <c r="B23" s="115" t="s">
        <v>115</v>
      </c>
      <c r="C23" s="116" t="s">
        <v>52</v>
      </c>
      <c r="D23" s="116" t="n">
        <f aca="false">COUNTIF('Coffee Audit'!C2:C2000,B23)</f>
        <v>3</v>
      </c>
      <c r="E23" s="116" t="n">
        <f aca="false">SUMPRODUCT(('Coffee Audit'!C2:C2000=B23)*('Coffee Audit'!W2:W2000="⭐ GESHA"))</f>
        <v>1</v>
      </c>
      <c r="F23" s="116" t="str">
        <f aca="false">IFERROR("S$"&amp;TEXT(AVERAGEIFS('Coffee Audit'!Q2:Q2000,'Coffee Audit'!C2:C2000,B23,'Coffee Audit'!Q2:Q2000,"&gt;0"),"0.00"),"—")</f>
        <v>S$9.25</v>
      </c>
      <c r="G23" s="116" t="s">
        <v>1395</v>
      </c>
      <c r="H23" s="116" t="s">
        <v>1396</v>
      </c>
      <c r="I23" s="116" t="s">
        <v>1397</v>
      </c>
      <c r="J23" s="116" t="s">
        <v>1361</v>
      </c>
      <c r="K23" s="116" t="s">
        <v>1398</v>
      </c>
    </row>
    <row r="24" customFormat="false" ht="13.5" hidden="false" customHeight="true" outlineLevel="0" collapsed="false">
      <c r="B24" s="117" t="s">
        <v>443</v>
      </c>
      <c r="C24" s="118" t="s">
        <v>52</v>
      </c>
      <c r="D24" s="118" t="n">
        <f aca="false">COUNTIF('Coffee Audit'!C2:C2000,B24)</f>
        <v>2</v>
      </c>
      <c r="E24" s="118" t="n">
        <f aca="false">SUMPRODUCT(('Coffee Audit'!C2:C2000=B24)*('Coffee Audit'!W2:W2000="⭐ GESHA"))</f>
        <v>0</v>
      </c>
      <c r="F24" s="118" t="str">
        <f aca="false">IFERROR("S$"&amp;TEXT(AVERAGEIFS('Coffee Audit'!Q2:Q2000,'Coffee Audit'!C2:C2000,B24,'Coffee Audit'!Q2:Q2000,"&gt;0"),"0.00"),"—")</f>
        <v>S$9.50</v>
      </c>
      <c r="G24" s="118" t="s">
        <v>455</v>
      </c>
      <c r="H24" s="118" t="s">
        <v>1396</v>
      </c>
      <c r="I24" s="118" t="s">
        <v>1397</v>
      </c>
      <c r="J24" s="118" t="s">
        <v>1383</v>
      </c>
      <c r="K24" s="118" t="s">
        <v>1399</v>
      </c>
    </row>
    <row r="25" customFormat="false" ht="13.5" hidden="false" customHeight="true" outlineLevel="0" collapsed="false">
      <c r="B25" s="115" t="s">
        <v>401</v>
      </c>
      <c r="C25" s="116" t="s">
        <v>52</v>
      </c>
      <c r="D25" s="116" t="n">
        <f aca="false">COUNTIF('Coffee Audit'!C2:C2000,B25)</f>
        <v>2</v>
      </c>
      <c r="E25" s="116" t="n">
        <f aca="false">SUMPRODUCT(('Coffee Audit'!C2:C2000=B25)*('Coffee Audit'!W2:W2000="⭐ GESHA"))</f>
        <v>1</v>
      </c>
      <c r="F25" s="116" t="str">
        <f aca="false">IFERROR("S$"&amp;TEXT(AVERAGEIFS('Coffee Audit'!Q2:Q2000,'Coffee Audit'!C2:C2000,B25,'Coffee Audit'!Q2:Q2000,"&gt;0"),"0.00"),"—")</f>
        <v>S$14.00</v>
      </c>
      <c r="G25" s="116" t="s">
        <v>1400</v>
      </c>
      <c r="H25" s="116" t="s">
        <v>1401</v>
      </c>
      <c r="I25" s="116" t="s">
        <v>1402</v>
      </c>
      <c r="J25" s="116" t="s">
        <v>1361</v>
      </c>
      <c r="K25" s="116" t="s">
        <v>1403</v>
      </c>
    </row>
    <row r="26" customFormat="false" ht="13.5" hidden="false" customHeight="true" outlineLevel="0" collapsed="false">
      <c r="B26" s="117" t="s">
        <v>179</v>
      </c>
      <c r="C26" s="118" t="s">
        <v>52</v>
      </c>
      <c r="D26" s="118" t="n">
        <f aca="false">COUNTIF('Coffee Audit'!C2:C2000,B26)</f>
        <v>2</v>
      </c>
      <c r="E26" s="118" t="n">
        <f aca="false">SUMPRODUCT(('Coffee Audit'!C2:C2000=B26)*('Coffee Audit'!W2:W2000="⭐ GESHA"))</f>
        <v>0</v>
      </c>
      <c r="F26" s="118" t="str">
        <f aca="false">IFERROR("S$"&amp;TEXT(AVERAGEIFS('Coffee Audit'!Q2:Q2000,'Coffee Audit'!C2:C2000,B26,'Coffee Audit'!Q2:Q2000,"&gt;0"),"0.00"),"—")</f>
        <v>S$9.00</v>
      </c>
      <c r="G26" s="118" t="s">
        <v>1404</v>
      </c>
      <c r="H26" s="118" t="s">
        <v>1178</v>
      </c>
      <c r="I26" s="118" t="s">
        <v>1405</v>
      </c>
      <c r="J26" s="118" t="s">
        <v>1361</v>
      </c>
      <c r="K26" s="118" t="s">
        <v>1406</v>
      </c>
    </row>
    <row r="27" customFormat="false" ht="13.5" hidden="false" customHeight="true" outlineLevel="0" collapsed="false">
      <c r="B27" s="115" t="s">
        <v>332</v>
      </c>
      <c r="C27" s="116" t="s">
        <v>52</v>
      </c>
      <c r="D27" s="116" t="n">
        <f aca="false">COUNTIF('Coffee Audit'!C2:C2000,B27)</f>
        <v>2</v>
      </c>
      <c r="E27" s="116" t="n">
        <f aca="false">SUMPRODUCT(('Coffee Audit'!C2:C2000=B27)*('Coffee Audit'!W2:W2000="⭐ GESHA"))</f>
        <v>2</v>
      </c>
      <c r="F27" s="116" t="str">
        <f aca="false">IFERROR("S$"&amp;TEXT(AVERAGEIFS('Coffee Audit'!Q2:Q2000,'Coffee Audit'!C2:C2000,B27,'Coffee Audit'!Q2:Q2000,"&gt;0"),"0.00"),"—")</f>
        <v>S$15.00</v>
      </c>
      <c r="G27" s="116" t="s">
        <v>343</v>
      </c>
      <c r="H27" s="116" t="s">
        <v>1407</v>
      </c>
      <c r="I27" s="116" t="s">
        <v>1178</v>
      </c>
      <c r="J27" s="116" t="s">
        <v>1383</v>
      </c>
      <c r="K27" s="116" t="s">
        <v>1408</v>
      </c>
    </row>
    <row r="28" customFormat="false" ht="13.5" hidden="false" customHeight="true" outlineLevel="0" collapsed="false">
      <c r="B28" s="117" t="s">
        <v>104</v>
      </c>
      <c r="C28" s="118" t="s">
        <v>52</v>
      </c>
      <c r="D28" s="118" t="n">
        <f aca="false">COUNTIF('Coffee Audit'!C2:C2000,B28)</f>
        <v>2</v>
      </c>
      <c r="E28" s="118" t="n">
        <f aca="false">SUMPRODUCT(('Coffee Audit'!C2:C2000=B28)*('Coffee Audit'!W2:W2000="⭐ GESHA"))</f>
        <v>0</v>
      </c>
      <c r="F28" s="118" t="str">
        <f aca="false">IFERROR("S$"&amp;TEXT(AVERAGEIFS('Coffee Audit'!Q2:Q2000,'Coffee Audit'!C2:C2000,B28,'Coffee Audit'!Q2:Q2000,"&gt;0"),"0.00"),"—")</f>
        <v>S$15.00</v>
      </c>
      <c r="G28" s="118" t="s">
        <v>1409</v>
      </c>
      <c r="H28" s="118" t="s">
        <v>1410</v>
      </c>
      <c r="I28" s="118" t="s">
        <v>1178</v>
      </c>
      <c r="J28" s="118" t="s">
        <v>1361</v>
      </c>
      <c r="K28" s="118" t="s">
        <v>1411</v>
      </c>
    </row>
    <row r="29" customFormat="false" ht="13.5" hidden="false" customHeight="true" outlineLevel="0" collapsed="false">
      <c r="B29" s="115" t="s">
        <v>132</v>
      </c>
      <c r="C29" s="116" t="s">
        <v>52</v>
      </c>
      <c r="D29" s="116" t="n">
        <f aca="false">COUNTIF('Coffee Audit'!C2:C2000,B29)</f>
        <v>3</v>
      </c>
      <c r="E29" s="116" t="n">
        <f aca="false">SUMPRODUCT(('Coffee Audit'!C2:C2000=B29)*('Coffee Audit'!W2:W2000="⭐ GESHA"))</f>
        <v>0</v>
      </c>
      <c r="F29" s="116" t="str">
        <f aca="false">IFERROR("S$"&amp;TEXT(AVERAGEIFS('Coffee Audit'!Q2:Q2000,'Coffee Audit'!C2:C2000,B29,'Coffee Audit'!Q2:Q2000,"&gt;0"),"0.00"),"—")</f>
        <v>—</v>
      </c>
      <c r="G29" s="116" t="s">
        <v>1412</v>
      </c>
      <c r="H29" s="116" t="s">
        <v>1413</v>
      </c>
      <c r="I29" s="116" t="s">
        <v>1178</v>
      </c>
      <c r="J29" s="116" t="s">
        <v>1361</v>
      </c>
      <c r="K29" s="116" t="s">
        <v>1414</v>
      </c>
    </row>
    <row r="30" customFormat="false" ht="13.5" hidden="false" customHeight="true" outlineLevel="0" collapsed="false">
      <c r="B30" s="117" t="s">
        <v>431</v>
      </c>
      <c r="C30" s="118" t="s">
        <v>52</v>
      </c>
      <c r="D30" s="118" t="n">
        <f aca="false">COUNTIF('Coffee Audit'!C2:C2000,B30)</f>
        <v>2</v>
      </c>
      <c r="E30" s="118" t="n">
        <f aca="false">SUMPRODUCT(('Coffee Audit'!C2:C2000=B30)*('Coffee Audit'!W2:W2000="⭐ GESHA"))</f>
        <v>2</v>
      </c>
      <c r="F30" s="118" t="str">
        <f aca="false">IFERROR("S$"&amp;TEXT(AVERAGEIFS('Coffee Audit'!Q2:Q2000,'Coffee Audit'!C2:C2000,B30,'Coffee Audit'!Q2:Q2000,"&gt;0"),"0.00"),"—")</f>
        <v>S$12.50</v>
      </c>
      <c r="G30" s="118" t="s">
        <v>1415</v>
      </c>
      <c r="H30" s="118" t="s">
        <v>1416</v>
      </c>
      <c r="I30" s="118" t="s">
        <v>1417</v>
      </c>
      <c r="J30" s="118" t="s">
        <v>1361</v>
      </c>
      <c r="K30" s="118" t="s">
        <v>1418</v>
      </c>
    </row>
    <row r="31" customFormat="false" ht="13.5" hidden="false" customHeight="true" outlineLevel="0" collapsed="false">
      <c r="B31" s="115" t="s">
        <v>577</v>
      </c>
      <c r="C31" s="116" t="s">
        <v>52</v>
      </c>
      <c r="D31" s="116" t="n">
        <f aca="false">COUNTIF('Coffee Audit'!C2:C2000,B31)</f>
        <v>1</v>
      </c>
      <c r="E31" s="116" t="n">
        <f aca="false">SUMPRODUCT(('Coffee Audit'!C2:C2000=B31)*('Coffee Audit'!W2:W2000="⭐ GESHA"))</f>
        <v>1</v>
      </c>
      <c r="F31" s="116" t="str">
        <f aca="false">IFERROR("S$"&amp;TEXT(AVERAGEIFS('Coffee Audit'!Q2:Q2000,'Coffee Audit'!C2:C2000,B31,'Coffee Audit'!Q2:Q2000,"&gt;0"),"0.00"),"—")</f>
        <v>S$9.90</v>
      </c>
      <c r="G31" s="116" t="s">
        <v>1419</v>
      </c>
      <c r="H31" s="116" t="s">
        <v>1420</v>
      </c>
      <c r="I31" s="116" t="s">
        <v>1421</v>
      </c>
      <c r="J31" s="116" t="s">
        <v>1361</v>
      </c>
      <c r="K31" s="116" t="s">
        <v>1422</v>
      </c>
    </row>
    <row r="32" customFormat="false" ht="13.5" hidden="false" customHeight="true" outlineLevel="0" collapsed="false">
      <c r="B32" s="117" t="s">
        <v>278</v>
      </c>
      <c r="C32" s="118" t="s">
        <v>52</v>
      </c>
      <c r="D32" s="118" t="n">
        <f aca="false">COUNTIF('Coffee Audit'!C2:C2000,B32)</f>
        <v>2</v>
      </c>
      <c r="E32" s="118" t="n">
        <f aca="false">SUMPRODUCT(('Coffee Audit'!C2:C2000=B32)*('Coffee Audit'!W2:W2000="⭐ GESHA"))</f>
        <v>0</v>
      </c>
      <c r="F32" s="118" t="str">
        <f aca="false">IFERROR("S$"&amp;TEXT(AVERAGEIFS('Coffee Audit'!Q2:Q2000,'Coffee Audit'!C2:C2000,B32,'Coffee Audit'!Q2:Q2000,"&gt;0"),"0.00"),"—")</f>
        <v>S$8.50</v>
      </c>
      <c r="G32" s="118" t="s">
        <v>1423</v>
      </c>
      <c r="H32" s="118" t="s">
        <v>1424</v>
      </c>
      <c r="I32" s="118" t="s">
        <v>1425</v>
      </c>
      <c r="J32" s="118" t="s">
        <v>1361</v>
      </c>
      <c r="K32" s="118" t="s">
        <v>1426</v>
      </c>
    </row>
    <row r="33" customFormat="false" ht="13.5" hidden="false" customHeight="true" outlineLevel="0" collapsed="false">
      <c r="B33" s="115" t="s">
        <v>1427</v>
      </c>
      <c r="C33" s="116" t="s">
        <v>52</v>
      </c>
      <c r="D33" s="116" t="n">
        <f aca="false">COUNTIF('Coffee Audit'!C2:C2000,B33)</f>
        <v>0</v>
      </c>
      <c r="E33" s="116" t="n">
        <f aca="false">SUMPRODUCT(('Coffee Audit'!C2:C2000=B33)*('Coffee Audit'!W2:W2000="⭐ GESHA"))</f>
        <v>0</v>
      </c>
      <c r="F33" s="116" t="str">
        <f aca="false">IFERROR("S$"&amp;TEXT(AVERAGEIFS('Coffee Audit'!Q2:Q2000,'Coffee Audit'!C2:C2000,B33,'Coffee Audit'!Q2:Q2000,"&gt;0"),"0.00"),"—")</f>
        <v>—</v>
      </c>
      <c r="G33" s="116" t="s">
        <v>1428</v>
      </c>
      <c r="H33" s="116" t="s">
        <v>1424</v>
      </c>
      <c r="I33" s="116" t="s">
        <v>1425</v>
      </c>
      <c r="J33" s="116" t="s">
        <v>1361</v>
      </c>
      <c r="K33" s="116" t="s">
        <v>1429</v>
      </c>
    </row>
    <row r="34" customFormat="false" ht="13.5" hidden="false" customHeight="true" outlineLevel="0" collapsed="false">
      <c r="B34" s="117" t="s">
        <v>192</v>
      </c>
      <c r="C34" s="118" t="s">
        <v>52</v>
      </c>
      <c r="D34" s="118" t="n">
        <f aca="false">COUNTIF('Coffee Audit'!C2:C2000,B34)</f>
        <v>2</v>
      </c>
      <c r="E34" s="118" t="n">
        <f aca="false">SUMPRODUCT(('Coffee Audit'!C2:C2000=B34)*('Coffee Audit'!W2:W2000="⭐ GESHA"))</f>
        <v>1</v>
      </c>
      <c r="F34" s="118" t="str">
        <f aca="false">IFERROR("S$"&amp;TEXT(AVERAGEIFS('Coffee Audit'!Q2:Q2000,'Coffee Audit'!C2:C2000,B34,'Coffee Audit'!Q2:Q2000,"&gt;0"),"0.00"),"—")</f>
        <v>S$11.00</v>
      </c>
      <c r="G34" s="118" t="s">
        <v>1430</v>
      </c>
      <c r="H34" s="118" t="s">
        <v>1431</v>
      </c>
      <c r="I34" s="118" t="s">
        <v>1432</v>
      </c>
      <c r="J34" s="118" t="s">
        <v>1361</v>
      </c>
      <c r="K34" s="118" t="s">
        <v>1433</v>
      </c>
    </row>
    <row r="35" customFormat="false" ht="13.5" hidden="false" customHeight="true" outlineLevel="0" collapsed="false">
      <c r="B35" s="115" t="s">
        <v>153</v>
      </c>
      <c r="C35" s="116" t="s">
        <v>52</v>
      </c>
      <c r="D35" s="116" t="n">
        <f aca="false">COUNTIF('Coffee Audit'!C2:C2000,B35)</f>
        <v>2</v>
      </c>
      <c r="E35" s="116" t="n">
        <f aca="false">SUMPRODUCT(('Coffee Audit'!C2:C2000=B35)*('Coffee Audit'!W2:W2000="⭐ GESHA"))</f>
        <v>0</v>
      </c>
      <c r="F35" s="116" t="str">
        <f aca="false">IFERROR("S$"&amp;TEXT(AVERAGEIFS('Coffee Audit'!Q2:Q2000,'Coffee Audit'!C2:C2000,B35,'Coffee Audit'!Q2:Q2000,"&gt;0"),"0.00"),"—")</f>
        <v>S$6.55</v>
      </c>
      <c r="G35" s="116" t="s">
        <v>1434</v>
      </c>
      <c r="H35" s="116" t="s">
        <v>1178</v>
      </c>
      <c r="I35" s="116" t="s">
        <v>1435</v>
      </c>
      <c r="J35" s="116" t="s">
        <v>1361</v>
      </c>
      <c r="K35" s="116" t="s">
        <v>1436</v>
      </c>
    </row>
    <row r="36" customFormat="false" ht="13.5" hidden="false" customHeight="true" outlineLevel="0" collapsed="false">
      <c r="B36" s="117" t="s">
        <v>289</v>
      </c>
      <c r="C36" s="118" t="s">
        <v>52</v>
      </c>
      <c r="D36" s="118" t="n">
        <f aca="false">COUNTIF('Coffee Audit'!C2:C2000,B36)</f>
        <v>2</v>
      </c>
      <c r="E36" s="118" t="n">
        <f aca="false">SUMPRODUCT(('Coffee Audit'!C2:C2000=B36)*('Coffee Audit'!W2:W2000="⭐ GESHA"))</f>
        <v>0</v>
      </c>
      <c r="F36" s="118" t="str">
        <f aca="false">IFERROR("S$"&amp;TEXT(AVERAGEIFS('Coffee Audit'!Q2:Q2000,'Coffee Audit'!C2:C2000,B36,'Coffee Audit'!Q2:Q2000,"&gt;0"),"0.00"),"—")</f>
        <v>S$9.39</v>
      </c>
      <c r="G36" s="118" t="s">
        <v>1437</v>
      </c>
      <c r="H36" s="118" t="s">
        <v>1438</v>
      </c>
      <c r="I36" s="118" t="s">
        <v>1439</v>
      </c>
      <c r="J36" s="118" t="s">
        <v>1361</v>
      </c>
      <c r="K36" s="118" t="s">
        <v>1440</v>
      </c>
    </row>
    <row r="37" customFormat="false" ht="13.5" hidden="false" customHeight="true" outlineLevel="0" collapsed="false">
      <c r="B37" s="115" t="s">
        <v>416</v>
      </c>
      <c r="C37" s="116" t="s">
        <v>52</v>
      </c>
      <c r="D37" s="116" t="n">
        <f aca="false">COUNTIF('Coffee Audit'!C2:C2000,B37)</f>
        <v>1</v>
      </c>
      <c r="E37" s="116" t="n">
        <f aca="false">SUMPRODUCT(('Coffee Audit'!C2:C2000=B37)*('Coffee Audit'!W2:W2000="⭐ GESHA"))</f>
        <v>0</v>
      </c>
      <c r="F37" s="116" t="str">
        <f aca="false">IFERROR("S$"&amp;TEXT(AVERAGEIFS('Coffee Audit'!Q2:Q2000,'Coffee Audit'!C2:C2000,B37,'Coffee Audit'!Q2:Q2000,"&gt;0"),"0.00"),"—")</f>
        <v>S$13.00</v>
      </c>
      <c r="G37" s="116" t="s">
        <v>1441</v>
      </c>
      <c r="H37" s="116" t="s">
        <v>1442</v>
      </c>
      <c r="I37" s="116" t="s">
        <v>1178</v>
      </c>
      <c r="J37" s="116" t="s">
        <v>1361</v>
      </c>
      <c r="K37" s="116" t="s">
        <v>1443</v>
      </c>
    </row>
    <row r="38" customFormat="false" ht="13.5" hidden="false" customHeight="true" outlineLevel="0" collapsed="false">
      <c r="B38" s="117" t="s">
        <v>502</v>
      </c>
      <c r="C38" s="118" t="s">
        <v>52</v>
      </c>
      <c r="D38" s="118" t="n">
        <f aca="false">COUNTIF('Coffee Audit'!C2:C2000,B38)</f>
        <v>1</v>
      </c>
      <c r="E38" s="118" t="n">
        <f aca="false">SUMPRODUCT(('Coffee Audit'!C2:C2000=B38)*('Coffee Audit'!W2:W2000="⭐ GESHA"))</f>
        <v>0</v>
      </c>
      <c r="F38" s="118" t="str">
        <f aca="false">IFERROR("S$"&amp;TEXT(AVERAGEIFS('Coffee Audit'!Q2:Q2000,'Coffee Audit'!C2:C2000,B38,'Coffee Audit'!Q2:Q2000,"&gt;0"),"0.00"),"—")</f>
        <v>S$6.00</v>
      </c>
      <c r="G38" s="118" t="s">
        <v>1444</v>
      </c>
      <c r="H38" s="118" t="s">
        <v>1445</v>
      </c>
      <c r="I38" s="118" t="s">
        <v>1178</v>
      </c>
      <c r="J38" s="118" t="s">
        <v>1361</v>
      </c>
      <c r="K38" s="118" t="s">
        <v>1446</v>
      </c>
    </row>
    <row r="39" customFormat="false" ht="13.5" hidden="false" customHeight="true" outlineLevel="0" collapsed="false">
      <c r="B39" s="115" t="s">
        <v>456</v>
      </c>
      <c r="C39" s="116" t="s">
        <v>52</v>
      </c>
      <c r="D39" s="116" t="n">
        <f aca="false">COUNTIF('Coffee Audit'!C2:C2000,B39)</f>
        <v>1</v>
      </c>
      <c r="E39" s="116" t="n">
        <f aca="false">SUMPRODUCT(('Coffee Audit'!C2:C2000=B39)*('Coffee Audit'!W2:W2000="⭐ GESHA"))</f>
        <v>0</v>
      </c>
      <c r="F39" s="116" t="str">
        <f aca="false">IFERROR("S$"&amp;TEXT(AVERAGEIFS('Coffee Audit'!Q2:Q2000,'Coffee Audit'!C2:C2000,B39,'Coffee Audit'!Q2:Q2000,"&gt;0"),"0.00"),"—")</f>
        <v>S$9.00</v>
      </c>
      <c r="G39" s="116" t="s">
        <v>1447</v>
      </c>
      <c r="H39" s="116" t="s">
        <v>1178</v>
      </c>
      <c r="I39" s="116" t="s">
        <v>1178</v>
      </c>
      <c r="J39" s="116" t="s">
        <v>1361</v>
      </c>
      <c r="K39" s="116" t="s">
        <v>1448</v>
      </c>
    </row>
    <row r="40" customFormat="false" ht="13.5" hidden="false" customHeight="true" outlineLevel="0" collapsed="false">
      <c r="B40" s="121" t="s">
        <v>302</v>
      </c>
      <c r="C40" s="122" t="s">
        <v>52</v>
      </c>
      <c r="D40" s="122" t="n">
        <f aca="false">COUNTIF('Coffee Audit'!C2:C2000,B40)</f>
        <v>1</v>
      </c>
      <c r="E40" s="122" t="n">
        <f aca="false">SUMPRODUCT(('Coffee Audit'!C2:C2000=B40)*('Coffee Audit'!W2:W2000="⭐ GESHA"))</f>
        <v>0</v>
      </c>
      <c r="F40" s="122" t="str">
        <f aca="false">IFERROR("S$"&amp;TEXT(AVERAGEIFS('Coffee Audit'!Q2:Q2000,'Coffee Audit'!C2:C2000,B40,'Coffee Audit'!Q2:Q2000,"&gt;0"),"0.00"),"—")</f>
        <v>S$9.00</v>
      </c>
      <c r="G40" s="122" t="s">
        <v>1449</v>
      </c>
      <c r="H40" s="122" t="s">
        <v>1178</v>
      </c>
      <c r="I40" s="122" t="s">
        <v>1178</v>
      </c>
      <c r="J40" s="122" t="s">
        <v>1450</v>
      </c>
      <c r="K40" s="122" t="s">
        <v>1451</v>
      </c>
    </row>
    <row r="41" customFormat="false" ht="13.5" hidden="false" customHeight="true" outlineLevel="0" collapsed="false">
      <c r="B41" s="121" t="s">
        <v>88</v>
      </c>
      <c r="C41" s="122" t="s">
        <v>52</v>
      </c>
      <c r="D41" s="122" t="n">
        <f aca="false">COUNTIF('Coffee Audit'!C2:C2000,B41)</f>
        <v>2</v>
      </c>
      <c r="E41" s="122" t="n">
        <f aca="false">SUMPRODUCT(('Coffee Audit'!C2:C2000=B41)*('Coffee Audit'!W2:W2000="⭐ GESHA"))</f>
        <v>0</v>
      </c>
      <c r="F41" s="122" t="str">
        <f aca="false">IFERROR("S$"&amp;TEXT(AVERAGEIFS('Coffee Audit'!Q2:Q2000,'Coffee Audit'!C2:C2000,B41,'Coffee Audit'!Q2:Q2000,"&gt;0"),"0.00"),"—")</f>
        <v>—</v>
      </c>
      <c r="G41" s="122" t="s">
        <v>1452</v>
      </c>
      <c r="H41" s="122" t="s">
        <v>1178</v>
      </c>
      <c r="I41" s="122" t="s">
        <v>1178</v>
      </c>
      <c r="J41" s="122" t="s">
        <v>1450</v>
      </c>
      <c r="K41" s="122" t="s">
        <v>1453</v>
      </c>
    </row>
    <row r="42" customFormat="false" ht="13.5" hidden="false" customHeight="true" outlineLevel="0" collapsed="false">
      <c r="B42" s="115" t="s">
        <v>25</v>
      </c>
      <c r="C42" s="116" t="s">
        <v>24</v>
      </c>
      <c r="D42" s="116" t="n">
        <f aca="false">COUNTIF('Coffee Audit'!C2:C2000,B42)</f>
        <v>3</v>
      </c>
      <c r="E42" s="116" t="n">
        <f aca="false">SUMPRODUCT(('Coffee Audit'!C2:C2000=B42)*('Coffee Audit'!W2:W2000="⭐ GESHA"))</f>
        <v>0</v>
      </c>
      <c r="F42" s="116" t="str">
        <f aca="false">IFERROR("S$"&amp;TEXT(AVERAGEIFS('Coffee Audit'!Q2:Q2000,'Coffee Audit'!C2:C2000,B42,'Coffee Audit'!Q2:Q2000,"&gt;0"),"0.00"),"—")</f>
        <v>—</v>
      </c>
      <c r="G42" s="116" t="s">
        <v>1454</v>
      </c>
      <c r="H42" s="116" t="s">
        <v>1455</v>
      </c>
      <c r="I42" s="116" t="s">
        <v>1456</v>
      </c>
      <c r="J42" s="116" t="s">
        <v>1457</v>
      </c>
      <c r="K42" s="116" t="s">
        <v>1458</v>
      </c>
    </row>
    <row r="43" customFormat="false" ht="13.5" hidden="false" customHeight="true" outlineLevel="0" collapsed="false">
      <c r="B43" s="115" t="s">
        <v>70</v>
      </c>
      <c r="C43" s="116" t="s">
        <v>69</v>
      </c>
      <c r="D43" s="116" t="n">
        <f aca="false">COUNTIF('Coffee Audit'!C2:C2000,B43)</f>
        <v>1</v>
      </c>
      <c r="E43" s="116" t="n">
        <f aca="false">SUMPRODUCT(('Coffee Audit'!C2:C2000=B43)*('Coffee Audit'!W2:W2000="⭐ GESHA"))</f>
        <v>0</v>
      </c>
      <c r="F43" s="116" t="str">
        <f aca="false">IFERROR("S$"&amp;TEXT(AVERAGEIFS('Coffee Audit'!Q2:Q2000,'Coffee Audit'!C2:C2000,B43,'Coffee Audit'!Q2:Q2000,"&gt;0"),"0.00"),"—")</f>
        <v>—</v>
      </c>
      <c r="G43" s="116" t="s">
        <v>1459</v>
      </c>
      <c r="H43" s="116" t="s">
        <v>1460</v>
      </c>
      <c r="I43" s="116" t="s">
        <v>1461</v>
      </c>
      <c r="J43" s="116" t="s">
        <v>1457</v>
      </c>
      <c r="K43" s="116" t="s">
        <v>1462</v>
      </c>
    </row>
    <row r="44" customFormat="false" ht="13.5" hidden="false" customHeight="true" outlineLevel="0" collapsed="false">
      <c r="B44" s="115" t="s">
        <v>80</v>
      </c>
      <c r="C44" s="116" t="s">
        <v>69</v>
      </c>
      <c r="D44" s="116" t="n">
        <f aca="false">COUNTIF('Coffee Audit'!C2:C2000,B44)</f>
        <v>1</v>
      </c>
      <c r="E44" s="116" t="n">
        <f aca="false">SUMPRODUCT(('Coffee Audit'!C2:C2000=B44)*('Coffee Audit'!W2:W2000="⭐ GESHA"))</f>
        <v>0</v>
      </c>
      <c r="F44" s="116" t="str">
        <f aca="false">IFERROR("S$"&amp;TEXT(AVERAGEIFS('Coffee Audit'!Q2:Q2000,'Coffee Audit'!C2:C2000,B44,'Coffee Audit'!Q2:Q2000,"&gt;0"),"0.00"),"—")</f>
        <v>—</v>
      </c>
      <c r="G44" s="116" t="s">
        <v>1463</v>
      </c>
      <c r="H44" s="116" t="s">
        <v>1464</v>
      </c>
      <c r="I44" s="116" t="s">
        <v>1178</v>
      </c>
      <c r="J44" s="116" t="s">
        <v>1457</v>
      </c>
      <c r="K44" s="116" t="s">
        <v>1462</v>
      </c>
    </row>
    <row r="45" customFormat="false" ht="13.5" hidden="false" customHeight="true" outlineLevel="0" collapsed="false">
      <c r="B45" s="119" t="s">
        <v>228</v>
      </c>
      <c r="C45" s="120" t="s">
        <v>227</v>
      </c>
      <c r="D45" s="120" t="n">
        <f aca="false">COUNTIF('Coffee Audit'!C2:C2000,B45)</f>
        <v>1</v>
      </c>
      <c r="E45" s="120" t="n">
        <f aca="false">SUMPRODUCT(('Coffee Audit'!C2:C2000=B45)*('Coffee Audit'!W2:W2000="⭐ GESHA"))</f>
        <v>0</v>
      </c>
      <c r="F45" s="120" t="str">
        <f aca="false">IFERROR("S$"&amp;TEXT(AVERAGEIFS('Coffee Audit'!Q2:Q2000,'Coffee Audit'!C2:C2000,B45,'Coffee Audit'!Q2:Q2000,"&gt;0"),"0.00"),"—")</f>
        <v>S$11.08</v>
      </c>
      <c r="G45" s="120" t="s">
        <v>1465</v>
      </c>
      <c r="H45" s="120" t="s">
        <v>1178</v>
      </c>
      <c r="I45" s="120" t="s">
        <v>1178</v>
      </c>
      <c r="J45" s="120" t="s">
        <v>1383</v>
      </c>
      <c r="K45" s="120" t="s">
        <v>1466</v>
      </c>
    </row>
    <row r="46" customFormat="false" ht="7.5" hidden="false" customHeight="true" outlineLevel="0" collapsed="false">
      <c r="B46" s="119" t="s">
        <v>748</v>
      </c>
      <c r="C46" s="120" t="s">
        <v>52</v>
      </c>
      <c r="D46" s="120" t="n">
        <f aca="false">COUNTIF('Coffee Audit'!C2:C2000,B46)</f>
        <v>1</v>
      </c>
      <c r="E46" s="120" t="n">
        <f aca="false">SUMPRODUCT(('Coffee Audit'!C2:C2000=B46)*('Coffee Audit'!W2:W2000="⭐ GESHA"))</f>
        <v>1</v>
      </c>
      <c r="F46" s="120" t="str">
        <f aca="false">IFERROR("S$"&amp;TEXT(AVERAGEIFS('Coffee Audit'!Q2:Q2000,'Coffee Audit'!C2:C2000,B46,'Coffee Audit'!Q2:Q2000,"&gt;0"),"0.00"),"—")</f>
        <v>S$12.00</v>
      </c>
      <c r="G46" s="120" t="s">
        <v>758</v>
      </c>
      <c r="H46" s="120" t="s">
        <v>1467</v>
      </c>
      <c r="I46" s="120" t="s">
        <v>1468</v>
      </c>
      <c r="J46" s="120" t="s">
        <v>1383</v>
      </c>
      <c r="K46" s="120" t="s">
        <v>1469</v>
      </c>
    </row>
    <row r="47" customFormat="false" ht="15.75" hidden="false" customHeight="true" outlineLevel="0" collapsed="false">
      <c r="B47" s="119" t="s">
        <v>737</v>
      </c>
      <c r="C47" s="120" t="s">
        <v>52</v>
      </c>
      <c r="D47" s="120" t="n">
        <f aca="false">COUNTIF('Coffee Audit'!C2:C2000,B47)</f>
        <v>2</v>
      </c>
      <c r="E47" s="120" t="n">
        <f aca="false">SUMPRODUCT(('Coffee Audit'!C2:C2000=B47)*('Coffee Audit'!W2:W2000="⭐ GESHA"))</f>
        <v>0</v>
      </c>
      <c r="F47" s="120" t="str">
        <f aca="false">IFERROR("S$"&amp;TEXT(AVERAGEIFS('Coffee Audit'!Q2:Q2000,'Coffee Audit'!C2:C2000,B47,'Coffee Audit'!Q2:Q2000,"&gt;0"),"0.00"),"—")</f>
        <v>S$9.50</v>
      </c>
      <c r="G47" s="120" t="s">
        <v>747</v>
      </c>
      <c r="H47" s="120" t="s">
        <v>1424</v>
      </c>
      <c r="I47" s="120" t="s">
        <v>1425</v>
      </c>
      <c r="J47" s="120" t="s">
        <v>1361</v>
      </c>
      <c r="K47" s="120" t="s">
        <v>1470</v>
      </c>
    </row>
    <row r="48" customFormat="false" ht="13.5" hidden="false" customHeight="true" outlineLevel="0" collapsed="false">
      <c r="B48" s="119" t="s">
        <v>668</v>
      </c>
      <c r="C48" s="120" t="s">
        <v>52</v>
      </c>
      <c r="D48" s="120" t="n">
        <f aca="false">COUNTIF('Coffee Audit'!C2:C2000,B48)</f>
        <v>4</v>
      </c>
      <c r="E48" s="120" t="n">
        <f aca="false">SUMPRODUCT(('Coffee Audit'!C2:C2000=B48)*('Coffee Audit'!W2:W2000="⭐ GESHA"))</f>
        <v>2</v>
      </c>
      <c r="F48" s="120" t="str">
        <f aca="false">IFERROR("S$"&amp;TEXT(AVERAGEIFS('Coffee Audit'!Q2:Q2000,'Coffee Audit'!C2:C2000,B48,'Coffee Audit'!Q2:Q2000,"&gt;0"),"0.00"),"—")</f>
        <v>S$22.50</v>
      </c>
      <c r="G48" s="120" t="s">
        <v>1471</v>
      </c>
      <c r="H48" s="120" t="s">
        <v>1472</v>
      </c>
      <c r="I48" s="120" t="s">
        <v>1178</v>
      </c>
      <c r="J48" s="120" t="s">
        <v>1450</v>
      </c>
      <c r="K48" s="120" t="s">
        <v>1473</v>
      </c>
    </row>
    <row r="49" customFormat="false" ht="13.5" hidden="false" customHeight="true" outlineLevel="0" collapsed="false">
      <c r="B49" s="119" t="s">
        <v>344</v>
      </c>
      <c r="C49" s="120" t="s">
        <v>52</v>
      </c>
      <c r="D49" s="120" t="n">
        <f aca="false">COUNTIF('Coffee Audit'!C2:C2000,B49)</f>
        <v>2</v>
      </c>
      <c r="E49" s="120" t="n">
        <f aca="false">SUMPRODUCT(('Coffee Audit'!C2:C2000=B49)*('Coffee Audit'!W2:W2000="⭐ GESHA"))</f>
        <v>0</v>
      </c>
      <c r="F49" s="120" t="str">
        <f aca="false">IFERROR("S$"&amp;TEXT(AVERAGEIFS('Coffee Audit'!Q2:Q2000,'Coffee Audit'!C2:C2000,B49,'Coffee Audit'!Q2:Q2000,"&gt;0"),"0.00"),"—")</f>
        <v>S$9.50</v>
      </c>
      <c r="G49" s="120" t="s">
        <v>1474</v>
      </c>
      <c r="H49" s="120" t="s">
        <v>1475</v>
      </c>
      <c r="I49" s="120" t="s">
        <v>1178</v>
      </c>
      <c r="J49" s="120" t="s">
        <v>1457</v>
      </c>
      <c r="K49" s="120" t="s">
        <v>1476</v>
      </c>
    </row>
    <row r="50" customFormat="false" ht="13.5" hidden="false" customHeight="true" outlineLevel="0" collapsed="false">
      <c r="B50" s="119" t="s">
        <v>713</v>
      </c>
      <c r="C50" s="120" t="s">
        <v>52</v>
      </c>
      <c r="D50" s="120" t="n">
        <f aca="false">COUNTIF('Coffee Audit'!C2:C2000,B50)</f>
        <v>1</v>
      </c>
      <c r="E50" s="120" t="n">
        <f aca="false">SUMPRODUCT(('Coffee Audit'!C2:C2000=B50)*('Coffee Audit'!W2:W2000="⭐ GESHA"))</f>
        <v>1</v>
      </c>
      <c r="F50" s="120" t="str">
        <f aca="false">IFERROR("S$"&amp;TEXT(AVERAGEIFS('Coffee Audit'!Q2:Q2000,'Coffee Audit'!C2:C2000,B50,'Coffee Audit'!Q2:Q2000,"&gt;0"),"0.00"),"—")</f>
        <v>S$16.00</v>
      </c>
      <c r="G50" s="120" t="s">
        <v>1477</v>
      </c>
      <c r="H50" s="120" t="s">
        <v>1478</v>
      </c>
      <c r="I50" s="120" t="s">
        <v>1178</v>
      </c>
      <c r="J50" s="120" t="s">
        <v>1383</v>
      </c>
      <c r="K50" s="120" t="s">
        <v>1479</v>
      </c>
    </row>
    <row r="51" customFormat="false" ht="13.5" hidden="false" customHeight="true" outlineLevel="0" collapsed="false">
      <c r="B51" s="119" t="s">
        <v>784</v>
      </c>
      <c r="C51" s="120" t="s">
        <v>52</v>
      </c>
      <c r="D51" s="120" t="n">
        <f aca="false">COUNTIF('Coffee Audit'!C2:C2000,B51)</f>
        <v>1</v>
      </c>
      <c r="E51" s="120" t="n">
        <f aca="false">SUMPRODUCT(('Coffee Audit'!C2:C2000=B51)*('Coffee Audit'!W2:W2000="⭐ GESHA"))</f>
        <v>1</v>
      </c>
      <c r="F51" s="120" t="str">
        <f aca="false">IFERROR("S$"&amp;TEXT(AVERAGEIFS('Coffee Audit'!Q2:Q2000,'Coffee Audit'!C2:C2000,B51,'Coffee Audit'!Q2:Q2000,"&gt;0"),"0.00"),"—")</f>
        <v>S$10.50</v>
      </c>
      <c r="G51" s="120" t="s">
        <v>794</v>
      </c>
      <c r="H51" s="120" t="s">
        <v>1424</v>
      </c>
      <c r="I51" s="120" t="s">
        <v>1425</v>
      </c>
      <c r="J51" s="120" t="s">
        <v>1383</v>
      </c>
      <c r="K51" s="120" t="s">
        <v>1480</v>
      </c>
    </row>
    <row r="52" customFormat="false" ht="13.5" hidden="false" customHeight="true" outlineLevel="0" collapsed="false">
      <c r="B52" s="119" t="s">
        <v>822</v>
      </c>
      <c r="C52" s="120" t="s">
        <v>52</v>
      </c>
      <c r="D52" s="120" t="n">
        <f aca="false">COUNTIF('Coffee Audit'!C2:C2000,B52)</f>
        <v>1</v>
      </c>
      <c r="E52" s="120" t="n">
        <f aca="false">SUMPRODUCT(('Coffee Audit'!C2:C2000=B52)*('Coffee Audit'!W2:W2000="⭐ GESHA"))</f>
        <v>0</v>
      </c>
      <c r="F52" s="120" t="str">
        <f aca="false">IFERROR("S$"&amp;TEXT(AVERAGEIFS('Coffee Audit'!Q2:Q2000,'Coffee Audit'!C2:C2000,B52,'Coffee Audit'!Q2:Q2000,"&gt;0"),"0.00"),"—")</f>
        <v>S$8.00</v>
      </c>
      <c r="G52" s="120" t="s">
        <v>834</v>
      </c>
      <c r="H52" s="120" t="s">
        <v>1178</v>
      </c>
      <c r="I52" s="120" t="s">
        <v>1393</v>
      </c>
      <c r="J52" s="120" t="s">
        <v>1361</v>
      </c>
      <c r="K52" s="120" t="s">
        <v>1481</v>
      </c>
    </row>
    <row r="53" customFormat="false" ht="13.5" hidden="false" customHeight="true" outlineLevel="0" collapsed="false">
      <c r="B53" s="119" t="s">
        <v>835</v>
      </c>
      <c r="C53" s="120" t="s">
        <v>52</v>
      </c>
      <c r="D53" s="120" t="n">
        <f aca="false">COUNTIF('Coffee Audit'!C2:C2000,B53)</f>
        <v>1</v>
      </c>
      <c r="E53" s="120" t="n">
        <f aca="false">SUMPRODUCT(('Coffee Audit'!C2:C2000=B53)*('Coffee Audit'!W2:W2000="⭐ GESHA"))</f>
        <v>0</v>
      </c>
      <c r="F53" s="120" t="str">
        <f aca="false">IFERROR("S$"&amp;TEXT(AVERAGEIFS('Coffee Audit'!Q2:Q2000,'Coffee Audit'!C2:C2000,B53,'Coffee Audit'!Q2:Q2000,"&gt;0"),"0.00"),"—")</f>
        <v>S$8.50</v>
      </c>
      <c r="G53" s="120" t="s">
        <v>1482</v>
      </c>
      <c r="H53" s="120" t="s">
        <v>1483</v>
      </c>
      <c r="I53" s="120" t="s">
        <v>1484</v>
      </c>
      <c r="J53" s="120" t="s">
        <v>1457</v>
      </c>
      <c r="K53" s="120" t="s">
        <v>1485</v>
      </c>
    </row>
    <row r="54" customFormat="false" ht="13.5" hidden="false" customHeight="true" outlineLevel="0" collapsed="false">
      <c r="B54" s="119" t="s">
        <v>863</v>
      </c>
      <c r="C54" s="120" t="s">
        <v>52</v>
      </c>
      <c r="D54" s="120" t="n">
        <f aca="false">COUNTIF('Coffee Audit'!C2:C2000,B54)</f>
        <v>1</v>
      </c>
      <c r="E54" s="120" t="n">
        <f aca="false">SUMPRODUCT(('Coffee Audit'!C2:C2000=B54)*('Coffee Audit'!W2:W2000="⭐ GESHA"))</f>
        <v>0</v>
      </c>
      <c r="F54" s="120" t="str">
        <f aca="false">IFERROR("S$"&amp;TEXT(AVERAGEIFS('Coffee Audit'!Q2:Q2000,'Coffee Audit'!C2:C2000,B54,'Coffee Audit'!Q2:Q2000,"&gt;0"),"0.00"),"—")</f>
        <v>S$9.50</v>
      </c>
      <c r="G54" s="120" t="s">
        <v>876</v>
      </c>
      <c r="H54" s="120" t="s">
        <v>1486</v>
      </c>
      <c r="I54" s="120" t="s">
        <v>1487</v>
      </c>
      <c r="J54" s="120" t="s">
        <v>1361</v>
      </c>
      <c r="K54" s="120" t="s">
        <v>1488</v>
      </c>
    </row>
    <row r="55" customFormat="false" ht="13.5" hidden="false" customHeight="true" outlineLevel="0" collapsed="false">
      <c r="B55" s="119" t="s">
        <v>877</v>
      </c>
      <c r="C55" s="120" t="s">
        <v>52</v>
      </c>
      <c r="D55" s="120" t="n">
        <f aca="false">COUNTIF('Coffee Audit'!C2:C2000,B55)</f>
        <v>2</v>
      </c>
      <c r="E55" s="120" t="n">
        <f aca="false">SUMPRODUCT(('Coffee Audit'!C2:C2000=B55)*('Coffee Audit'!W2:W2000="⭐ GESHA"))</f>
        <v>1</v>
      </c>
      <c r="F55" s="120" t="str">
        <f aca="false">IFERROR("S$"&amp;TEXT(AVERAGEIFS('Coffee Audit'!Q2:Q2000,'Coffee Audit'!C2:C2000,B55,'Coffee Audit'!Q2:Q2000,"&gt;0"),"0.00"),"—")</f>
        <v>S$10.75</v>
      </c>
      <c r="G55" s="120" t="s">
        <v>887</v>
      </c>
      <c r="H55" s="120" t="s">
        <v>1489</v>
      </c>
      <c r="I55" s="120" t="s">
        <v>1490</v>
      </c>
      <c r="J55" s="120" t="s">
        <v>1361</v>
      </c>
      <c r="K55" s="120" t="s">
        <v>1491</v>
      </c>
    </row>
    <row r="56" customFormat="false" ht="13.5" hidden="false" customHeight="true" outlineLevel="0" collapsed="false">
      <c r="B56" s="123" t="s">
        <v>897</v>
      </c>
      <c r="C56" s="124" t="s">
        <v>227</v>
      </c>
      <c r="D56" s="124" t="n">
        <f aca="false">COUNTIF('Coffee Audit'!C2:C2000,B56)</f>
        <v>2</v>
      </c>
      <c r="E56" s="124" t="n">
        <f aca="false">SUMPRODUCT(('Coffee Audit'!C2:C2000=B56)*('Coffee Audit'!W2:W2000="⭐ GESHA"))</f>
        <v>0</v>
      </c>
      <c r="F56" s="124" t="str">
        <f aca="false">IFERROR("S$"&amp;TEXT(AVERAGEIFS('Coffee Audit'!Q2:Q2000,'Coffee Audit'!C2:C2000,B56,'Coffee Audit'!Q2:Q2000,"&gt;0"),"0.00"),"—")</f>
        <v>S$6.83</v>
      </c>
      <c r="G56" s="124" t="s">
        <v>1492</v>
      </c>
      <c r="H56" s="124" t="s">
        <v>1493</v>
      </c>
      <c r="I56" s="124" t="s">
        <v>1178</v>
      </c>
      <c r="J56" s="124" t="s">
        <v>1383</v>
      </c>
      <c r="K56" s="124" t="s">
        <v>1494</v>
      </c>
    </row>
    <row r="57" customFormat="false" ht="13.5" hidden="false" customHeight="true" outlineLevel="0" collapsed="false">
      <c r="B57" s="123" t="s">
        <v>920</v>
      </c>
      <c r="C57" s="124" t="s">
        <v>227</v>
      </c>
      <c r="D57" s="124" t="n">
        <f aca="false">COUNTIF('Coffee Audit'!C2:C2000,B57)</f>
        <v>1</v>
      </c>
      <c r="E57" s="124" t="n">
        <f aca="false">SUMPRODUCT(('Coffee Audit'!C2:C2000=B57)*('Coffee Audit'!W2:W2000="⭐ GESHA"))</f>
        <v>1</v>
      </c>
      <c r="F57" s="124" t="str">
        <f aca="false">IFERROR("S$"&amp;TEXT(AVERAGEIFS('Coffee Audit'!Q2:Q2000,'Coffee Audit'!C2:C2000,B57,'Coffee Audit'!Q2:Q2000,"&gt;0"),"0.00"),"—")</f>
        <v>S$11.75</v>
      </c>
      <c r="G57" s="124" t="s">
        <v>1495</v>
      </c>
      <c r="H57" s="124" t="s">
        <v>1496</v>
      </c>
      <c r="I57" s="124" t="s">
        <v>1178</v>
      </c>
      <c r="J57" s="124" t="s">
        <v>1383</v>
      </c>
      <c r="K57" s="124" t="s">
        <v>1497</v>
      </c>
    </row>
    <row r="58" customFormat="false" ht="59.25" hidden="false" customHeight="true" outlineLevel="0" collapsed="false">
      <c r="B58" s="61"/>
      <c r="C58" s="61"/>
      <c r="D58" s="61"/>
      <c r="E58" s="61"/>
      <c r="F58" s="61"/>
      <c r="G58" s="61"/>
      <c r="H58" s="61"/>
      <c r="I58" s="61"/>
      <c r="J58" s="61"/>
      <c r="K58" s="61"/>
      <c r="L58" s="61"/>
    </row>
    <row r="59" customFormat="false" ht="39.75" hidden="false" customHeight="true" outlineLevel="0" collapsed="false">
      <c r="B59" s="101" t="s">
        <v>1498</v>
      </c>
    </row>
    <row r="60" customFormat="false" ht="39.75" hidden="false" customHeight="true" outlineLevel="0" collapsed="false">
      <c r="B60" s="83" t="s">
        <v>1499</v>
      </c>
      <c r="C60" s="83" t="s">
        <v>1500</v>
      </c>
      <c r="D60" s="83" t="s">
        <v>1501</v>
      </c>
    </row>
    <row r="61" customFormat="false" ht="39.75" hidden="false" customHeight="true" outlineLevel="0" collapsed="false">
      <c r="B61" s="102" t="s">
        <v>1383</v>
      </c>
      <c r="C61" s="103" t="s">
        <v>1502</v>
      </c>
      <c r="D61" s="103" t="s">
        <v>1503</v>
      </c>
    </row>
    <row r="62" customFormat="false" ht="39.75" hidden="false" customHeight="true" outlineLevel="0" collapsed="false">
      <c r="B62" s="88" t="s">
        <v>1361</v>
      </c>
      <c r="C62" s="89" t="s">
        <v>1504</v>
      </c>
      <c r="D62" s="89" t="s">
        <v>1505</v>
      </c>
    </row>
    <row r="63" customFormat="false" ht="39.75" hidden="false" customHeight="true" outlineLevel="0" collapsed="false">
      <c r="B63" s="94" t="s">
        <v>1457</v>
      </c>
      <c r="C63" s="95" t="s">
        <v>1506</v>
      </c>
      <c r="D63" s="95" t="s">
        <v>1507</v>
      </c>
    </row>
    <row r="64" customFormat="false" ht="39.75" hidden="false" customHeight="true" outlineLevel="0" collapsed="false">
      <c r="B64" s="107" t="s">
        <v>1450</v>
      </c>
      <c r="C64" s="108" t="s">
        <v>1508</v>
      </c>
      <c r="D64" s="108" t="s">
        <v>1509</v>
      </c>
    </row>
  </sheetData>
  <mergeCells count="5">
    <mergeCell ref="B1:L1"/>
    <mergeCell ref="B2:L2"/>
    <mergeCell ref="B4:L4"/>
    <mergeCell ref="B11:L11"/>
    <mergeCell ref="B58:L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6E7A"/>
    <pageSetUpPr fitToPage="false"/>
  </sheetPr>
  <dimension ref="B1: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5"/>
    <col collapsed="false" customWidth="true" hidden="false" outlineLevel="0" max="3" min="3" style="1" width="65"/>
  </cols>
  <sheetData>
    <row r="1" customFormat="false" ht="21.75" hidden="false" customHeight="true" outlineLevel="0" collapsed="false">
      <c r="B1" s="79" t="s">
        <v>1510</v>
      </c>
      <c r="C1" s="79"/>
      <c r="D1" s="79"/>
      <c r="E1" s="79"/>
      <c r="F1" s="79"/>
      <c r="G1" s="79"/>
      <c r="H1" s="79"/>
      <c r="I1" s="79"/>
      <c r="J1" s="79"/>
    </row>
    <row r="2" customFormat="false" ht="13.5" hidden="false" customHeight="true" outlineLevel="0" collapsed="false">
      <c r="B2" s="114" t="s">
        <v>1511</v>
      </c>
      <c r="C2" s="114"/>
      <c r="D2" s="114"/>
      <c r="E2" s="114"/>
      <c r="F2" s="114"/>
      <c r="G2" s="114"/>
      <c r="H2" s="114"/>
      <c r="I2" s="114"/>
      <c r="J2" s="114"/>
    </row>
    <row r="3" customFormat="false" ht="6" hidden="false" customHeight="true" outlineLevel="0" collapsed="false"/>
    <row r="4" customFormat="false" ht="15.75" hidden="false" customHeight="true" outlineLevel="0" collapsed="false">
      <c r="B4" s="81" t="s">
        <v>1512</v>
      </c>
      <c r="C4" s="81"/>
      <c r="D4" s="81"/>
      <c r="E4" s="81"/>
      <c r="F4" s="81"/>
      <c r="G4" s="81"/>
      <c r="H4" s="81"/>
      <c r="I4" s="81"/>
      <c r="J4" s="81"/>
    </row>
    <row r="5" customFormat="false" ht="15.75" hidden="false" customHeight="true" outlineLevel="0" collapsed="false">
      <c r="B5" s="83" t="s">
        <v>1513</v>
      </c>
      <c r="C5" s="83" t="s">
        <v>1500</v>
      </c>
    </row>
    <row r="6" customFormat="false" ht="12.75" hidden="false" customHeight="true" outlineLevel="0" collapsed="false">
      <c r="B6" s="125"/>
      <c r="C6" s="126" t="s">
        <v>1514</v>
      </c>
    </row>
    <row r="7" customFormat="false" ht="12.75" hidden="false" customHeight="true" outlineLevel="0" collapsed="false">
      <c r="B7" s="127"/>
      <c r="C7" s="126" t="s">
        <v>1515</v>
      </c>
    </row>
    <row r="8" customFormat="false" ht="12.75" hidden="false" customHeight="true" outlineLevel="0" collapsed="false">
      <c r="B8" s="128"/>
      <c r="C8" s="126" t="s">
        <v>1516</v>
      </c>
    </row>
    <row r="9" customFormat="false" ht="12.75" hidden="false" customHeight="true" outlineLevel="0" collapsed="false">
      <c r="B9" s="129"/>
      <c r="C9" s="126" t="s">
        <v>1517</v>
      </c>
    </row>
    <row r="10" customFormat="false" ht="7.5" hidden="false" customHeight="true" outlineLevel="0" collapsed="false"/>
    <row r="11" customFormat="false" ht="15.75" hidden="false" customHeight="true" outlineLevel="0" collapsed="false">
      <c r="B11" s="81" t="s">
        <v>1518</v>
      </c>
      <c r="C11" s="81"/>
      <c r="D11" s="81"/>
      <c r="E11" s="81"/>
      <c r="F11" s="81"/>
      <c r="G11" s="81"/>
      <c r="H11" s="81"/>
      <c r="I11" s="81"/>
      <c r="J11" s="81"/>
    </row>
    <row r="12" customFormat="false" ht="19.5" hidden="false" customHeight="true" outlineLevel="0" collapsed="false">
      <c r="B12" s="110" t="s">
        <v>1519</v>
      </c>
      <c r="C12" s="110"/>
      <c r="D12" s="110"/>
      <c r="E12" s="110"/>
      <c r="F12" s="110"/>
      <c r="G12" s="110"/>
      <c r="H12" s="110"/>
      <c r="I12" s="110"/>
    </row>
    <row r="13" customFormat="false" ht="19.5" hidden="false" customHeight="true" outlineLevel="0" collapsed="false">
      <c r="B13" s="111" t="s">
        <v>1520</v>
      </c>
      <c r="C13" s="111"/>
      <c r="D13" s="111"/>
      <c r="E13" s="111"/>
      <c r="F13" s="111"/>
      <c r="G13" s="111"/>
      <c r="H13" s="111"/>
      <c r="I13" s="111"/>
    </row>
    <row r="14" customFormat="false" ht="19.5" hidden="false" customHeight="true" outlineLevel="0" collapsed="false">
      <c r="B14" s="110" t="s">
        <v>1521</v>
      </c>
      <c r="C14" s="110"/>
      <c r="D14" s="110"/>
      <c r="E14" s="110"/>
      <c r="F14" s="110"/>
      <c r="G14" s="110"/>
      <c r="H14" s="110"/>
      <c r="I14" s="110"/>
    </row>
    <row r="15" customFormat="false" ht="19.5" hidden="false" customHeight="true" outlineLevel="0" collapsed="false">
      <c r="B15" s="111" t="s">
        <v>1522</v>
      </c>
      <c r="C15" s="111"/>
      <c r="D15" s="111"/>
      <c r="E15" s="111"/>
      <c r="F15" s="111"/>
      <c r="G15" s="111"/>
      <c r="H15" s="111"/>
      <c r="I15" s="111"/>
    </row>
    <row r="16" customFormat="false" ht="19.5" hidden="false" customHeight="true" outlineLevel="0" collapsed="false">
      <c r="B16" s="110" t="s">
        <v>1523</v>
      </c>
      <c r="C16" s="110"/>
      <c r="D16" s="110"/>
      <c r="E16" s="110"/>
      <c r="F16" s="110"/>
      <c r="G16" s="110"/>
      <c r="H16" s="110"/>
      <c r="I16" s="110"/>
    </row>
    <row r="17" customFormat="false" ht="19.5" hidden="false" customHeight="true" outlineLevel="0" collapsed="false">
      <c r="B17" s="111" t="s">
        <v>1524</v>
      </c>
      <c r="C17" s="111"/>
      <c r="D17" s="111"/>
      <c r="E17" s="111"/>
      <c r="F17" s="111"/>
      <c r="G17" s="111"/>
      <c r="H17" s="111"/>
      <c r="I17" s="111"/>
    </row>
    <row r="18" customFormat="false" ht="19.5" hidden="false" customHeight="true" outlineLevel="0" collapsed="false">
      <c r="B18" s="110" t="s">
        <v>1525</v>
      </c>
      <c r="C18" s="110"/>
      <c r="D18" s="110"/>
      <c r="E18" s="110"/>
      <c r="F18" s="110"/>
      <c r="G18" s="110"/>
      <c r="H18" s="110"/>
      <c r="I18" s="110"/>
    </row>
    <row r="19" customFormat="false" ht="7.5" hidden="false" customHeight="true" outlineLevel="0" collapsed="false"/>
    <row r="20" customFormat="false" ht="15.75" hidden="false" customHeight="true" outlineLevel="0" collapsed="false">
      <c r="B20" s="81" t="s">
        <v>1526</v>
      </c>
      <c r="C20" s="81"/>
      <c r="D20" s="81"/>
      <c r="E20" s="81"/>
      <c r="F20" s="81"/>
      <c r="G20" s="81"/>
      <c r="H20" s="81"/>
      <c r="I20" s="81"/>
      <c r="J20" s="81"/>
    </row>
    <row r="21" customFormat="false" ht="18" hidden="false" customHeight="true" outlineLevel="0" collapsed="false">
      <c r="B21" s="130" t="s">
        <v>1527</v>
      </c>
      <c r="C21" s="130"/>
      <c r="D21" s="130"/>
      <c r="E21" s="130"/>
      <c r="F21" s="130"/>
      <c r="G21" s="130"/>
      <c r="H21" s="130"/>
      <c r="I21" s="130"/>
    </row>
    <row r="22" customFormat="false" ht="18" hidden="false" customHeight="true" outlineLevel="0" collapsed="false">
      <c r="B22" s="131" t="s">
        <v>1528</v>
      </c>
      <c r="C22" s="131"/>
      <c r="D22" s="131"/>
      <c r="E22" s="131"/>
      <c r="F22" s="131"/>
      <c r="G22" s="131"/>
      <c r="H22" s="131"/>
      <c r="I22" s="131"/>
    </row>
    <row r="23" customFormat="false" ht="18" hidden="false" customHeight="true" outlineLevel="0" collapsed="false">
      <c r="B23" s="130" t="s">
        <v>1529</v>
      </c>
      <c r="C23" s="130"/>
      <c r="D23" s="130"/>
      <c r="E23" s="130"/>
      <c r="F23" s="130"/>
      <c r="G23" s="130"/>
      <c r="H23" s="130"/>
      <c r="I23" s="130"/>
    </row>
    <row r="24" customFormat="false" ht="18" hidden="false" customHeight="true" outlineLevel="0" collapsed="false">
      <c r="B24" s="131" t="s">
        <v>1530</v>
      </c>
      <c r="C24" s="131"/>
      <c r="D24" s="131"/>
      <c r="E24" s="131"/>
      <c r="F24" s="131"/>
      <c r="G24" s="131"/>
      <c r="H24" s="131"/>
      <c r="I24" s="131"/>
    </row>
    <row r="25" customFormat="false" ht="18" hidden="false" customHeight="true" outlineLevel="0" collapsed="false">
      <c r="B25" s="130" t="s">
        <v>1531</v>
      </c>
      <c r="C25" s="130"/>
      <c r="D25" s="130"/>
      <c r="E25" s="130"/>
      <c r="F25" s="130"/>
      <c r="G25" s="130"/>
      <c r="H25" s="130"/>
      <c r="I25" s="130"/>
    </row>
    <row r="26" customFormat="false" ht="18" hidden="false" customHeight="true" outlineLevel="0" collapsed="false">
      <c r="B26" s="131" t="s">
        <v>1532</v>
      </c>
      <c r="C26" s="131"/>
      <c r="D26" s="131"/>
      <c r="E26" s="131"/>
      <c r="F26" s="131"/>
      <c r="G26" s="131"/>
      <c r="H26" s="131"/>
      <c r="I26" s="131"/>
    </row>
    <row r="27" customFormat="false" ht="18" hidden="false" customHeight="true" outlineLevel="0" collapsed="false">
      <c r="B27" s="130" t="s">
        <v>1533</v>
      </c>
      <c r="C27" s="130"/>
      <c r="D27" s="130"/>
      <c r="E27" s="130"/>
      <c r="F27" s="130"/>
      <c r="G27" s="130"/>
      <c r="H27" s="130"/>
      <c r="I27" s="130"/>
    </row>
    <row r="28" customFormat="false" ht="18" hidden="false" customHeight="true" outlineLevel="0" collapsed="false">
      <c r="B28" s="131" t="s">
        <v>1534</v>
      </c>
      <c r="C28" s="131"/>
      <c r="D28" s="131"/>
      <c r="E28" s="131"/>
      <c r="F28" s="131"/>
      <c r="G28" s="131"/>
      <c r="H28" s="131"/>
      <c r="I28" s="131"/>
    </row>
    <row r="29" customFormat="false" ht="18" hidden="false" customHeight="true" outlineLevel="0" collapsed="false">
      <c r="B29" s="130" t="s">
        <v>1535</v>
      </c>
      <c r="C29" s="130"/>
      <c r="D29" s="130"/>
      <c r="E29" s="130"/>
      <c r="F29" s="130"/>
      <c r="G29" s="130"/>
      <c r="H29" s="130"/>
      <c r="I29" s="130"/>
    </row>
  </sheetData>
  <mergeCells count="21">
    <mergeCell ref="B1:J1"/>
    <mergeCell ref="B2:J2"/>
    <mergeCell ref="B4:J4"/>
    <mergeCell ref="B11:J11"/>
    <mergeCell ref="B12:I12"/>
    <mergeCell ref="B13:I13"/>
    <mergeCell ref="B14:I14"/>
    <mergeCell ref="B15:I15"/>
    <mergeCell ref="B16:I16"/>
    <mergeCell ref="B17:I17"/>
    <mergeCell ref="B18:I18"/>
    <mergeCell ref="B20:J20"/>
    <mergeCell ref="B21:I21"/>
    <mergeCell ref="B22:I22"/>
    <mergeCell ref="B23:I23"/>
    <mergeCell ref="B24:I24"/>
    <mergeCell ref="B25:I25"/>
    <mergeCell ref="B26:I26"/>
    <mergeCell ref="B27:I27"/>
    <mergeCell ref="B28:I28"/>
    <mergeCell ref="B29:I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E9E9E"/>
    <pageSetUpPr fitToPage="false"/>
  </sheetPr>
  <dimension ref="A2: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26"/>
    <col collapsed="false" customWidth="true" hidden="false" outlineLevel="0" max="3" min="3" style="1" width="14"/>
    <col collapsed="false" customWidth="true" hidden="false" outlineLevel="0" max="4" min="4" style="1" width="16"/>
    <col collapsed="false" customWidth="true" hidden="false" outlineLevel="0" max="5" min="5" style="1" width="58"/>
  </cols>
  <sheetData>
    <row r="2" customFormat="false" ht="15" hidden="false" customHeight="true" outlineLevel="0" collapsed="false">
      <c r="A2" s="132" t="s">
        <v>1536</v>
      </c>
    </row>
    <row r="3" customFormat="false" ht="15" hidden="false" customHeight="true" outlineLevel="0" collapsed="false">
      <c r="A3" s="132" t="s">
        <v>1537</v>
      </c>
      <c r="B3" s="133" t="n">
        <f aca="false">COUNTA('Coffee Audit'!A2:A2000)</f>
        <v>89</v>
      </c>
    </row>
    <row r="4" customFormat="false" ht="15" hidden="false" customHeight="true" outlineLevel="0" collapsed="false">
      <c r="A4" s="132" t="s">
        <v>1538</v>
      </c>
      <c r="B4" s="133" t="n">
        <v>15</v>
      </c>
    </row>
    <row r="5" customFormat="false" ht="15" hidden="false" customHeight="true" outlineLevel="0" collapsed="false">
      <c r="A5" s="132" t="s">
        <v>1539</v>
      </c>
      <c r="B5" s="133" t="n">
        <v>8</v>
      </c>
    </row>
    <row r="6" customFormat="false" ht="15" hidden="false" customHeight="true" outlineLevel="0" collapsed="false">
      <c r="A6" s="132" t="s">
        <v>1540</v>
      </c>
      <c r="B6" s="133" t="n">
        <v>5</v>
      </c>
    </row>
    <row r="7" customFormat="false" ht="15" hidden="false" customHeight="true" outlineLevel="0" collapsed="false">
      <c r="A7" s="132" t="s">
        <v>1541</v>
      </c>
      <c r="B7" s="133" t="n">
        <f aca="false">SUMPRODUCT(('Coffee Audit'!B2:B2000&lt;&gt;"")/COUNTIF('Coffee Audit'!B2:B2000,'Coffee Audit'!B2:B2000&amp;""))</f>
        <v>4</v>
      </c>
    </row>
    <row r="8" customFormat="false" ht="15" hidden="false" customHeight="true" outlineLevel="0" collapsed="false">
      <c r="A8" s="132" t="s">
        <v>1542</v>
      </c>
      <c r="B8" s="133" t="n">
        <f aca="false">SUMPRODUCT(('Coffee Audit'!C2:C2000&lt;&gt;"")/COUNTIF('Coffee Audit'!C2:C2000,'Coffee Audit'!C2:C2000&amp;""))</f>
        <v>44</v>
      </c>
    </row>
    <row r="9" customFormat="false" ht="15" hidden="false" customHeight="true" outlineLevel="0" collapsed="false">
      <c r="A9" s="132" t="s">
        <v>1543</v>
      </c>
      <c r="B9" s="133" t="str">
        <f aca="false">TEXT(MIN('Coffee Audit'!A2:A2000),"YYYY-MM-DD")&amp;"  →  "&amp;TEXT(MAX('Coffee Audit'!A2:A2000),"YYYY-MM-DD")</f>
        <v>2026-01-03  →  2026-08-29</v>
      </c>
    </row>
    <row r="11" customFormat="false" ht="16.5" hidden="false" customHeight="true" outlineLevel="0" collapsed="false">
      <c r="B11" s="134" t="s">
        <v>1544</v>
      </c>
      <c r="C11" s="134"/>
      <c r="D11" s="134"/>
      <c r="E11" s="134"/>
      <c r="F11" s="134"/>
    </row>
    <row r="12" customFormat="false" ht="15" hidden="false" customHeight="true" outlineLevel="0" collapsed="false">
      <c r="B12" s="32" t="s">
        <v>1545</v>
      </c>
      <c r="C12" s="32" t="s">
        <v>1546</v>
      </c>
      <c r="D12" s="32" t="s">
        <v>1149</v>
      </c>
      <c r="E12" s="32" t="s">
        <v>1547</v>
      </c>
    </row>
    <row r="13" customFormat="false" ht="12.75" hidden="false" customHeight="true" outlineLevel="0" collapsed="false">
      <c r="B13" s="63" t="s">
        <v>1548</v>
      </c>
      <c r="C13" s="51" t="n">
        <f aca="false">COUNTA('Coffee Audit'!A2:A2000)</f>
        <v>89</v>
      </c>
      <c r="D13" s="49" t="str">
        <f aca="false">IF(COUNTA('Coffee Audit'!A2:A2000)&gt;0,"✅ OK","🚨 EMPTY")</f>
        <v>✅ OK</v>
      </c>
      <c r="E13" s="100" t="s">
        <v>1549</v>
      </c>
    </row>
    <row r="14" customFormat="false" ht="12.75" hidden="false" customHeight="true" outlineLevel="0" collapsed="false">
      <c r="B14" s="66" t="s">
        <v>1550</v>
      </c>
      <c r="C14" s="46" t="n">
        <f aca="false">SUMPRODUCT((('Coffee Audit'!W2:W2000="⭐ GESHA")&lt;&gt;(ISNUMBER(SEARCH("gesha",'Coffee Audit'!G2:G2000&amp;""))+ISNUMBER(SEARCH("geisha",'Coffee Audit'!G2:G2000&amp;""))&gt;0))*('Coffee Audit'!A2:A2000&lt;&gt;""))</f>
        <v>0</v>
      </c>
      <c r="D14" s="44" t="str">
        <f aca="false">IF(SUMPRODUCT((('Coffee Audit'!W2:W2000="⭐ GESHA")&lt;&gt;(ISNUMBER(SEARCH("gesha",'Coffee Audit'!G2:G2000&amp;""))+ISNUMBER(SEARCH("geisha",'Coffee Audit'!G2:G2000&amp;""))&gt;0))*('Coffee Audit'!A2:A2000&lt;&gt;""))=0,"✅ OK","🚨 MISMATCH")</f>
        <v>✅ OK</v>
      </c>
      <c r="E14" s="135" t="s">
        <v>1551</v>
      </c>
    </row>
    <row r="15" customFormat="false" ht="12.75" hidden="false" customHeight="true" outlineLevel="0" collapsed="false">
      <c r="B15" s="63" t="s">
        <v>1552</v>
      </c>
      <c r="C15" s="51" t="n">
        <f aca="false">SUMPRODUCT(--('Coffee Audit'!A2:A2000=""))-COUNTBLANK('Coffee Audit'!A2:A2000)+COUNTBLANK('Coffee Audit'!A2:A2000)-(2000-1-COUNTA('Coffee Audit'!A2:A2000))</f>
        <v>0</v>
      </c>
      <c r="D15" s="49" t="str">
        <f aca="false">IF(COUNT('Coffee Audit'!A2:A2000)=COUNTA('Coffee Audit'!A2:A2000),"✅ OK","⚠️ CHECK")</f>
        <v>✅ OK</v>
      </c>
      <c r="E15" s="100" t="s">
        <v>1553</v>
      </c>
    </row>
    <row r="16" customFormat="false" ht="12.75" hidden="false" customHeight="true" outlineLevel="0" collapsed="false">
      <c r="B16" s="66" t="s">
        <v>1554</v>
      </c>
      <c r="C16" s="46" t="n">
        <f aca="false">SUMPRODUCT(('Coffee Audit'!A2:A2000&lt;&gt;"")*('Coffee Audit'!C2:C2000=""))</f>
        <v>0</v>
      </c>
      <c r="D16" s="44" t="str">
        <f aca="false">IF(SUMPRODUCT(('Coffee Audit'!A2:A2000&lt;&gt;"")*('Coffee Audit'!C2:C2000=""))=0,"✅ OK","🚨 BLANK")</f>
        <v>✅ OK</v>
      </c>
      <c r="E16" s="135" t="s">
        <v>1555</v>
      </c>
    </row>
    <row r="17" customFormat="false" ht="12.75" hidden="false" customHeight="true" outlineLevel="0" collapsed="false">
      <c r="B17" s="63" t="s">
        <v>1556</v>
      </c>
      <c r="C17" s="51" t="n">
        <f aca="false">SUMPRODUCT(('Coffee Audit'!A2:A2000&lt;&gt;"")*('Coffee Audit'!Q2:Q2000&lt;0))</f>
        <v>0</v>
      </c>
      <c r="D17" s="49" t="str">
        <f aca="false">IF(SUMPRODUCT(('Coffee Audit'!A2:A2000&lt;&gt;"")*('Coffee Audit'!Q2:Q2000&lt;0))=0,"✅ OK","🚨 NEGATIVE")</f>
        <v>✅ OK</v>
      </c>
      <c r="E17" s="100" t="s">
        <v>1557</v>
      </c>
    </row>
    <row r="18" customFormat="false" ht="12.75" hidden="false" customHeight="true" outlineLevel="0" collapsed="false">
      <c r="B18" s="66" t="s">
        <v>1558</v>
      </c>
      <c r="C18" s="46" t="n">
        <f aca="false">SUM('🏙️ Café Directory'!D13:D57)</f>
        <v>89</v>
      </c>
      <c r="D18" s="44" t="str">
        <f aca="false">IF(SUM('🏙️ Café Directory'!D13:D57)=COUNTA('Coffee Audit'!A2:A2000),"✅ BALANCED","⚠️ DRIFT")</f>
        <v>✅ BALANCED</v>
      </c>
      <c r="E18" s="135" t="s">
        <v>1559</v>
      </c>
    </row>
    <row r="19" customFormat="false" ht="12.75" hidden="false" customHeight="true" outlineLevel="0" collapsed="false">
      <c r="B19" s="63" t="s">
        <v>1560</v>
      </c>
      <c r="C19" s="136" t="n">
        <f aca="false">MAX('Coffee Audit'!A2:A2000)</f>
        <v>46263</v>
      </c>
      <c r="D19" s="49" t="str">
        <f aca="false">IF(MAX('Coffee Audit'!A2:A2000)&gt;=DATE(2026,7,29),"✅ CURRENT","⚠️ STALE")</f>
        <v>✅ CURRENT</v>
      </c>
      <c r="E19" s="100" t="s">
        <v>1561</v>
      </c>
    </row>
  </sheetData>
  <mergeCells count="1">
    <mergeCell ref="B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2026-07-11T00:12:35Z</dcterms:created>
  <dc:creator>openpyxl</dc:creator>
  <dc:description/>
  <dc:language>en-US</dc:language>
  <cp:lastModifiedBy/>
  <dcterms:modified xsi:type="dcterms:W3CDTF">2026-08-31T16:32:47Z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