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<sst xmlns="http://schemas.openxmlformats.org/spreadsheetml/2006/main" count="2124" uniqueCount="1180">
  <si>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</si>
  <si>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</si>
  <si>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</si>
  <si>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</si>
  <si>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</si>
  <si>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</si>
  <si>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</si>
  <si>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</si>
  <si>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</si>
  <si>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</si>
  <si>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</si>
  <si>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</si>
  <si>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</si>
  <si>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</si>
  <si>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</si>
  <si>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</si>
  <si>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</si>
  <si>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</si>
  <si>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</si>
  <si>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</si>
  <si>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</si>
  <si>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</si>
  <si>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</si>
  <si>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</si>
  <si>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</si>
  <si>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</si>
  <si>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</si>
  <si>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</si>
  <si>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</si>
  <si>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</si>
  <si>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</si>
  <si>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</si>
  <si>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</si>
  <si>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</si>
  <si>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</si>
  <si>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</si>
  <si>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</si>
  <si>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</si>
  <si>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</si>
  <si>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</si>
  <si>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</si>
  <si>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</si>
  <si>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</si>
  <si>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</si>
  <si>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</si>
  <si>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</si>
  <si>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</si>
  <si>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</si>
  <si>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</si>
  <si>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</si>
  <si>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</si>
  <si>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</si>
  <si>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</si>
  <si>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</si>
  <si>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</si>
  <si>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</si>
  <si>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</si>
  <si>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</si>
  <si>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</si>
  <si>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</si>
  <si>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</si>
  <si>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</si>
  <si>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</si>
  <si>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</si>
  <si>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</si>
  <si>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</si>
  <si>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</si>
  <si>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</si>
  <si>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</si>
  <si>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</si>
  <si>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</si>
  <si>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</si>
  <si>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</si>
  <si>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</si>
  <si>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</si>
  <si>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</si>
  <si>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</si>
  <si>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</si>
  <si>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</si>
  <si>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</si>
  <si>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</si>
  <si>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</si>
  <si>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</si>
  <si>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</si>
  <si>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</si>
  <si>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</si>
  <si>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</si>
  <si>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</si>
  <si>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</si>
  <si>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</si>
  <si>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</si>
  <si>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</si>
  <si>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</si>
  <si>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</si>
  <si>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</si>
  <si>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</si>
  <si>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</si>
  <si>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</si>
  <si>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</si>
  <si>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</si>
  <si>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</si>
  <si>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</si>
  <si>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</si>
  <si>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</si>
  <si>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</si>
  <si>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</si>
  <si>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</si>
  <si>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</si>
  <si>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</si>
  <si>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</si>
  <si>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</si>
  <si>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</si>
  <si>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</si>
  <si>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</si>
  <si>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</si>
  <si>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</si>
  <si>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</si>
  <si>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</si>
  <si>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</si>
  <si>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</si>
  <si>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</si>
  <si>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</si>
  <si>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</si>
  <si>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</si>
  <si>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</si>
  <si>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</si>
  <si>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</si>
  <si>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</si>
  <si>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</si>
  <si>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</si>
  <si>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</si>
  <si>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</si>
  <si>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</si>
  <si>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</si>
  <si>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</si>
  <si>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</si>
  <si>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</si>
  <si>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</si>
  <si>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</si>
  <si>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</si>
  <si>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</si>
  <si>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</si>
  <si>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</si>
  <si>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</si>
  <si>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</si>
  <si>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</si>
  <si>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</si>
  <si>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</si>
  <si>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</si>
  <si>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</si>
  <si>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</si>
  <si>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</si>
  <si>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</si>
  <si>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</si>
  <si>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</si>
  <si>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</si>
  <si>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</si>
  <si>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</si>
  <si>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</si>
  <si>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</si>
  <si>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</si>
  <si>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</si>
  <si>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</si>
  <si>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</si>
  <si>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</si>
  <si>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</si>
  <si>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</si>
  <si>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</si>
  <si>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</si>
  <si>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</si>
  <si>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</si>
  <si>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</si>
  <si>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</si>
  <si>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</si>
  <si>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</si>
  <si>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</si>
  <si>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</si>
  <si>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</si>
  <si>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</si>
  <si>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</si>
  <si>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</si>
  <si>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</si>
  <si>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</si>
  <si>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</si>
  <si>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</si>
  <si>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</si>
  <si>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</si>
  <si>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</si>
  <si>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</si>
  <si>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</si>
  <si>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</si>
  <si>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</si>
  <si>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</si>
  <si>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</si>
  <si>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</si>
  <si>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</si>
  <si>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</si>
  <si>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</si>
  <si>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</si>
  <si>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</si>
  <si>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</si>
  <si>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</si>
  <si>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</si>
  <si>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</si>
  <si>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</si>
  <si>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</si>
  <si>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</si>
  <si>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</si>
  <si>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</si>
  <si>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</si>
  <si>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</si>
  <si>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</si>
  <si>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</si>
  <si>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</si>
  <si>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</si>
  <si>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</si>
  <si>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</si>
  <si>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</si>
  <si>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</si>
  <si>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</si>
  <si>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</si>
  <si>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</si>
  <si>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</si>
  <si>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</si>
  <si>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</si>
  <si>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</si>
  <si>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</si>
  <si>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</si>
  <si>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</si>
  <si>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</si>
  <si>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</si>
  <si>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</si>
  <si>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</si>
  <si>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</si>
  <si>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</si>
  <si>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</si>
  <si>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</si>
  <si>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</si>
  <si>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</si>
  <si>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</si>
  <si>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</si>
  <si>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</si>
  <si>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</si>
  <si>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</si>
  <si>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</si>
  <si>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</si>
  <si>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</si>
  <si>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</si>
  <si>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</si>
  <si>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</si>
  <si>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</si>
  <si>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</si>
  <si>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</si>
  <si>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</si>
  <si>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</si>
  <si>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</si>
  <si>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</si>
  <si>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</si>
  <si>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</si>
  <si>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</si>
  <si>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</si>
  <si>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</si>
  <si>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</si>
  <si>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(Raffles Place)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</si>
  <si>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</si>
  <si>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</si>
  <si>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</si>
  <si>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</si>
  <si>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</si>
  <si>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</si>
  <si>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</si>
  <si>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</si>
  <si>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</si>
  <si>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</si>
  <si>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</si>
  <si>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</si>
  <si>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</si>
  <si>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</si>
  <si>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</si>
  <si>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</si>
  <si>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</si>
  <si>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</si>
  <si>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</si>
  <si>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</si>
  <si>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</si>
  <si>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</si>
  <si>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</si>
  <si>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</si>
  <si>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</si>
  <si>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</si>
  <si>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</si>
  <si>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</si>
  <si>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</si>
  <si>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</si>
  <si>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</si>
  <si>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Alchemist (Ocean Financial Centre)</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</si>
  <si>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</si>
  <si>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</si>
  <si>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</si>
  <si>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</si>
  <si>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</si>
  <si>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</si>
  <si>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</si>
  <si>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</si>
  <si>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</si>
  <si>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</si>
  <si>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</si>
  <si>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</si>
  <si>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</si>
  <si>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</si>
  <si>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</si>
  <si>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</si>
  <si>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</si>
  <si>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</si>
  <si>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</si>
  <si>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</si>
  <si>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</si>
  <si>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</si>
  <si>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</si>
  <si>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</si>
  <si>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</si>
  <si>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</si>
  <si>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</si>
  <si>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</si>
  <si>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</si>
  <si>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</si>
  <si>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</si>
  <si>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</si>
  <si>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</si>
  <si>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</si>
  <si>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</si>
  <si>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</si>
  <si>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</si>
  <si>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</si>
  <si>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</si>
  <si>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</si>
  <si>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</si>
  <si>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</si>
  <si>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</si>
  <si>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</si>
  <si>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</si>
  <si>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</si>
  <si>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</si>
  <si>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</si>
  <si>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</si>
  <si>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</si>
  <si>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</si>
  <si>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</si>
  <si>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</si>
  <si>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</si>
  <si>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Red Bourbon</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</si>
  <si>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</si>
  <si>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</si>
  <si>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</si>
  <si>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</si>
  <si>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</si>
  <si>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</si>
  <si>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</si>
  <si>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</si>
  <si>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</si>
  <si>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</si>
  <si>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</si>
  <si>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</si>
  <si>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</si>
  <si>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</si>
  <si>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</si>
  <si>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</si>
  <si>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</si>
  <si>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</si>
  <si>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</si>
  <si>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</si>
  <si>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</si>
  <si>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</si>
  <si>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</si>
  <si>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</si>
  <si>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</si>
  <si>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</si>
  <si>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</si>
  <si>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</si>
  <si>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</si>
  <si>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</si>
  <si>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</si>
  <si>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</si>
  <si>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</si>
  <si>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Equate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</si>
  <si>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</si>
  <si>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</si>
  <si>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</si>
  <si>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</si>
  <si>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</si>
  <si>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</si>
  <si>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</si>
  <si>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</si>
  <si>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</si>
  <si>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</si>
  <si>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Apartment (Jalan Riang)</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</si>
  <si>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</si>
  <si>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</si>
  <si>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</si>
  <si>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</si>
  <si>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</si>
  <si>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</si>
  <si>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</si>
  <si>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</si>
  <si>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</si>
  <si>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</si>
  <si>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</si>
  <si>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</si>
  <si>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</si>
  <si>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</si>
  <si>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</si>
  <si>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</si>
  <si>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</si>
  <si>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</si>
  <si>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</si>
  <si>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</si>
  <si>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</si>
  <si>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</si>
  <si>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</si>
  <si>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</si>
  <si>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</si>
  <si>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</si>
  <si>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</si>
  <si>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</si>
  <si>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</si>
  <si>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</si>
  <si>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</si>
  <si>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</si>
  <si>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</si>
  <si>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</si>
  <si>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</si>
  <si>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</si>
  <si>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</si>
  <si>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</si>
  <si>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</si>
  <si>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</si>
  <si>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</si>
  <si>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</si>
  <si>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</si>
  <si>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</si>
  <si>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</si>
  <si>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</si>
  <si>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</si>
  <si>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</si>
  <si>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</si>
  <si>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</si>
  <si>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</si>
  <si>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</si>
  <si>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</si>
  <si>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</si>
  <si>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</si>
  <si>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</si>
  <si>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</si>
  <si>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</si>
  <si>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</si>
  <si>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</si>
  <si>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</si>
  <si>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</si>
  <si>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</si>
  <si>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</si>
  <si>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</si>
  <si>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</si>
  <si>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</si>
  <si>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</si>
  <si>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</si>
  <si>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</si>
  <si>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</si>
  <si>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</si>
  <si>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</si>
  <si>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</si>
  <si>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</si>
  <si>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</si>
  <si>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</si>
  <si>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</si>
  <si>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</si>
  <si>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</si>
  <si>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</si>
  <si>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</si>
  <si>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</si>
  <si>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</si>
  <si>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</si>
  <si>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</si>
  <si>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</si>
  <si>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</si>
  <si>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</si>
  <si>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</si>
  <si>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</si>
  <si>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</si>
  <si>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</si>
  <si>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</si>
  <si>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</si>
  <si>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</si>
  <si>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</si>
  <si>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</si>
  <si>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</si>
  <si>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</si>
  <si>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</si>
  <si>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</si>
  <si>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</si>
  <si>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</si>
  <si>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</si>
  <si>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</si>
  <si>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</si>
  <si>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</si>
  <si>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</si>
  <si>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</si>
  <si>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</si>
  <si>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</si>
  <si>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</si>
  <si>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</si>
  <si>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</si>
  <si>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</si>
  <si>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</si>
  <si>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</si>
  <si>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</si>
  <si>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</si>
  <si>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</si>
  <si>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</si>
  <si>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</si>
  <si>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</si>
  <si>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</si>
  <si>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</si>
  <si>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</si>
  <si>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</si>
  <si>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</si>
  <si>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</si>
  <si>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</si>
  <si>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</si>
  <si>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</si>
  <si>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</si>
  <si>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</si>
  <si>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</si>
  <si>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</si>
  <si>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</si>
  <si>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</si>
  <si>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</si>
  <si>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</si>
  <si>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</si>
  <si>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</si>
  <si>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</si>
  <si>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</si>
  <si>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</si>
  <si>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</si>
  <si>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</si>
  <si>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</si>
  <si>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</si>
  <si>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</si>
  <si>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</si>
  <si>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</si>
  <si>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</si>
  <si>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</si>
  <si>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</si>
  <si>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</si>
  <si>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</si>
  <si>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</si>
  <si>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</si>
  <si>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</si>
  <si>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</si>
  <si>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</si>
  <si>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</si>
  <si>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</si>
  <si>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</si>
  <si>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</si>
  <si>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</si>
  <si>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</si>
  <si>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</si>
  <si>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</si>
  <si>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</si>
  <si>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</si>
  <si>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</si>
  <si>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</si>
  <si>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</si>
  <si>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</si>
  <si>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</si>
  <si>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</si>
  <si>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</si>
  <si>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</si>
  <si>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</si>
  <si>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</si>
  <si>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</si>
  <si>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</si>
  <si>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</si>
  <si>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</si>
  <si>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</si>
  <si>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</si>
  <si>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</si>
  <si>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</si>
  <si>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</si>
  <si>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</si>
  <si>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</si>
  <si>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</si>
  <si>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</si>
  <si>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</si>
  <si>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</si>
  <si>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</si>
  <si>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</si>
  <si>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</si>
  <si>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</si>
  <si>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</si>
  <si>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</si>
  <si>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</si>
  <si>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</si>
  <si>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</si>
  <si>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</si>
  <si>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</si>
  <si>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</si>
  <si>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</si>
  <si>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</si>
  <si>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</si>
  <si>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</si>
  <si>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</si>
  <si>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  THE HARI COFFEE ARCHIVE  —  2026</t>
  </si>
  <si>
    <t xml:space="preserve">Master Extraction Archivist  ·  Singapore · Bali · Mumbai · Johor Bahru  ·  Field-audited, three-phase palate record</t>
  </si>
  <si>
    <t xml:space="preserve">  ARCHIVE VITALS  —  live formulas, auto-update with every new entry</t>
  </si>
  <si>
    <t xml:space="preserve">TOTAL ENTRIES</t>
  </si>
  <si>
    <t xml:space="preserve">UNIQUE CAFÉS</t>
  </si>
  <si>
    <t xml:space="preserve">CITIES</t>
  </si>
  <si>
    <t xml:space="preserve">ORIGINS</t>
  </si>
  <si>
    <t xml:space="preserve">⭐ GESHA CUPS</t>
  </si>
  <si>
    <t xml:space="preserve">VARIETALS</t>
  </si>
  <si>
    <t xml:space="preserve">AVG PRICE</t>
  </si>
  <si>
    <t xml:space="preserve">FIRST ENTRY</t>
  </si>
  <si>
    <t xml:space="preserve">LATEST ENTRY</t>
  </si>
  <si>
    <t xml:space="preserve">field-audited cups</t>
  </si>
  <si>
    <t xml:space="preserve">across 4 cities</t>
  </si>
  <si>
    <t xml:space="preserve">SG · Bali · Mumbai · JB</t>
  </si>
  <si>
    <t xml:space="preserve">origin countries</t>
  </si>
  <si>
    <t xml:space="preserve">12% of archive</t>
  </si>
  <si>
    <t xml:space="preserve">unique varieties logged</t>
  </si>
  <si>
    <t xml:space="preserve">SGD per cup</t>
  </si>
  <si>
    <t xml:space="preserve">archive opened</t>
  </si>
  <si>
    <t xml:space="preserve">most recent audit</t>
  </si>
  <si>
    <t xml:space="preserve">  ⭐  GESHA / GEISHA HALL OF FAME  —  The Apex Varietal  ·  All 12 archive cups</t>
  </si>
  <si>
    <t xml:space="preserve">  🏆  TOP CAFÉS BY VISITS  —  59 entries · 33 venues · 4 cities</t>
  </si>
  <si>
    <t xml:space="preserve">#</t>
  </si>
  <si>
    <t xml:space="preserve">Café</t>
  </si>
  <si>
    <t xml:space="preserve">Price</t>
  </si>
  <si>
    <t xml:space="preserve">Visits</t>
  </si>
  <si>
    <t xml:space="preserve">Avg SGD</t>
  </si>
  <si>
    <t xml:space="preserve">Note</t>
  </si>
  <si>
    <t xml:space="preserve">Peru · Cajamarca</t>
  </si>
  <si>
    <t xml:space="preserve">S$11.00</t>
  </si>
  <si>
    <t xml:space="preserve">S$7.83</t>
  </si>
  <si>
    <t xml:space="preserve">⭐ Reliability anchor</t>
  </si>
  <si>
    <t xml:space="preserve">Panama · Boquerón</t>
  </si>
  <si>
    <t xml:space="preserve">S$12.00</t>
  </si>
  <si>
    <t xml:space="preserve">S$12.50</t>
  </si>
  <si>
    <t xml:space="preserve">2 Gesha entries</t>
  </si>
  <si>
    <t xml:space="preserve">Peru · Jaén</t>
  </si>
  <si>
    <t xml:space="preserve">S$11.33</t>
  </si>
  <si>
    <t xml:space="preserve">🏆 Cup of the Year</t>
  </si>
  <si>
    <t xml:space="preserve">Colombia · Huila</t>
  </si>
  <si>
    <t xml:space="preserve">S$14.00</t>
  </si>
  <si>
    <t xml:space="preserve">—</t>
  </si>
  <si>
    <t xml:space="preserve">Archive origin chapter</t>
  </si>
  <si>
    <t xml:space="preserve">Ecuador · Loja</t>
  </si>
  <si>
    <t xml:space="preserve">S$18.00</t>
  </si>
  <si>
    <t xml:space="preserve">S$8.67</t>
  </si>
  <si>
    <t xml:space="preserve">S$15.00</t>
  </si>
  <si>
    <t xml:space="preserve">S$13.00</t>
  </si>
  <si>
    <t xml:space="preserve">S$10.50</t>
  </si>
  <si>
    <t xml:space="preserve">Top barista: Aqil #1</t>
  </si>
  <si>
    <t xml:space="preserve">Colombia · Valle</t>
  </si>
  <si>
    <t xml:space="preserve">S$19.00</t>
  </si>
  <si>
    <t xml:space="preserve">S$14.50</t>
  </si>
  <si>
    <t xml:space="preserve">1 Gesha entry</t>
  </si>
  <si>
    <t xml:space="preserve">S$9.90</t>
  </si>
  <si>
    <t xml:space="preserve">S$9.00</t>
  </si>
  <si>
    <t xml:space="preserve">Panama · Boquete</t>
  </si>
  <si>
    <t xml:space="preserve">S$16.00</t>
  </si>
  <si>
    <t xml:space="preserve">S$21.00</t>
  </si>
  <si>
    <t xml:space="preserve">19% of 59 cups are Gesha/Geisha — the archive's apex varietal. Avg Gesha price S$14.70 vs non-Gesha S$9.59 (+53% premium). Colombia Gesha Process Trilogy ✅ complete: Washed (Fluid), Honey (Keryi+Pinhole), Natural (Homeground+Cowpresso).</t>
  </si>
  <si>
    <t xml:space="preserve">  🍯  PALATE PROCESS FINGERPRINT  —  41% washed dominance signals Clarity &gt; Complexity</t>
  </si>
  <si>
    <t xml:space="preserve">  🌍  ORIGIN INTELLIGENCE  —  18 origins · Colombia leads at 30%</t>
  </si>
  <si>
    <t xml:space="preserve">Cups</t>
  </si>
  <si>
    <t xml:space="preserve">% Archive</t>
  </si>
  <si>
    <t xml:space="preserve">Palate Signal</t>
  </si>
  <si>
    <t xml:space="preserve">Affinity</t>
  </si>
  <si>
    <t xml:space="preserve">Entries</t>
  </si>
  <si>
    <t xml:space="preserve">Gesha?</t>
  </si>
  <si>
    <t xml:space="preserve">Palate fit</t>
  </si>
  <si>
    <t xml:space="preserve">41%</t>
  </si>
  <si>
    <t xml:space="preserve">Malic acid clarity · jasmine lift · clean finish</t>
  </si>
  <si>
    <t xml:space="preserve">★★★★★</t>
  </si>
  <si>
    <t xml:space="preserve">30%</t>
  </si>
  <si>
    <t xml:space="preserve">⭐ ×6</t>
  </si>
  <si>
    <t xml:space="preserve">HIGHEST — malic clarity + Gesha depth</t>
  </si>
  <si>
    <t xml:space="preserve">24%</t>
  </si>
  <si>
    <t xml:space="preserve">Stone fruit · berry complexity · terroir expression</t>
  </si>
  <si>
    <t xml:space="preserve">★★★★</t>
  </si>
  <si>
    <t xml:space="preserve">13%</t>
  </si>
  <si>
    <t xml:space="preserve">HIGH — linalool florals · heirloom terroir</t>
  </si>
  <si>
    <t xml:space="preserve">9%</t>
  </si>
  <si>
    <t xml:space="preserve">Mucilage sweetness bridge · ketone fruit layer</t>
  </si>
  <si>
    <t xml:space="preserve">MED — body + sweetness baseline</t>
  </si>
  <si>
    <t xml:space="preserve">Controlled funk · ester complexity · tropical edge</t>
  </si>
  <si>
    <t xml:space="preserve">★★★</t>
  </si>
  <si>
    <t xml:space="preserve">Indonesia</t>
  </si>
  <si>
    <t xml:space="preserve">7%</t>
  </si>
  <si>
    <t xml:space="preserve">MED — wet-hulled texture study</t>
  </si>
  <si>
    <t xml:space="preserve">Experimental Ferment</t>
  </si>
  <si>
    <t xml:space="preserve">6%</t>
  </si>
  <si>
    <t xml:space="preserve">Edge cases: yeast, mosto, co-ferment</t>
  </si>
  <si>
    <t xml:space="preserve">★★ Exploratory</t>
  </si>
  <si>
    <t xml:space="preserve">⭐ ×1</t>
  </si>
  <si>
    <t xml:space="preserve">MED-HIGH — malic stone fruit</t>
  </si>
  <si>
    <t xml:space="preserve">Wet-Hulled (Giling)</t>
  </si>
  <si>
    <t xml:space="preserve">2%</t>
  </si>
  <si>
    <t xml:space="preserve">Earthy · Indonesian terroir · syrupy body</t>
  </si>
  <si>
    <t xml:space="preserve">★</t>
  </si>
  <si>
    <t xml:space="preserve">⭐ ×2</t>
  </si>
  <si>
    <t xml:space="preserve">HIGH — washed Gesha clarity</t>
  </si>
  <si>
    <t xml:space="preserve">Thermal Shock Anaerobic</t>
  </si>
  <si>
    <t xml:space="preserve">Extreme ester intensity — palate ceiling confirmed</t>
  </si>
  <si>
    <t xml:space="preserve">★ (boundary)</t>
  </si>
  <si>
    <t xml:space="preserve">4%</t>
  </si>
  <si>
    <t xml:space="preserve">HIGH — phosphoric acid · blackcurrant</t>
  </si>
  <si>
    <t xml:space="preserve">Soft lactic creaminess · glycerol body · tropical arc</t>
  </si>
  <si>
    <t xml:space="preserve">Panama</t>
  </si>
  <si>
    <t xml:space="preserve">HIGHEST — Gesha heartland</t>
  </si>
  <si>
    <t xml:space="preserve">Ecuador</t>
  </si>
  <si>
    <t xml:space="preserve">HIGHEST — #1 palate DNA fit (Loja Gesha)</t>
  </si>
  <si>
    <t xml:space="preserve">3%</t>
  </si>
  <si>
    <t xml:space="preserve">HIGH — lactic honey + Pacamara clarity</t>
  </si>
  <si>
    <t xml:space="preserve">  ⚖️  BREW RATIO INTELLIGENCE  —  1:15–1:17 Palate DNA Band  ·  Avg ratio 1:15.7</t>
  </si>
  <si>
    <t xml:space="preserve">  🏅  ARCHIVE HONOURS BOARD  —  Season 2026</t>
  </si>
  <si>
    <t xml:space="preserve">Ratio Band</t>
  </si>
  <si>
    <t xml:space="preserve">In Band?</t>
  </si>
  <si>
    <t xml:space="preserve">Chemistry Note</t>
  </si>
  <si>
    <t xml:space="preserve">Honour</t>
  </si>
  <si>
    <t xml:space="preserve">Holder</t>
  </si>
  <si>
    <t xml:space="preserve">Detail</t>
  </si>
  <si>
    <t xml:space="preserve">&lt;1:13</t>
  </si>
  <si>
    <t xml:space="preserve">1</t>
  </si>
  <si>
    <t xml:space="preserve">⚠️ Edge</t>
  </si>
  <si>
    <t xml:space="preserve">Espresso-style concentrations — not filter</t>
  </si>
  <si>
    <t xml:space="preserve">Fluid Collective — El Obraje Washed Gesha</t>
  </si>
  <si>
    <t xml:space="preserve">S$14 · Colombia · linalool apex · best Gesha in archive</t>
  </si>
  <si>
    <t xml:space="preserve">1:13–1:14</t>
  </si>
  <si>
    <t xml:space="preserve">⚠️ Dense</t>
  </si>
  <si>
    <t xml:space="preserve">Polyphenolic bitterness at cool phase (Entry #055 Double Shot)</t>
  </si>
  <si>
    <t xml:space="preserve">👤 Barista #1 (joint)</t>
  </si>
  <si>
    <t xml:space="preserve">Aqil — Zerah Roasters</t>
  </si>
  <si>
    <t xml:space="preserve">Most knowledgeable &amp; warmest barista engagement</t>
  </si>
  <si>
    <t xml:space="preserve">1:14–1:15</t>
  </si>
  <si>
    <t xml:space="preserve">7</t>
  </si>
  <si>
    <t xml:space="preserve">Compressed aromatic headspace — sucrose underdeveloped vs acid</t>
  </si>
  <si>
    <t xml:space="preserve">Glenda — Abseil</t>
  </si>
  <si>
    <t xml:space="preserve">Technical depth + exceptional hospitality</t>
  </si>
  <si>
    <t xml:space="preserve">1:15–1:17 ✅</t>
  </si>
  <si>
    <t xml:space="preserve">34</t>
  </si>
  <si>
    <t xml:space="preserve">✅ OPTIMAL</t>
  </si>
  <si>
    <t xml:space="preserve">Core extraction philosophy — 58% of logged entries</t>
  </si>
  <si>
    <t xml:space="preserve">📍 Best Discovery</t>
  </si>
  <si>
    <t xml:space="preserve">Oaks Coffee Co. (Day 4 of opening)</t>
  </si>
  <si>
    <t xml:space="preserve">Bolivia Pacamara Lactic Honey · S$9 · 5 archive firsts</t>
  </si>
  <si>
    <t xml:space="preserve">&gt;1:17</t>
  </si>
  <si>
    <t xml:space="preserve">0</t>
  </si>
  <si>
    <t xml:space="preserve">Dilutes acid structure — CGA lactone risk on Naturals</t>
  </si>
  <si>
    <t xml:space="preserve">🧫 Best Process Arc</t>
  </si>
  <si>
    <t xml:space="preserve">Floripondio 90 Hours — Oaks Coffee Co.</t>
  </si>
  <si>
    <t xml:space="preserve">Mango → sugar clarity → nectarine · 3-act thermal arc</t>
  </si>
  <si>
    <t xml:space="preserve">16</t>
  </si>
  <si>
    <t xml:space="preserve">Early entries pre-hardware protocol</t>
  </si>
  <si>
    <t xml:space="preserve">⚗️ Process Trilogy ✅</t>
  </si>
  <si>
    <t xml:space="preserve">Colombia Gesha — Washed/Honey/Natural</t>
  </si>
  <si>
    <t xml:space="preserve">Fluid · Keryi+Pinhole · Homeground+Cowpresso</t>
  </si>
  <si>
    <t xml:space="preserve">🔬 Best Hardware Setup</t>
  </si>
  <si>
    <t xml:space="preserve">Abseil — P64 + CT62</t>
  </si>
  <si>
    <t xml:space="preserve">CT62 engineered conical — 2023 German Design Award</t>
  </si>
  <si>
    <t xml:space="preserve">💰 Best Value</t>
  </si>
  <si>
    <t xml:space="preserve">Gara Agena — Fluid Collective</t>
  </si>
  <si>
    <t xml:space="preserve">S$9 · Special Prep Ethiopian Washed · Hari's #1 list</t>
  </si>
  <si>
    <t xml:space="preserve">⚠️ Palate Boundary</t>
  </si>
  <si>
    <t xml:space="preserve">Finca El Diviso — Oaks Coffee Co.</t>
  </si>
  <si>
    <t xml:space="preserve">Thermal Shock Anaerobic — intensity ceiling confirmed</t>
  </si>
  <si>
    <t xml:space="preserve">  📖  THE ARCHIVE THESIS</t>
  </si>
  <si>
    <t xml:space="preserve">CLARITY OVER COMPLEXITY. Fifty-nine cups. Thirty-three cafés. Four cities. One palate decoded across three thermal phases per cup. 41% of all entries are Washed process — the highest-clarity, lowest-interference processing method available. The palate responds strongest to malic acid (stone fruit, nectarine, mandarin orange) and linalool esters (jasmine, bergamot, honeysuckle). Gesha/Geisha accounts for 20% of all cups and commands a 53% price premium over non-Gesha — both paid willingly and without regret. Flat-bottom geometry is the preferred brewer architecture; the P64 and P80 flat burr platforms are the extraction engines of choice. The archive is not a random tasting record. It is a calibrated instrument — a longitudinal study of a single palate in pursuit of clarity.</t>
  </si>
  <si>
    <t xml:space="preserve">🧬  PALATE DNA FINGERPRINT</t>
  </si>
  <si>
    <t xml:space="preserve">What 59 cups reveal about one palate — malic acid · linalool · flat-bottom geometry · washed clarity</t>
  </si>
  <si>
    <t xml:space="preserve">  📖  THE PALATE THESIS</t>
  </si>
  <si>
    <t xml:space="preserve">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</si>
  <si>
    <t xml:space="preserve">  🍯  PROCESS PREFERENCE SPECTRUM  —  Clarity dominates across 59 entries</t>
  </si>
  <si>
    <t xml:space="preserve">  🌡️  TEMPERATURE PROTOCOLS  —  88–93°C sweet spot</t>
  </si>
  <si>
    <t xml:space="preserve">%</t>
  </si>
  <si>
    <t xml:space="preserve">Protocol</t>
  </si>
  <si>
    <t xml:space="preserve">Context</t>
  </si>
  <si>
    <t xml:space="preserve">22</t>
  </si>
  <si>
    <t xml:space="preserve">Malic acid clarity · jasmine lift · clean thermal arcs</t>
  </si>
  <si>
    <t xml:space="preserve">★★★★★ Primary</t>
  </si>
  <si>
    <t xml:space="preserve">85–89°C</t>
  </si>
  <si>
    <t xml:space="preserve">Delicate / Nordic style — Abseil 88°C constant for LAB ester preservation</t>
  </si>
  <si>
    <t xml:space="preserve">12</t>
  </si>
  <si>
    <t xml:space="preserve">Stone fruit · berry complexity · terroir depth</t>
  </si>
  <si>
    <t xml:space="preserve">★★★★ Secondary</t>
  </si>
  <si>
    <t xml:space="preserve">90–91°C</t>
  </si>
  <si>
    <t xml:space="preserve">9</t>
  </si>
  <si>
    <t xml:space="preserve">Clean balanced extraction — Keryi descending protocol</t>
  </si>
  <si>
    <t xml:space="preserve">4</t>
  </si>
  <si>
    <t xml:space="preserve">★★★★ Bridge</t>
  </si>
  <si>
    <t xml:space="preserve">92–94°C ⭐</t>
  </si>
  <si>
    <t xml:space="preserve">Sweet spot — dominant single-temp protocol in Singapore cafés</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</si>
  <si>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</si>
  <si>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</si>
  <si>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</si>
  <si>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</si>
  <si>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</si>
  <si>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Yeast / mosto / co-ferment — frontier zone</t>
  </si>
  <si>
    <t xml:space="preserve">70→90→70°C 🏆</t>
  </si>
  <si>
    <t xml:space="preserve">Fluid Collective signature oscillation — highest-rated cups in archive</t>
  </si>
  <si>
    <t xml:space="preserve">Soft lactic body · glycerol · creamy mouthfeel</t>
  </si>
  <si>
    <t xml:space="preserve">★★★ Discovery</t>
  </si>
  <si>
    <t xml:space="preserve">90→70°C (descending)</t>
  </si>
  <si>
    <t xml:space="preserve">Keryi / Pinhole / Double Shot — terpene preservation on honey/gesha</t>
  </si>
  <si>
    <t xml:space="preserve">Intensity ceiling confirmed at Entry #059</t>
  </si>
  <si>
    <t xml:space="preserve">★ Boundary</t>
  </si>
  <si>
    <t xml:space="preserve">80→95→80°C</t>
  </si>
  <si>
    <t xml:space="preserve">Kurasu Frinsa — honey process mucilage management</t>
  </si>
  <si>
    <t xml:space="preserve">Indonesian terroir · syrupy body · one-off</t>
  </si>
  <si>
    <t xml:space="preserve">★ Reference</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</si>
  <si>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</si>
  <si>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</si>
  <si>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</si>
  <si>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</si>
  <si>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</si>
  <si>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</si>
  <si>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</si>
  <si>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</si>
  <si>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</si>
  <si>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Washed ⭐</t>
  </si>
  <si>
    <t xml:space="preserve">Fluid Collective (El Obraje)</t>
  </si>
  <si>
    <t xml:space="preserve">Mango · Orange Blossom · Nectarine · Honey — linalool apex</t>
  </si>
  <si>
    <t xml:space="preserve">CUP OF THE YEAR</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</si>
  <si>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</si>
  <si>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</si>
  <si>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</si>
  <si>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</si>
  <si>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</si>
  <si>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</si>
  <si>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</si>
  <si>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</si>
  <si>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</si>
  <si>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Aromatic headspace compressed vs optimal</t>
  </si>
  <si>
    <t xml:space="preserve">Homeground (Inmaculada Estate)</t>
  </si>
  <si>
    <t xml:space="preserve">Hibiscus · Pomegranate · Darjeeling Tea — relaxing depth</t>
  </si>
  <si>
    <t xml:space="preserve">Core extraction philosophy — 58% of all logged entries</t>
  </si>
  <si>
    <t xml:space="preserve">Cowpresso (Las Nubes)</t>
  </si>
  <si>
    <t xml:space="preserve">Lychee · Berry · Tropical — aggressive Natural expression</t>
  </si>
  <si>
    <t xml:space="preserve">GOOD</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</si>
  <si>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</si>
  <si>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</si>
  <si>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</si>
  <si>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</si>
  <si>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Where the archive has travelled — 18 origins · Colombia leads at 30% · 12 Gesha entries across 6 countries</t>
  </si>
  <si>
    <t xml:space="preserve">  🗺️  ORIGIN LEAGUE TABLE  —  live formula, auto-updates with new entries</t>
  </si>
  <si>
    <t xml:space="preserve">  ⭐  GESHA REGISTER  —  The Apex Varietal · 12 archive entries</t>
  </si>
  <si>
    <t xml:space="preserve">Share</t>
  </si>
  <si>
    <t xml:space="preserve">Palate DNA Fit</t>
  </si>
  <si>
    <t xml:space="preserve">Metric</t>
  </si>
  <si>
    <t xml:space="preserve">Value</t>
  </si>
  <si>
    <t xml:space="preserve">HIGHEST — malic + Gesha depth</t>
  </si>
  <si>
    <t xml:space="preserve">Total Gesha/Geisha entries</t>
  </si>
  <si>
    <t xml:space="preserve">Washed Gesha</t>
  </si>
  <si>
    <t xml:space="preserve">MED — body · Maillard sweetness baseline</t>
  </si>
  <si>
    <t xml:space="preserve">Honey Gesha</t>
  </si>
  <si>
    <t xml:space="preserve">HIGH — malic stone fruit · clean finish</t>
  </si>
  <si>
    <t xml:space="preserve">Natural Gesha</t>
  </si>
  <si>
    <t xml:space="preserve">Avg Gesha price (SGD)</t>
  </si>
  <si>
    <t xml:space="preserve">S$14.70</t>
  </si>
  <si>
    <t xml:space="preserve">HIGH — washed Gesha clarity (Wilder Garcia)</t>
  </si>
  <si>
    <t xml:space="preserve">Avg non-Gesha price (SGD)</t>
  </si>
  <si>
    <t xml:space="preserve">S$9.59</t>
  </si>
  <si>
    <t xml:space="preserve">HIGH — phosphoric acid · blackcurrant benchmark</t>
  </si>
  <si>
    <t xml:space="preserve">Gesha price premium</t>
  </si>
  <si>
    <t xml:space="preserve">+53%</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</si>
  <si>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</si>
  <si>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</si>
  <si>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</si>
  <si>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</si>
  <si>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</si>
  <si>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S$21 — El Sauce (Abseil)</t>
  </si>
  <si>
    <t xml:space="preserve">HIGH — Lactic Honey Pacamara · new frontier</t>
  </si>
  <si>
    <t xml:space="preserve">Best-value Gesha</t>
  </si>
  <si>
    <t xml:space="preserve">S$9.90 — Las Nubes (Cowpresso)</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</si>
  <si>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</si>
  <si>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</si>
  <si>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</si>
  <si>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</si>
  <si>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</si>
  <si>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</si>
  <si>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</si>
  <si>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</si>
  <si>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</si>
  <si>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</si>
  <si>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</si>
  <si>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</si>
  <si>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  🎯  VARIETAL TARGET REGISTER  —  what's been captured &amp; what remains</t>
  </si>
  <si>
    <t xml:space="preserve">Archive Entry</t>
  </si>
  <si>
    <t xml:space="preserve">Process Encountered</t>
  </si>
  <si>
    <t xml:space="preserve">Gesha/Geisha</t>
  </si>
  <si>
    <t xml:space="preserve">✅ CAPTURED</t>
  </si>
  <si>
    <t xml:space="preserve">Multiple — Entry #017 onward</t>
  </si>
  <si>
    <t xml:space="preserve">Washed · Honey · Natural · Anaerobic Washed</t>
  </si>
  <si>
    <t xml:space="preserve">Apex varietal · 12 entries</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</si>
  <si>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</si>
  <si>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</si>
  <si>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</si>
  <si>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</si>
  <si>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</si>
  <si>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</si>
  <si>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</si>
  <si>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</si>
  <si>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</si>
  <si>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</si>
  <si>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</si>
  <si>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</si>
  <si>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</si>
  <si>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</si>
  <si>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</si>
  <si>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</si>
  <si>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</si>
  <si>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</si>
  <si>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</si>
  <si>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</si>
  <si>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</si>
  <si>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</si>
  <si>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</si>
  <si>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</si>
  <si>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</si>
  <si>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</si>
  <si>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</si>
  <si>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</si>
  <si>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</si>
  <si>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</si>
  <si>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</si>
  <si>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Flat burrs · flat beds · the physics of clarity  ·  precision instruments for a precision palate</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</si>
  <si>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</si>
  <si>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</si>
  <si>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</si>
  <si>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</si>
  <si>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</si>
  <si>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</si>
  <si>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2</t>
  </si>
  <si>
    <t xml:space="preserve">80mm flat</t>
  </si>
  <si>
    <t xml:space="preserve">First P80 in archive — Entry #049 Oaks. Unimodal PSD on oversized Pacamara beans.</t>
  </si>
  <si>
    <t xml:space="preserve">Oaks Coffee Co. ×2</t>
  </si>
  <si>
    <t xml:space="preserve">8</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</si>
  <si>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</si>
  <si>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</si>
  <si>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</si>
  <si>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</si>
  <si>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</si>
  <si>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</si>
  <si>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</si>
  <si>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</si>
  <si>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</si>
  <si>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</si>
  <si>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</si>
  <si>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</si>
  <si>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</si>
  <si>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</si>
  <si>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</si>
  <si>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</si>
  <si>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</si>
  <si>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</si>
  <si>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</si>
  <si>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</si>
  <si>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</si>
  <si>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</si>
  <si>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</si>
  <si>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</si>
  <si>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</si>
  <si>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</si>
  <si>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</si>
  <si>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</si>
  <si>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</si>
  <si>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</si>
  <si>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</si>
  <si>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</si>
  <si>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28</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</si>
  <si>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</si>
  <si>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</si>
  <si>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</si>
  <si>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</si>
  <si>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</si>
  <si>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</si>
  <si>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</si>
  <si>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</si>
  <si>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</si>
  <si>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</si>
  <si>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</si>
  <si>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</si>
  <si>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5</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</si>
  <si>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</si>
  <si>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</si>
  <si>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</si>
  <si>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</si>
  <si>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</si>
  <si>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  📜  SIX EXTRACTION LAWS  —  empirically proven across 59 field audits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</si>
  <si>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</si>
  <si>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</si>
  <si>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</si>
  <si>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</si>
  <si>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</si>
  <si>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</si>
  <si>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  CAFÉ DIRECTORY  —  33 VENUES · 4 CITIES</t>
  </si>
  <si>
    <t xml:space="preserve">Live-verified July 2026  ·  SuperGrok · ChatGPT · Gemini · direct observation  ·  four-tier confidence rating</t>
  </si>
  <si>
    <t xml:space="preserve">  🌏  CITY COVERAGE OVERVIEW</t>
  </si>
  <si>
    <t xml:space="preserve">Cafés</t>
  </si>
  <si>
    <t xml:space="preserve">Coverage</t>
  </si>
  <si>
    <t xml:space="preserve">Character</t>
  </si>
  <si>
    <t xml:space="preserve">31</t>
  </si>
  <si>
    <t xml:space="preserve">94%</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</si>
  <si>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</si>
  <si>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</si>
  <si>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</si>
  <si>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</si>
  <si>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33 venues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</si>
  <si>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</si>
  <si>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</si>
  <si>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</si>
  <si>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</si>
  <si>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</si>
  <si>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</si>
  <si>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</si>
  <si>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</si>
  <si>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</si>
  <si>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</si>
  <si>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</si>
  <si>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</si>
  <si>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</si>
  <si>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</si>
  <si>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</si>
  <si>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</si>
  <si>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</si>
  <si>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</si>
  <si>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</si>
  <si>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#1</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</si>
  <si>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</si>
  <si>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</si>
  <si>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</si>
  <si>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</si>
  <si>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</si>
  <si>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</si>
  <si>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</si>
  <si>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#1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</si>
  <si>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</si>
  <si>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</si>
  <si>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</si>
  <si>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</si>
  <si>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</si>
  <si>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</si>
  <si>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</si>
  <si>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</si>
  <si>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</si>
  <si>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</si>
  <si>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</si>
  <si>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</si>
  <si>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</si>
  <si>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</si>
  <si>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</si>
  <si>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</si>
  <si>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</si>
  <si>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</si>
  <si>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</si>
  <si>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Jalan Riang, Singapore (weekends only)</t>
  </si>
  <si>
    <t xml:space="preserve">Roastery branch · weekends only</t>
  </si>
  <si>
    <t xml:space="preserve">161 Lavender Street, #01-08, S338750</t>
  </si>
  <si>
    <t xml:space="preserve">@keryicoffee</t>
  </si>
  <si>
    <t xml:space="preserve">keryicoffee.com</t>
  </si>
  <si>
    <t xml:space="preserve">Closed Fri for production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</si>
  <si>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</si>
  <si>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</si>
  <si>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</si>
  <si>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</si>
  <si>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</si>
  <si>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</si>
  <si>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</si>
  <si>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</si>
  <si>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</si>
  <si>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</si>
  <si>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</si>
  <si>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</si>
  <si>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Equate Coffee</t>
  </si>
  <si>
    <t xml:space="preserve">1 Tanjong Pagar Plaza, #02-25, S082001</t>
  </si>
  <si>
    <t xml:space="preserve">@equatecoffee</t>
  </si>
  <si>
    <t xml:space="preserve">equate.sg</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</si>
  <si>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</si>
  <si>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</si>
  <si>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</si>
  <si>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</si>
  <si>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</si>
  <si>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@alchemist.global</t>
  </si>
  <si>
    <t xml:space="preserve">alchemist.global</t>
  </si>
  <si>
    <t xml:space="preserve">Laurina Anaerobic entry</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</si>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</sst>
</file>

<file path=xl/styles.xml><?xml version="1.0" encoding="utf-8"?>
<styleSheet xmlns="http://schemas.openxmlformats.org/spreadsheetml/2006/main">
  <numFmts count="4">
    <numFmt numFmtId="164" formatCode="General"/>
    <numFmt numFmtId="165" formatCode="yyyy\-mm\-dd"/>
    <numFmt numFmtId="166" formatCode="&quot;S$&quot;0.00"/>
    <numFmt numFmtId="167" formatCode="General"/>
  </numFmts>
  <fonts count="23">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b val="true"/>
      <sz val="18"/>
      <color rgb="FFFDF8EE"/>
      <name val="Calibri"/>
      <family val="0"/>
      <charset val="1"/>
    </font>
    <font>
      <i val="true"/>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i val="true"/>
      <sz val="7"/>
      <color rgb="FFCCB48A"/>
      <name val="Calibri"/>
      <family val="0"/>
      <charset val="1"/>
    </font>
    <font>
      <b val="true"/>
      <sz val="8"/>
      <color rgb="FF2D1F0F"/>
      <name val="Calibri"/>
      <family val="0"/>
      <charset val="1"/>
    </font>
    <font>
      <i val="true"/>
      <sz val="7.5"/>
      <color rgb="FF2D1F0F"/>
      <name val="Calibri"/>
      <family val="0"/>
      <charset val="1"/>
    </font>
    <font>
      <i val="true"/>
      <sz val="9"/>
      <color rgb="FF2D1F0F"/>
      <name val="Calibri"/>
      <family val="0"/>
      <charset val="1"/>
    </font>
    <font>
      <b val="true"/>
      <sz val="8.5"/>
      <color rgb="FF2D1F0F"/>
      <name val="Calibri"/>
      <family val="0"/>
      <charset val="1"/>
    </font>
    <font>
      <sz val="8.5"/>
      <color rgb="FF2D1F0F"/>
      <name val="Calibri"/>
      <family val="0"/>
      <charset val="1"/>
    </font>
    <font>
      <b val="true"/>
      <sz val="7.5"/>
      <color rgb="FF2D1F0F"/>
      <name val="Calibri"/>
      <family val="0"/>
      <charset val="1"/>
    </font>
    <font>
      <sz val="7.5"/>
      <color rgb="FF2D1F0F"/>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4">
    <fill>
      <patternFill patternType="none"/>
    </fill>
    <fill>
      <patternFill patternType="gray125"/>
    </fill>
    <fill>
      <patternFill patternType="solid">
        <fgColor rgb="FF1A0F00"/>
        <bgColor rgb="FF2D1F0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DE0FF"/>
        <bgColor rgb="FFE8D5FF"/>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4">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color rgb="FF9E8060"/>
      </left>
      <right/>
      <top style="thin">
        <color rgb="FF9E8060"/>
      </top>
      <bottom style="thin">
        <color rgb="FF9E8060"/>
      </bottom>
      <diagonal/>
    </border>
    <border diagonalUp="false" diagonalDown="false">
      <left style="medium">
        <color rgb="FF6B4428"/>
      </left>
      <right/>
      <top style="medium">
        <color rgb="FF6B442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7" fontId="11"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4" fillId="7" borderId="2" xfId="0" applyFont="true" applyBorder="true" applyAlignment="true" applyProtection="false">
      <alignment horizontal="general" vertical="top" textRotation="0" wrapText="true" indent="0" shrinkToFit="false"/>
      <protection locked="true" hidden="false"/>
    </xf>
    <xf numFmtId="164" fontId="15" fillId="7" borderId="3" xfId="0" applyFont="true" applyBorder="true" applyAlignment="true" applyProtection="false">
      <alignment horizontal="general" vertical="top" textRotation="0" wrapText="true" indent="0" shrinkToFit="false"/>
      <protection locked="true" hidden="false"/>
    </xf>
    <xf numFmtId="167" fontId="5" fillId="8"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3"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3"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3"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16" fillId="7" borderId="2" xfId="0" applyFont="true" applyBorder="true" applyAlignment="true" applyProtection="false">
      <alignment horizontal="general" vertical="top" textRotation="0" wrapText="true" indent="0" shrinkToFit="false"/>
      <protection locked="true" hidden="false"/>
    </xf>
    <xf numFmtId="164" fontId="17" fillId="6" borderId="2" xfId="0" applyFont="true" applyBorder="true" applyAlignment="true" applyProtection="false">
      <alignment horizontal="general" vertical="top" textRotation="0" wrapText="true" indent="0" shrinkToFit="false"/>
      <protection locked="true" hidden="false"/>
    </xf>
    <xf numFmtId="164" fontId="17" fillId="7" borderId="2" xfId="0" applyFont="true" applyBorder="true" applyAlignment="true" applyProtection="false">
      <alignment horizontal="general" vertical="top" textRotation="0" wrapText="true" indent="0" shrinkToFit="false"/>
      <protection locked="true" hidden="false"/>
    </xf>
    <xf numFmtId="164" fontId="18" fillId="5" borderId="1" xfId="0" applyFont="true" applyBorder="true" applyAlignment="true" applyProtection="false">
      <alignment horizontal="general" vertical="top" textRotation="0" wrapText="true" indent="0" shrinkToFit="false"/>
      <protection locked="true" hidden="false"/>
    </xf>
    <xf numFmtId="164" fontId="19" fillId="5" borderId="1" xfId="0" applyFont="true" applyBorder="true" applyAlignment="true" applyProtection="false">
      <alignment horizontal="general" vertical="top" textRotation="0" wrapText="true" indent="0" shrinkToFit="false"/>
      <protection locked="true" hidden="false"/>
    </xf>
    <xf numFmtId="164" fontId="18" fillId="6" borderId="1" xfId="0" applyFont="true" applyBorder="true" applyAlignment="true" applyProtection="false">
      <alignment horizontal="general" vertical="top" textRotation="0" wrapText="true" indent="0" shrinkToFit="false"/>
      <protection locked="true" hidden="false"/>
    </xf>
    <xf numFmtId="164" fontId="19" fillId="6" borderId="1" xfId="0" applyFont="true" applyBorder="true" applyAlignment="true" applyProtection="false">
      <alignment horizontal="general" vertical="top"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19" fillId="10" borderId="1" xfId="0" applyFont="true" applyBorder="true" applyAlignment="true" applyProtection="false">
      <alignment horizontal="general" vertical="top" textRotation="0" wrapText="true" indent="0" shrinkToFit="false"/>
      <protection locked="true" hidden="false"/>
    </xf>
    <xf numFmtId="164" fontId="18" fillId="12" borderId="1" xfId="0" applyFont="true" applyBorder="true" applyAlignment="true" applyProtection="false">
      <alignment horizontal="general" vertical="top" textRotation="0" wrapText="true" indent="0" shrinkToFit="false"/>
      <protection locked="true" hidden="false"/>
    </xf>
    <xf numFmtId="164" fontId="19" fillId="12" borderId="1" xfId="0" applyFont="true" applyBorder="true" applyAlignment="true" applyProtection="false">
      <alignment horizontal="general" vertical="top" textRotation="0" wrapText="tru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0" fillId="7" borderId="2" xfId="0" applyFont="true" applyBorder="true" applyAlignment="true" applyProtection="false">
      <alignment horizontal="general" vertical="top" textRotation="0" wrapText="true" indent="0" shrinkToFit="false"/>
      <protection locked="true" hidden="false"/>
    </xf>
    <xf numFmtId="164" fontId="20" fillId="6" borderId="2"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W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ustomFormat="false" ht="20.25" hidden="false" customHeight="true" outlineLevel="0" collapsed="false">
      <c r="A2" s="3" t="n">
        <v>46025</v>
      </c>
      <c r="B2" s="4" t="s">
        <v>23</v>
      </c>
      <c r="C2" s="4" t="s">
        <v>24</v>
      </c>
      <c r="D2" s="4" t="s">
        <v>25</v>
      </c>
      <c r="E2" s="4" t="s">
        <v>26</v>
      </c>
      <c r="F2" s="4" t="s">
        <v>27</v>
      </c>
      <c r="G2" s="4" t="s">
        <v>26</v>
      </c>
      <c r="H2" s="4" t="s">
        <v>28</v>
      </c>
      <c r="I2" s="4" t="s">
        <v>29</v>
      </c>
      <c r="J2" s="4" t="s">
        <v>30</v>
      </c>
      <c r="K2" s="4" t="s">
        <v>26</v>
      </c>
      <c r="L2" s="4" t="s">
        <v>26</v>
      </c>
      <c r="M2" s="4" t="s">
        <v>26</v>
      </c>
      <c r="N2" s="4" t="s">
        <v>26</v>
      </c>
      <c r="O2" s="4" t="s">
        <v>26</v>
      </c>
      <c r="P2" s="4" t="s">
        <v>26</v>
      </c>
      <c r="Q2" s="4" t="s">
        <v>26</v>
      </c>
      <c r="R2" s="4" t="s">
        <v>31</v>
      </c>
      <c r="S2" s="4" t="s">
        <v>32</v>
      </c>
      <c r="T2" s="4" t="s">
        <v>33</v>
      </c>
      <c r="U2" s="4" t="s">
        <v>34</v>
      </c>
      <c r="V2" s="4" t="s">
        <v>35</v>
      </c>
      <c r="W2" s="5" t="str">
        <f aca="false">IF(OR(ISNUMBER(SEARCH("gesha",G2)),ISNUMBER(SEARCH("geisha",G2))),"⭐ GESHA","")</f>
        <v/>
      </c>
    </row>
    <row r="3" customFormat="false" ht="20.25" hidden="false" customHeight="true" outlineLevel="0" collapsed="false">
      <c r="A3" s="3" t="n">
        <v>46026</v>
      </c>
      <c r="B3" s="4" t="s">
        <v>23</v>
      </c>
      <c r="C3" s="4" t="s">
        <v>24</v>
      </c>
      <c r="D3" s="4" t="s">
        <v>36</v>
      </c>
      <c r="E3" s="4" t="s">
        <v>26</v>
      </c>
      <c r="F3" s="4" t="s">
        <v>37</v>
      </c>
      <c r="G3" s="4" t="s">
        <v>26</v>
      </c>
      <c r="H3" s="4" t="s">
        <v>38</v>
      </c>
      <c r="I3" s="4" t="s">
        <v>39</v>
      </c>
      <c r="J3" s="4" t="s">
        <v>40</v>
      </c>
      <c r="K3" s="4" t="s">
        <v>26</v>
      </c>
      <c r="L3" s="4" t="s">
        <v>26</v>
      </c>
      <c r="M3" s="4" t="s">
        <v>26</v>
      </c>
      <c r="N3" s="4" t="s">
        <v>26</v>
      </c>
      <c r="O3" s="4" t="s">
        <v>26</v>
      </c>
      <c r="P3" s="4" t="s">
        <v>26</v>
      </c>
      <c r="Q3" s="4" t="s">
        <v>26</v>
      </c>
      <c r="R3" s="4" t="s">
        <v>41</v>
      </c>
      <c r="S3" s="4" t="s">
        <v>42</v>
      </c>
      <c r="T3" s="4" t="s">
        <v>43</v>
      </c>
      <c r="U3" s="4" t="s">
        <v>34</v>
      </c>
      <c r="V3" s="4" t="s">
        <v>35</v>
      </c>
      <c r="W3" s="5" t="str">
        <f aca="false">IF(OR(ISNUMBER(SEARCH("gesha",G3)),ISNUMBER(SEARCH("geisha",G3))),"⭐ GESHA","")</f>
        <v/>
      </c>
    </row>
    <row r="4" customFormat="false" ht="20.25" hidden="false" customHeight="true" outlineLevel="0" collapsed="false">
      <c r="A4" s="3" t="n">
        <v>46026</v>
      </c>
      <c r="B4" s="4" t="s">
        <v>23</v>
      </c>
      <c r="C4" s="4" t="s">
        <v>24</v>
      </c>
      <c r="D4" s="4" t="s">
        <v>44</v>
      </c>
      <c r="E4" s="4" t="s">
        <v>26</v>
      </c>
      <c r="F4" s="4" t="s">
        <v>26</v>
      </c>
      <c r="G4" s="4" t="s">
        <v>26</v>
      </c>
      <c r="H4" s="4" t="s">
        <v>26</v>
      </c>
      <c r="I4" s="4" t="s">
        <v>45</v>
      </c>
      <c r="J4" s="4" t="s">
        <v>46</v>
      </c>
      <c r="K4" s="4" t="s">
        <v>26</v>
      </c>
      <c r="L4" s="4" t="s">
        <v>26</v>
      </c>
      <c r="M4" s="4" t="s">
        <v>26</v>
      </c>
      <c r="N4" s="4" t="s">
        <v>26</v>
      </c>
      <c r="O4" s="4" t="s">
        <v>26</v>
      </c>
      <c r="P4" s="4" t="s">
        <v>26</v>
      </c>
      <c r="Q4" s="4" t="s">
        <v>26</v>
      </c>
      <c r="R4" s="4" t="s">
        <v>47</v>
      </c>
      <c r="S4" s="4" t="s">
        <v>48</v>
      </c>
      <c r="T4" s="4" t="s">
        <v>49</v>
      </c>
      <c r="U4" s="4" t="s">
        <v>34</v>
      </c>
      <c r="V4" s="4" t="s">
        <v>35</v>
      </c>
      <c r="W4" s="5" t="str">
        <f aca="false">IF(OR(ISNUMBER(SEARCH("gesha",G4)),ISNUMBER(SEARCH("geisha",G4))),"⭐ GESHA","")</f>
        <v/>
      </c>
    </row>
    <row r="5" customFormat="false" ht="69" hidden="false" customHeight="true" outlineLevel="0" collapsed="false">
      <c r="A5" s="3" t="n">
        <v>46063</v>
      </c>
      <c r="B5" s="4" t="s">
        <v>50</v>
      </c>
      <c r="C5" s="4" t="s">
        <v>51</v>
      </c>
      <c r="D5" s="4" t="s">
        <v>52</v>
      </c>
      <c r="E5" s="4" t="s">
        <v>53</v>
      </c>
      <c r="F5" s="4" t="s">
        <v>54</v>
      </c>
      <c r="G5" s="4" t="s">
        <v>55</v>
      </c>
      <c r="H5" s="4" t="s">
        <v>56</v>
      </c>
      <c r="I5" s="4" t="s">
        <v>26</v>
      </c>
      <c r="J5" s="4" t="s">
        <v>57</v>
      </c>
      <c r="K5" s="4" t="n">
        <v>15</v>
      </c>
      <c r="L5" s="4" t="n">
        <v>240</v>
      </c>
      <c r="M5" s="4" t="s">
        <v>58</v>
      </c>
      <c r="N5" s="4" t="s">
        <v>59</v>
      </c>
      <c r="O5" s="4" t="s">
        <v>26</v>
      </c>
      <c r="P5" s="4" t="s">
        <v>60</v>
      </c>
      <c r="Q5" s="6" t="n">
        <v>8</v>
      </c>
      <c r="R5" s="4" t="s">
        <v>61</v>
      </c>
      <c r="S5" s="4" t="s">
        <v>62</v>
      </c>
      <c r="T5" s="4" t="s">
        <v>63</v>
      </c>
      <c r="U5" s="4" t="s">
        <v>64</v>
      </c>
      <c r="V5" s="4" t="s">
        <v>65</v>
      </c>
      <c r="W5" s="5" t="str">
        <f aca="false">IF(OR(ISNUMBER(SEARCH("gesha",G5)),ISNUMBER(SEARCH("geisha",G5))),"⭐ GESHA","")</f>
        <v/>
      </c>
    </row>
    <row r="6" customFormat="false" ht="20.25" hidden="false" customHeight="true" outlineLevel="0" collapsed="false">
      <c r="A6" s="3" t="n">
        <v>46082</v>
      </c>
      <c r="B6" s="4" t="s">
        <v>66</v>
      </c>
      <c r="C6" s="4" t="s">
        <v>67</v>
      </c>
      <c r="D6" s="4" t="s">
        <v>68</v>
      </c>
      <c r="E6" s="4" t="s">
        <v>69</v>
      </c>
      <c r="F6" s="4" t="s">
        <v>70</v>
      </c>
      <c r="G6" s="4" t="s">
        <v>26</v>
      </c>
      <c r="H6" s="4" t="s">
        <v>71</v>
      </c>
      <c r="I6" s="4" t="s">
        <v>72</v>
      </c>
      <c r="J6" s="4" t="s">
        <v>30</v>
      </c>
      <c r="K6" s="4" t="s">
        <v>26</v>
      </c>
      <c r="L6" s="4" t="s">
        <v>26</v>
      </c>
      <c r="M6" s="4" t="s">
        <v>26</v>
      </c>
      <c r="N6" s="4" t="s">
        <v>26</v>
      </c>
      <c r="O6" s="4" t="s">
        <v>26</v>
      </c>
      <c r="P6" s="4" t="s">
        <v>26</v>
      </c>
      <c r="Q6" s="4" t="s">
        <v>26</v>
      </c>
      <c r="R6" s="4" t="s">
        <v>26</v>
      </c>
      <c r="S6" s="4" t="s">
        <v>73</v>
      </c>
      <c r="T6" s="4" t="s">
        <v>74</v>
      </c>
      <c r="U6" s="4" t="s">
        <v>75</v>
      </c>
      <c r="V6" s="4" t="s">
        <v>35</v>
      </c>
      <c r="W6" s="5" t="str">
        <f aca="false">IF(OR(ISNUMBER(SEARCH("gesha",G6)),ISNUMBER(SEARCH("geisha",G6))),"⭐ GESHA","")</f>
        <v/>
      </c>
    </row>
    <row r="7" customFormat="false" ht="20.25" hidden="false" customHeight="true" outlineLevel="0" collapsed="false">
      <c r="A7" s="3" t="n">
        <v>46089</v>
      </c>
      <c r="B7" s="4" t="s">
        <v>66</v>
      </c>
      <c r="C7" s="4" t="s">
        <v>76</v>
      </c>
      <c r="D7" s="4" t="s">
        <v>77</v>
      </c>
      <c r="E7" s="4" t="s">
        <v>78</v>
      </c>
      <c r="F7" s="4" t="s">
        <v>70</v>
      </c>
      <c r="G7" s="4" t="s">
        <v>26</v>
      </c>
      <c r="H7" s="4" t="s">
        <v>79</v>
      </c>
      <c r="I7" s="4" t="s">
        <v>39</v>
      </c>
      <c r="J7" s="4" t="s">
        <v>30</v>
      </c>
      <c r="K7" s="4" t="s">
        <v>26</v>
      </c>
      <c r="L7" s="4" t="s">
        <v>26</v>
      </c>
      <c r="M7" s="4" t="s">
        <v>26</v>
      </c>
      <c r="N7" s="4" t="s">
        <v>26</v>
      </c>
      <c r="O7" s="4" t="s">
        <v>26</v>
      </c>
      <c r="P7" s="4" t="s">
        <v>26</v>
      </c>
      <c r="Q7" s="4" t="s">
        <v>26</v>
      </c>
      <c r="R7" s="4" t="s">
        <v>80</v>
      </c>
      <c r="S7" s="4" t="s">
        <v>81</v>
      </c>
      <c r="T7" s="4" t="s">
        <v>82</v>
      </c>
      <c r="U7" s="4" t="s">
        <v>75</v>
      </c>
      <c r="V7" s="4" t="s">
        <v>35</v>
      </c>
      <c r="W7" s="5" t="str">
        <f aca="false">IF(OR(ISNUMBER(SEARCH("gesha",G7)),ISNUMBER(SEARCH("geisha",G7))),"⭐ GESHA","")</f>
        <v/>
      </c>
    </row>
    <row r="8" customFormat="false" ht="20.25" hidden="false" customHeight="true" outlineLevel="0" collapsed="false">
      <c r="A8" s="3" t="n">
        <v>46099</v>
      </c>
      <c r="B8" s="4" t="s">
        <v>50</v>
      </c>
      <c r="C8" s="4" t="s">
        <v>83</v>
      </c>
      <c r="D8" s="4" t="s">
        <v>84</v>
      </c>
      <c r="E8" s="4" t="s">
        <v>26</v>
      </c>
      <c r="F8" s="4" t="s">
        <v>85</v>
      </c>
      <c r="G8" s="4" t="s">
        <v>86</v>
      </c>
      <c r="H8" s="4" t="s">
        <v>28</v>
      </c>
      <c r="I8" s="4" t="s">
        <v>29</v>
      </c>
      <c r="J8" s="4" t="s">
        <v>40</v>
      </c>
      <c r="K8" s="4" t="s">
        <v>26</v>
      </c>
      <c r="L8" s="4" t="s">
        <v>26</v>
      </c>
      <c r="M8" s="4" t="s">
        <v>26</v>
      </c>
      <c r="N8" s="4" t="s">
        <v>26</v>
      </c>
      <c r="O8" s="4" t="s">
        <v>26</v>
      </c>
      <c r="P8" s="4" t="s">
        <v>26</v>
      </c>
      <c r="Q8" s="4" t="s">
        <v>26</v>
      </c>
      <c r="R8" s="4" t="s">
        <v>26</v>
      </c>
      <c r="S8" s="4" t="s">
        <v>87</v>
      </c>
      <c r="T8" s="4" t="s">
        <v>88</v>
      </c>
      <c r="U8" s="4" t="s">
        <v>89</v>
      </c>
      <c r="V8" s="4" t="s">
        <v>90</v>
      </c>
      <c r="W8" s="5" t="str">
        <f aca="false">IF(OR(ISNUMBER(SEARCH("gesha",G8)),ISNUMBER(SEARCH("geisha",G8))),"⭐ GESHA","")</f>
        <v/>
      </c>
    </row>
    <row r="9" customFormat="false" ht="20.25" hidden="false" customHeight="true" outlineLevel="0" collapsed="false">
      <c r="A9" s="3" t="n">
        <v>46099</v>
      </c>
      <c r="B9" s="4" t="s">
        <v>50</v>
      </c>
      <c r="C9" s="4" t="s">
        <v>83</v>
      </c>
      <c r="D9" s="4" t="s">
        <v>91</v>
      </c>
      <c r="E9" s="4" t="s">
        <v>26</v>
      </c>
      <c r="F9" s="4" t="s">
        <v>92</v>
      </c>
      <c r="G9" s="4" t="s">
        <v>93</v>
      </c>
      <c r="H9" s="4" t="s">
        <v>56</v>
      </c>
      <c r="I9" s="4" t="s">
        <v>94</v>
      </c>
      <c r="J9" s="4" t="s">
        <v>95</v>
      </c>
      <c r="K9" s="4" t="s">
        <v>26</v>
      </c>
      <c r="L9" s="4" t="s">
        <v>26</v>
      </c>
      <c r="M9" s="4" t="s">
        <v>26</v>
      </c>
      <c r="N9" s="4" t="s">
        <v>26</v>
      </c>
      <c r="O9" s="4" t="s">
        <v>26</v>
      </c>
      <c r="P9" s="4" t="s">
        <v>26</v>
      </c>
      <c r="Q9" s="4" t="s">
        <v>26</v>
      </c>
      <c r="R9" s="4" t="s">
        <v>26</v>
      </c>
      <c r="S9" s="4" t="s">
        <v>96</v>
      </c>
      <c r="T9" s="4" t="s">
        <v>97</v>
      </c>
      <c r="U9" s="4" t="s">
        <v>89</v>
      </c>
      <c r="V9" s="4" t="s">
        <v>90</v>
      </c>
      <c r="W9" s="5" t="str">
        <f aca="false">IF(OR(ISNUMBER(SEARCH("gesha",G9)),ISNUMBER(SEARCH("geisha",G9))),"⭐ GESHA","")</f>
        <v/>
      </c>
    </row>
    <row r="10" customFormat="false" ht="20.25" hidden="false" customHeight="true" outlineLevel="0" collapsed="false">
      <c r="A10" s="3" t="n">
        <v>46099</v>
      </c>
      <c r="B10" s="4" t="s">
        <v>50</v>
      </c>
      <c r="C10" s="4" t="s">
        <v>98</v>
      </c>
      <c r="D10" s="4" t="s">
        <v>99</v>
      </c>
      <c r="E10" s="4" t="s">
        <v>26</v>
      </c>
      <c r="F10" s="4" t="s">
        <v>92</v>
      </c>
      <c r="G10" s="4" t="s">
        <v>100</v>
      </c>
      <c r="H10" s="4" t="s">
        <v>101</v>
      </c>
      <c r="I10" s="4" t="s">
        <v>29</v>
      </c>
      <c r="J10" s="4" t="s">
        <v>40</v>
      </c>
      <c r="K10" s="4" t="s">
        <v>26</v>
      </c>
      <c r="L10" s="4" t="s">
        <v>26</v>
      </c>
      <c r="M10" s="4" t="s">
        <v>26</v>
      </c>
      <c r="N10" s="4" t="s">
        <v>26</v>
      </c>
      <c r="O10" s="4" t="s">
        <v>26</v>
      </c>
      <c r="P10" s="4" t="s">
        <v>26</v>
      </c>
      <c r="Q10" s="6" t="n">
        <v>15</v>
      </c>
      <c r="R10" s="4" t="s">
        <v>102</v>
      </c>
      <c r="S10" s="4" t="s">
        <v>103</v>
      </c>
      <c r="T10" s="4" t="s">
        <v>104</v>
      </c>
      <c r="U10" s="4" t="s">
        <v>89</v>
      </c>
      <c r="V10" s="4" t="s">
        <v>90</v>
      </c>
      <c r="W10" s="5" t="str">
        <f aca="false">IF(OR(ISNUMBER(SEARCH("gesha",G10)),ISNUMBER(SEARCH("geisha",G10))),"⭐ GESHA","")</f>
        <v/>
      </c>
    </row>
    <row r="11" customFormat="false" ht="20.25" hidden="false" customHeight="true" outlineLevel="0" collapsed="false">
      <c r="A11" s="3" t="n">
        <v>46099</v>
      </c>
      <c r="B11" s="4" t="s">
        <v>50</v>
      </c>
      <c r="C11" s="4" t="s">
        <v>98</v>
      </c>
      <c r="D11" s="4" t="s">
        <v>44</v>
      </c>
      <c r="E11" s="4" t="s">
        <v>26</v>
      </c>
      <c r="F11" s="4" t="s">
        <v>26</v>
      </c>
      <c r="G11" s="4" t="s">
        <v>26</v>
      </c>
      <c r="H11" s="4" t="s">
        <v>26</v>
      </c>
      <c r="I11" s="4" t="s">
        <v>26</v>
      </c>
      <c r="J11" s="4" t="s">
        <v>105</v>
      </c>
      <c r="K11" s="4" t="s">
        <v>26</v>
      </c>
      <c r="L11" s="4" t="s">
        <v>26</v>
      </c>
      <c r="M11" s="4" t="s">
        <v>26</v>
      </c>
      <c r="N11" s="4" t="s">
        <v>26</v>
      </c>
      <c r="O11" s="4" t="s">
        <v>26</v>
      </c>
      <c r="P11" s="4" t="s">
        <v>26</v>
      </c>
      <c r="Q11" s="4" t="s">
        <v>26</v>
      </c>
      <c r="R11" s="4" t="s">
        <v>26</v>
      </c>
      <c r="S11" s="4" t="s">
        <v>106</v>
      </c>
      <c r="T11" s="4" t="s">
        <v>107</v>
      </c>
      <c r="U11" s="4" t="s">
        <v>89</v>
      </c>
      <c r="V11" s="4" t="s">
        <v>90</v>
      </c>
      <c r="W11" s="5" t="str">
        <f aca="false">IF(OR(ISNUMBER(SEARCH("gesha",G11)),ISNUMBER(SEARCH("geisha",G11))),"⭐ GESHA","")</f>
        <v/>
      </c>
    </row>
    <row r="12" customFormat="false" ht="20.25" hidden="false" customHeight="true" outlineLevel="0" collapsed="false">
      <c r="A12" s="3" t="n">
        <v>46103</v>
      </c>
      <c r="B12" s="4" t="s">
        <v>50</v>
      </c>
      <c r="C12" s="4" t="s">
        <v>108</v>
      </c>
      <c r="D12" s="4" t="s">
        <v>109</v>
      </c>
      <c r="E12" s="4" t="s">
        <v>110</v>
      </c>
      <c r="F12" s="4" t="s">
        <v>111</v>
      </c>
      <c r="G12" s="4" t="s">
        <v>112</v>
      </c>
      <c r="H12" s="4" t="s">
        <v>56</v>
      </c>
      <c r="I12" s="4" t="s">
        <v>29</v>
      </c>
      <c r="J12" s="4" t="s">
        <v>57</v>
      </c>
      <c r="K12" s="4" t="s">
        <v>26</v>
      </c>
      <c r="L12" s="4" t="s">
        <v>26</v>
      </c>
      <c r="M12" s="4" t="s">
        <v>113</v>
      </c>
      <c r="N12" s="4" t="s">
        <v>26</v>
      </c>
      <c r="O12" s="4" t="s">
        <v>26</v>
      </c>
      <c r="P12" s="4" t="s">
        <v>26</v>
      </c>
      <c r="Q12" s="4" t="s">
        <v>26</v>
      </c>
      <c r="R12" s="4" t="s">
        <v>114</v>
      </c>
      <c r="S12" s="4" t="s">
        <v>115</v>
      </c>
      <c r="T12" s="4" t="s">
        <v>116</v>
      </c>
      <c r="U12" s="4" t="s">
        <v>117</v>
      </c>
      <c r="V12" s="4" t="s">
        <v>35</v>
      </c>
      <c r="W12" s="5" t="str">
        <f aca="false">IF(OR(ISNUMBER(SEARCH("gesha",G12)),ISNUMBER(SEARCH("geisha",G12))),"⭐ GESHA","")</f>
        <v/>
      </c>
    </row>
    <row r="13" customFormat="false" ht="20.25" hidden="false" customHeight="true" outlineLevel="0" collapsed="false">
      <c r="A13" s="3" t="n">
        <v>46105</v>
      </c>
      <c r="B13" s="4" t="s">
        <v>50</v>
      </c>
      <c r="C13" s="4" t="s">
        <v>51</v>
      </c>
      <c r="D13" s="4" t="s">
        <v>118</v>
      </c>
      <c r="E13" s="4" t="s">
        <v>26</v>
      </c>
      <c r="F13" s="4" t="s">
        <v>119</v>
      </c>
      <c r="G13" s="4" t="s">
        <v>120</v>
      </c>
      <c r="H13" s="4" t="s">
        <v>56</v>
      </c>
      <c r="I13" s="4" t="s">
        <v>26</v>
      </c>
      <c r="J13" s="4" t="s">
        <v>40</v>
      </c>
      <c r="K13" s="4" t="s">
        <v>26</v>
      </c>
      <c r="L13" s="4" t="s">
        <v>26</v>
      </c>
      <c r="M13" s="4" t="s">
        <v>26</v>
      </c>
      <c r="N13" s="4" t="s">
        <v>26</v>
      </c>
      <c r="O13" s="4" t="s">
        <v>26</v>
      </c>
      <c r="P13" s="4" t="s">
        <v>26</v>
      </c>
      <c r="Q13" s="6" t="n">
        <v>9</v>
      </c>
      <c r="R13" s="4" t="s">
        <v>121</v>
      </c>
      <c r="S13" s="4" t="s">
        <v>122</v>
      </c>
      <c r="T13" s="4" t="s">
        <v>123</v>
      </c>
      <c r="U13" s="4" t="s">
        <v>117</v>
      </c>
      <c r="V13" s="4" t="s">
        <v>35</v>
      </c>
      <c r="W13" s="5" t="str">
        <f aca="false">IF(OR(ISNUMBER(SEARCH("gesha",G13)),ISNUMBER(SEARCH("geisha",G13))),"⭐ GESHA","")</f>
        <v/>
      </c>
    </row>
    <row r="14" customFormat="false" ht="20.25" hidden="false" customHeight="true" outlineLevel="0" collapsed="false">
      <c r="A14" s="3" t="n">
        <v>46106</v>
      </c>
      <c r="B14" s="4" t="s">
        <v>50</v>
      </c>
      <c r="C14" s="4" t="s">
        <v>124</v>
      </c>
      <c r="D14" s="4" t="s">
        <v>125</v>
      </c>
      <c r="E14" s="4" t="s">
        <v>126</v>
      </c>
      <c r="F14" s="4" t="s">
        <v>127</v>
      </c>
      <c r="G14" s="4" t="s">
        <v>26</v>
      </c>
      <c r="H14" s="4" t="s">
        <v>128</v>
      </c>
      <c r="I14" s="4" t="s">
        <v>45</v>
      </c>
      <c r="J14" s="4" t="s">
        <v>129</v>
      </c>
      <c r="K14" s="4" t="s">
        <v>26</v>
      </c>
      <c r="L14" s="4" t="s">
        <v>26</v>
      </c>
      <c r="M14" s="4" t="s">
        <v>26</v>
      </c>
      <c r="N14" s="4" t="s">
        <v>26</v>
      </c>
      <c r="O14" s="4" t="s">
        <v>26</v>
      </c>
      <c r="P14" s="4" t="s">
        <v>26</v>
      </c>
      <c r="Q14" s="4" t="s">
        <v>26</v>
      </c>
      <c r="R14" s="4" t="s">
        <v>130</v>
      </c>
      <c r="S14" s="4" t="s">
        <v>131</v>
      </c>
      <c r="T14" s="4" t="s">
        <v>132</v>
      </c>
      <c r="U14" s="4" t="s">
        <v>117</v>
      </c>
      <c r="V14" s="4" t="s">
        <v>35</v>
      </c>
      <c r="W14" s="5" t="str">
        <f aca="false">IF(OR(ISNUMBER(SEARCH("gesha",G14)),ISNUMBER(SEARCH("geisha",G14))),"⭐ GESHA","")</f>
        <v/>
      </c>
    </row>
    <row r="15" customFormat="false" ht="20.25" hidden="false" customHeight="true" outlineLevel="0" collapsed="false">
      <c r="A15" s="3" t="n">
        <v>46108</v>
      </c>
      <c r="B15" s="4" t="s">
        <v>50</v>
      </c>
      <c r="C15" s="4" t="s">
        <v>124</v>
      </c>
      <c r="D15" s="4" t="s">
        <v>133</v>
      </c>
      <c r="E15" s="4" t="s">
        <v>134</v>
      </c>
      <c r="F15" s="4" t="s">
        <v>135</v>
      </c>
      <c r="G15" s="4" t="s">
        <v>136</v>
      </c>
      <c r="H15" s="4" t="s">
        <v>28</v>
      </c>
      <c r="I15" s="4" t="s">
        <v>137</v>
      </c>
      <c r="J15" s="4" t="s">
        <v>138</v>
      </c>
      <c r="K15" s="4" t="n">
        <v>15</v>
      </c>
      <c r="L15" s="4" t="n">
        <v>220</v>
      </c>
      <c r="M15" s="4" t="s">
        <v>139</v>
      </c>
      <c r="N15" s="4" t="s">
        <v>26</v>
      </c>
      <c r="O15" s="4" t="s">
        <v>26</v>
      </c>
      <c r="P15" s="4" t="s">
        <v>140</v>
      </c>
      <c r="Q15" s="4" t="s">
        <v>26</v>
      </c>
      <c r="R15" s="4" t="s">
        <v>141</v>
      </c>
      <c r="S15" s="4" t="s">
        <v>142</v>
      </c>
      <c r="T15" s="4" t="s">
        <v>143</v>
      </c>
      <c r="U15" s="4" t="s">
        <v>117</v>
      </c>
      <c r="V15" s="4" t="s">
        <v>35</v>
      </c>
      <c r="W15" s="5" t="str">
        <f aca="false">IF(OR(ISNUMBER(SEARCH("gesha",G15)),ISNUMBER(SEARCH("geisha",G15))),"⭐ GESHA","")</f>
        <v/>
      </c>
    </row>
    <row r="16" customFormat="false" ht="20.25" hidden="false" customHeight="true" outlineLevel="0" collapsed="false">
      <c r="A16" s="3" t="n">
        <v>46109</v>
      </c>
      <c r="B16" s="4" t="s">
        <v>50</v>
      </c>
      <c r="C16" s="4" t="s">
        <v>144</v>
      </c>
      <c r="D16" s="4" t="s">
        <v>145</v>
      </c>
      <c r="E16" s="4" t="s">
        <v>26</v>
      </c>
      <c r="F16" s="4" t="s">
        <v>146</v>
      </c>
      <c r="G16" s="4" t="s">
        <v>26</v>
      </c>
      <c r="H16" s="4" t="s">
        <v>28</v>
      </c>
      <c r="I16" s="4" t="s">
        <v>39</v>
      </c>
      <c r="J16" s="4" t="s">
        <v>40</v>
      </c>
      <c r="K16" s="4" t="n">
        <v>15</v>
      </c>
      <c r="L16" s="4" t="n">
        <v>225</v>
      </c>
      <c r="M16" s="4" t="s">
        <v>147</v>
      </c>
      <c r="N16" s="4" t="s">
        <v>26</v>
      </c>
      <c r="O16" s="4" t="s">
        <v>26</v>
      </c>
      <c r="P16" s="4" t="s">
        <v>26</v>
      </c>
      <c r="Q16" s="6" t="n">
        <v>8</v>
      </c>
      <c r="R16" s="4" t="s">
        <v>148</v>
      </c>
      <c r="S16" s="4" t="s">
        <v>149</v>
      </c>
      <c r="T16" s="4" t="s">
        <v>150</v>
      </c>
      <c r="U16" s="4" t="s">
        <v>117</v>
      </c>
      <c r="V16" s="4" t="s">
        <v>35</v>
      </c>
      <c r="W16" s="5" t="str">
        <f aca="false">IF(OR(ISNUMBER(SEARCH("gesha",G16)),ISNUMBER(SEARCH("geisha",G16))),"⭐ GESHA","")</f>
        <v/>
      </c>
    </row>
    <row r="17" customFormat="false" ht="20.25" hidden="false" customHeight="true" outlineLevel="0" collapsed="false">
      <c r="A17" s="3" t="n">
        <v>46109</v>
      </c>
      <c r="B17" s="4" t="s">
        <v>50</v>
      </c>
      <c r="C17" s="4" t="s">
        <v>144</v>
      </c>
      <c r="D17" s="4" t="s">
        <v>151</v>
      </c>
      <c r="E17" s="4" t="s">
        <v>26</v>
      </c>
      <c r="F17" s="4" t="s">
        <v>152</v>
      </c>
      <c r="G17" s="4" t="s">
        <v>26</v>
      </c>
      <c r="H17" s="4" t="s">
        <v>26</v>
      </c>
      <c r="I17" s="4" t="s">
        <v>26</v>
      </c>
      <c r="J17" s="4" t="s">
        <v>153</v>
      </c>
      <c r="K17" s="4" t="s">
        <v>26</v>
      </c>
      <c r="L17" s="4" t="s">
        <v>26</v>
      </c>
      <c r="M17" s="4" t="s">
        <v>26</v>
      </c>
      <c r="N17" s="4" t="s">
        <v>26</v>
      </c>
      <c r="O17" s="4" t="s">
        <v>26</v>
      </c>
      <c r="P17" s="4" t="s">
        <v>26</v>
      </c>
      <c r="Q17" s="6" t="n">
        <v>5.1</v>
      </c>
      <c r="R17" s="4" t="s">
        <v>154</v>
      </c>
      <c r="S17" s="4" t="s">
        <v>155</v>
      </c>
      <c r="T17" s="4" t="s">
        <v>156</v>
      </c>
      <c r="U17" s="4" t="s">
        <v>117</v>
      </c>
      <c r="V17" s="4" t="s">
        <v>90</v>
      </c>
      <c r="W17" s="5" t="str">
        <f aca="false">IF(OR(ISNUMBER(SEARCH("gesha",G17)),ISNUMBER(SEARCH("geisha",G17))),"⭐ GESHA","")</f>
        <v/>
      </c>
    </row>
    <row r="18" customFormat="false" ht="20.25" hidden="false" customHeight="true" outlineLevel="0" collapsed="false">
      <c r="A18" s="3" t="n">
        <v>46110</v>
      </c>
      <c r="B18" s="4" t="s">
        <v>50</v>
      </c>
      <c r="C18" s="4" t="s">
        <v>157</v>
      </c>
      <c r="D18" s="4" t="s">
        <v>158</v>
      </c>
      <c r="E18" s="4" t="s">
        <v>159</v>
      </c>
      <c r="F18" s="4" t="s">
        <v>160</v>
      </c>
      <c r="G18" s="4" t="s">
        <v>161</v>
      </c>
      <c r="H18" s="4" t="s">
        <v>56</v>
      </c>
      <c r="I18" s="4" t="s">
        <v>39</v>
      </c>
      <c r="J18" s="4" t="s">
        <v>162</v>
      </c>
      <c r="K18" s="4" t="n">
        <v>15</v>
      </c>
      <c r="L18" s="4" t="n">
        <v>240</v>
      </c>
      <c r="M18" s="4" t="s">
        <v>58</v>
      </c>
      <c r="N18" s="4" t="s">
        <v>163</v>
      </c>
      <c r="O18" s="4" t="s">
        <v>26</v>
      </c>
      <c r="P18" s="4" t="s">
        <v>164</v>
      </c>
      <c r="Q18" s="6" t="n">
        <v>11</v>
      </c>
      <c r="R18" s="4" t="s">
        <v>165</v>
      </c>
      <c r="S18" s="4" t="s">
        <v>166</v>
      </c>
      <c r="T18" s="4" t="s">
        <v>167</v>
      </c>
      <c r="U18" s="4" t="s">
        <v>117</v>
      </c>
      <c r="V18" s="4" t="s">
        <v>90</v>
      </c>
      <c r="W18" s="5" t="str">
        <f aca="false">IF(OR(ISNUMBER(SEARCH("gesha",G18)),ISNUMBER(SEARCH("geisha",G18))),"⭐ GESHA","")</f>
        <v>⭐ GESHA</v>
      </c>
    </row>
    <row r="19" customFormat="false" ht="30" hidden="false" customHeight="true" outlineLevel="0" collapsed="false">
      <c r="A19" s="3" t="n">
        <v>46113</v>
      </c>
      <c r="B19" s="4" t="s">
        <v>50</v>
      </c>
      <c r="C19" s="4" t="s">
        <v>168</v>
      </c>
      <c r="D19" s="4" t="s">
        <v>169</v>
      </c>
      <c r="E19" s="4" t="s">
        <v>170</v>
      </c>
      <c r="F19" s="4" t="s">
        <v>171</v>
      </c>
      <c r="G19" s="4" t="s">
        <v>172</v>
      </c>
      <c r="H19" s="4" t="s">
        <v>56</v>
      </c>
      <c r="I19" s="4" t="s">
        <v>29</v>
      </c>
      <c r="J19" s="4" t="s">
        <v>57</v>
      </c>
      <c r="K19" s="4" t="n">
        <v>15</v>
      </c>
      <c r="L19" s="4" t="n">
        <v>230</v>
      </c>
      <c r="M19" s="4" t="s">
        <v>173</v>
      </c>
      <c r="N19" s="4" t="s">
        <v>174</v>
      </c>
      <c r="O19" s="4" t="s">
        <v>26</v>
      </c>
      <c r="P19" s="4" t="s">
        <v>175</v>
      </c>
      <c r="Q19" s="6" t="n">
        <v>9</v>
      </c>
      <c r="R19" s="4" t="s">
        <v>176</v>
      </c>
      <c r="S19" s="4" t="s">
        <v>177</v>
      </c>
      <c r="T19" s="4" t="s">
        <v>178</v>
      </c>
      <c r="U19" s="4" t="s">
        <v>179</v>
      </c>
      <c r="V19" s="4" t="s">
        <v>35</v>
      </c>
      <c r="W19" s="5" t="str">
        <f aca="false">IF(OR(ISNUMBER(SEARCH("gesha",G19)),ISNUMBER(SEARCH("geisha",G19))),"⭐ GESHA","")</f>
        <v/>
      </c>
    </row>
    <row r="20" customFormat="false" ht="20.25" hidden="false" customHeight="true" outlineLevel="0" collapsed="false">
      <c r="A20" s="3" t="n">
        <v>46113</v>
      </c>
      <c r="B20" s="4" t="s">
        <v>50</v>
      </c>
      <c r="C20" s="4" t="s">
        <v>180</v>
      </c>
      <c r="D20" s="4" t="s">
        <v>181</v>
      </c>
      <c r="E20" s="4" t="s">
        <v>182</v>
      </c>
      <c r="F20" s="4" t="s">
        <v>183</v>
      </c>
      <c r="G20" s="4" t="s">
        <v>184</v>
      </c>
      <c r="H20" s="4" t="s">
        <v>185</v>
      </c>
      <c r="I20" s="4" t="s">
        <v>137</v>
      </c>
      <c r="J20" s="4" t="s">
        <v>138</v>
      </c>
      <c r="K20" s="4" t="s">
        <v>26</v>
      </c>
      <c r="L20" s="4" t="s">
        <v>26</v>
      </c>
      <c r="M20" s="4" t="s">
        <v>147</v>
      </c>
      <c r="N20" s="4" t="s">
        <v>186</v>
      </c>
      <c r="O20" s="4" t="s">
        <v>26</v>
      </c>
      <c r="P20" s="4" t="s">
        <v>140</v>
      </c>
      <c r="Q20" s="6" t="n">
        <v>12</v>
      </c>
      <c r="R20" s="4" t="s">
        <v>187</v>
      </c>
      <c r="S20" s="4" t="s">
        <v>188</v>
      </c>
      <c r="T20" s="4" t="s">
        <v>189</v>
      </c>
      <c r="U20" s="4" t="s">
        <v>190</v>
      </c>
      <c r="V20" s="4" t="s">
        <v>90</v>
      </c>
      <c r="W20" s="5" t="str">
        <f aca="false">IF(OR(ISNUMBER(SEARCH("gesha",G20)),ISNUMBER(SEARCH("geisha",G20))),"⭐ GESHA","")</f>
        <v>⭐ GESHA</v>
      </c>
    </row>
    <row r="21" customFormat="false" ht="20.25" hidden="false" customHeight="true" outlineLevel="0" collapsed="false">
      <c r="A21" s="3" t="n">
        <v>46117</v>
      </c>
      <c r="B21" s="4" t="s">
        <v>50</v>
      </c>
      <c r="C21" s="4" t="s">
        <v>157</v>
      </c>
      <c r="D21" s="4" t="s">
        <v>191</v>
      </c>
      <c r="E21" s="4" t="s">
        <v>192</v>
      </c>
      <c r="F21" s="4" t="s">
        <v>193</v>
      </c>
      <c r="G21" s="4" t="s">
        <v>194</v>
      </c>
      <c r="H21" s="4" t="s">
        <v>195</v>
      </c>
      <c r="I21" s="4" t="s">
        <v>26</v>
      </c>
      <c r="J21" s="4" t="s">
        <v>196</v>
      </c>
      <c r="K21" s="4" t="n">
        <v>15</v>
      </c>
      <c r="L21" s="4" t="n">
        <v>225</v>
      </c>
      <c r="M21" s="4" t="s">
        <v>147</v>
      </c>
      <c r="N21" s="4" t="s">
        <v>186</v>
      </c>
      <c r="O21" s="4" t="s">
        <v>26</v>
      </c>
      <c r="P21" s="4" t="s">
        <v>140</v>
      </c>
      <c r="Q21" s="6" t="n">
        <v>12.5</v>
      </c>
      <c r="R21" s="4" t="s">
        <v>197</v>
      </c>
      <c r="S21" s="4" t="s">
        <v>198</v>
      </c>
      <c r="T21" s="4" t="s">
        <v>199</v>
      </c>
      <c r="U21" s="4" t="s">
        <v>200</v>
      </c>
      <c r="V21" s="4" t="s">
        <v>35</v>
      </c>
      <c r="W21" s="5" t="str">
        <f aca="false">IF(OR(ISNUMBER(SEARCH("gesha",G21)),ISNUMBER(SEARCH("geisha",G21))),"⭐ GESHA","")</f>
        <v/>
      </c>
    </row>
    <row r="22" customFormat="false" ht="30" hidden="false" customHeight="true" outlineLevel="0" collapsed="false">
      <c r="A22" s="3" t="n">
        <v>46117</v>
      </c>
      <c r="B22" s="4" t="s">
        <v>50</v>
      </c>
      <c r="C22" s="4" t="s">
        <v>157</v>
      </c>
      <c r="D22" s="4" t="s">
        <v>201</v>
      </c>
      <c r="E22" s="4" t="s">
        <v>159</v>
      </c>
      <c r="F22" s="4" t="s">
        <v>202</v>
      </c>
      <c r="G22" s="4" t="s">
        <v>161</v>
      </c>
      <c r="H22" s="4" t="s">
        <v>56</v>
      </c>
      <c r="I22" s="4" t="s">
        <v>137</v>
      </c>
      <c r="J22" s="4" t="s">
        <v>196</v>
      </c>
      <c r="K22" s="4" t="n">
        <v>15</v>
      </c>
      <c r="L22" s="4" t="n">
        <v>225</v>
      </c>
      <c r="M22" s="4" t="s">
        <v>147</v>
      </c>
      <c r="N22" s="4" t="s">
        <v>186</v>
      </c>
      <c r="O22" s="4" t="s">
        <v>26</v>
      </c>
      <c r="P22" s="4" t="s">
        <v>140</v>
      </c>
      <c r="Q22" s="6" t="n">
        <v>12.5</v>
      </c>
      <c r="R22" s="4" t="s">
        <v>165</v>
      </c>
      <c r="S22" s="4" t="s">
        <v>203</v>
      </c>
      <c r="T22" s="4" t="s">
        <v>204</v>
      </c>
      <c r="U22" s="4" t="s">
        <v>200</v>
      </c>
      <c r="V22" s="4" t="s">
        <v>35</v>
      </c>
      <c r="W22" s="5" t="str">
        <f aca="false">IF(OR(ISNUMBER(SEARCH("gesha",G22)),ISNUMBER(SEARCH("geisha",G22))),"⭐ GESHA","")</f>
        <v>⭐ GESHA</v>
      </c>
    </row>
    <row r="23" customFormat="false" ht="20.25" hidden="false" customHeight="true" outlineLevel="0" collapsed="false">
      <c r="A23" s="3" t="n">
        <v>46120</v>
      </c>
      <c r="B23" s="4" t="s">
        <v>50</v>
      </c>
      <c r="C23" s="4" t="s">
        <v>168</v>
      </c>
      <c r="D23" s="4" t="s">
        <v>205</v>
      </c>
      <c r="E23" s="4" t="s">
        <v>206</v>
      </c>
      <c r="F23" s="4" t="s">
        <v>207</v>
      </c>
      <c r="G23" s="4" t="s">
        <v>208</v>
      </c>
      <c r="H23" s="4" t="s">
        <v>28</v>
      </c>
      <c r="I23" s="4" t="s">
        <v>26</v>
      </c>
      <c r="J23" s="4" t="s">
        <v>57</v>
      </c>
      <c r="K23" s="4" t="n">
        <v>15</v>
      </c>
      <c r="L23" s="4" t="n">
        <v>225</v>
      </c>
      <c r="M23" s="4" t="s">
        <v>147</v>
      </c>
      <c r="N23" s="4" t="s">
        <v>26</v>
      </c>
      <c r="O23" s="4" t="s">
        <v>26</v>
      </c>
      <c r="P23" s="4" t="s">
        <v>209</v>
      </c>
      <c r="Q23" s="6" t="n">
        <v>9</v>
      </c>
      <c r="R23" s="4" t="s">
        <v>210</v>
      </c>
      <c r="S23" s="4" t="s">
        <v>211</v>
      </c>
      <c r="T23" s="4" t="s">
        <v>212</v>
      </c>
      <c r="U23" s="4" t="s">
        <v>213</v>
      </c>
      <c r="V23" s="4" t="s">
        <v>90</v>
      </c>
      <c r="W23" s="5" t="str">
        <f aca="false">IF(OR(ISNUMBER(SEARCH("gesha",G23)),ISNUMBER(SEARCH("geisha",G23))),"⭐ GESHA","")</f>
        <v/>
      </c>
    </row>
    <row r="24" customFormat="false" ht="20.25" hidden="false" customHeight="true" outlineLevel="0" collapsed="false">
      <c r="A24" s="3" t="n">
        <v>46130</v>
      </c>
      <c r="B24" s="4" t="s">
        <v>214</v>
      </c>
      <c r="C24" s="4" t="s">
        <v>215</v>
      </c>
      <c r="D24" s="4" t="s">
        <v>216</v>
      </c>
      <c r="E24" s="4" t="s">
        <v>26</v>
      </c>
      <c r="F24" s="4" t="s">
        <v>26</v>
      </c>
      <c r="G24" s="4" t="s">
        <v>217</v>
      </c>
      <c r="H24" s="4" t="s">
        <v>218</v>
      </c>
      <c r="I24" s="4" t="s">
        <v>26</v>
      </c>
      <c r="J24" s="4" t="s">
        <v>219</v>
      </c>
      <c r="K24" s="4" t="n">
        <v>18</v>
      </c>
      <c r="L24" s="4" t="n">
        <v>277</v>
      </c>
      <c r="M24" s="4" t="s">
        <v>220</v>
      </c>
      <c r="N24" s="4" t="s">
        <v>26</v>
      </c>
      <c r="O24" s="4" t="s">
        <v>221</v>
      </c>
      <c r="P24" s="4" t="s">
        <v>222</v>
      </c>
      <c r="Q24" s="6" t="n">
        <v>11.08</v>
      </c>
      <c r="R24" s="4" t="s">
        <v>223</v>
      </c>
      <c r="S24" s="4" t="s">
        <v>224</v>
      </c>
      <c r="T24" s="4" t="s">
        <v>225</v>
      </c>
      <c r="U24" s="4" t="s">
        <v>26</v>
      </c>
      <c r="V24" s="4" t="s">
        <v>226</v>
      </c>
      <c r="W24" s="5" t="str">
        <f aca="false">IF(OR(ISNUMBER(SEARCH("gesha",G24)),ISNUMBER(SEARCH("geisha",G24))),"⭐ GESHA","")</f>
        <v/>
      </c>
    </row>
    <row r="25" customFormat="false" ht="20.25" hidden="false" customHeight="true" outlineLevel="0" collapsed="false">
      <c r="A25" s="3" t="n">
        <v>46136</v>
      </c>
      <c r="B25" s="4" t="s">
        <v>50</v>
      </c>
      <c r="C25" s="4" t="s">
        <v>124</v>
      </c>
      <c r="D25" s="4" t="s">
        <v>227</v>
      </c>
      <c r="E25" s="4" t="s">
        <v>26</v>
      </c>
      <c r="F25" s="4" t="s">
        <v>228</v>
      </c>
      <c r="G25" s="4" t="s">
        <v>26</v>
      </c>
      <c r="H25" s="4" t="s">
        <v>229</v>
      </c>
      <c r="I25" s="4" t="s">
        <v>230</v>
      </c>
      <c r="J25" s="4" t="s">
        <v>138</v>
      </c>
      <c r="K25" s="4" t="n">
        <v>16</v>
      </c>
      <c r="L25" s="4" t="n">
        <v>224</v>
      </c>
      <c r="M25" s="4" t="s">
        <v>231</v>
      </c>
      <c r="N25" s="4" t="s">
        <v>232</v>
      </c>
      <c r="O25" s="4" t="s">
        <v>26</v>
      </c>
      <c r="P25" s="4" t="s">
        <v>140</v>
      </c>
      <c r="Q25" s="4" t="s">
        <v>26</v>
      </c>
      <c r="R25" s="4" t="s">
        <v>233</v>
      </c>
      <c r="S25" s="4" t="s">
        <v>234</v>
      </c>
      <c r="T25" s="4" t="s">
        <v>235</v>
      </c>
      <c r="U25" s="4" t="s">
        <v>236</v>
      </c>
      <c r="V25" s="4" t="s">
        <v>35</v>
      </c>
      <c r="W25" s="5" t="str">
        <f aca="false">IF(OR(ISNUMBER(SEARCH("gesha",G25)),ISNUMBER(SEARCH("geisha",G25))),"⭐ GESHA","")</f>
        <v/>
      </c>
    </row>
    <row r="26" customFormat="false" ht="30" hidden="false" customHeight="true" outlineLevel="0" collapsed="false">
      <c r="A26" s="3" t="n">
        <v>46148</v>
      </c>
      <c r="B26" s="4" t="s">
        <v>50</v>
      </c>
      <c r="C26" s="4" t="s">
        <v>237</v>
      </c>
      <c r="D26" s="4" t="s">
        <v>238</v>
      </c>
      <c r="E26" s="4" t="s">
        <v>26</v>
      </c>
      <c r="F26" s="4" t="s">
        <v>239</v>
      </c>
      <c r="G26" s="4" t="s">
        <v>240</v>
      </c>
      <c r="H26" s="4" t="s">
        <v>28</v>
      </c>
      <c r="I26" s="4" t="s">
        <v>137</v>
      </c>
      <c r="J26" s="4" t="s">
        <v>241</v>
      </c>
      <c r="K26" s="4" t="s">
        <v>26</v>
      </c>
      <c r="L26" s="4" t="s">
        <v>26</v>
      </c>
      <c r="M26" s="4" t="s">
        <v>113</v>
      </c>
      <c r="N26" s="4" t="s">
        <v>26</v>
      </c>
      <c r="O26" s="4" t="s">
        <v>26</v>
      </c>
      <c r="P26" s="4" t="s">
        <v>222</v>
      </c>
      <c r="Q26" s="6" t="n">
        <v>7.5</v>
      </c>
      <c r="R26" s="4" t="s">
        <v>242</v>
      </c>
      <c r="S26" s="4" t="s">
        <v>243</v>
      </c>
      <c r="T26" s="4" t="s">
        <v>244</v>
      </c>
      <c r="U26" s="4" t="s">
        <v>26</v>
      </c>
      <c r="V26" s="4" t="s">
        <v>226</v>
      </c>
      <c r="W26" s="5" t="str">
        <f aca="false">IF(OR(ISNUMBER(SEARCH("gesha",G26)),ISNUMBER(SEARCH("geisha",G26))),"⭐ GESHA","")</f>
        <v/>
      </c>
    </row>
    <row r="27" customFormat="false" ht="20.25" hidden="false" customHeight="true" outlineLevel="0" collapsed="false">
      <c r="A27" s="3" t="n">
        <v>46148</v>
      </c>
      <c r="B27" s="4" t="s">
        <v>50</v>
      </c>
      <c r="C27" s="4" t="s">
        <v>237</v>
      </c>
      <c r="D27" s="4" t="s">
        <v>245</v>
      </c>
      <c r="E27" s="4" t="s">
        <v>26</v>
      </c>
      <c r="F27" s="4" t="s">
        <v>239</v>
      </c>
      <c r="G27" s="4" t="s">
        <v>246</v>
      </c>
      <c r="H27" s="4" t="s">
        <v>28</v>
      </c>
      <c r="I27" s="4" t="s">
        <v>45</v>
      </c>
      <c r="J27" s="4" t="s">
        <v>129</v>
      </c>
      <c r="K27" s="4" t="s">
        <v>26</v>
      </c>
      <c r="L27" s="4" t="s">
        <v>26</v>
      </c>
      <c r="M27" s="4" t="s">
        <v>26</v>
      </c>
      <c r="N27" s="4" t="s">
        <v>26</v>
      </c>
      <c r="O27" s="4" t="s">
        <v>26</v>
      </c>
      <c r="P27" s="4" t="s">
        <v>26</v>
      </c>
      <c r="Q27" s="4" t="s">
        <v>26</v>
      </c>
      <c r="R27" s="4" t="s">
        <v>247</v>
      </c>
      <c r="S27" s="4" t="s">
        <v>248</v>
      </c>
      <c r="T27" s="4" t="s">
        <v>249</v>
      </c>
      <c r="U27" s="4" t="s">
        <v>26</v>
      </c>
      <c r="V27" s="4" t="s">
        <v>226</v>
      </c>
      <c r="W27" s="5" t="str">
        <f aca="false">IF(OR(ISNUMBER(SEARCH("gesha",G27)),ISNUMBER(SEARCH("geisha",G27))),"⭐ GESHA","")</f>
        <v/>
      </c>
    </row>
    <row r="28" customFormat="false" ht="20.25" hidden="false" customHeight="true" outlineLevel="0" collapsed="false">
      <c r="A28" s="3" t="n">
        <v>46149</v>
      </c>
      <c r="B28" s="4" t="s">
        <v>50</v>
      </c>
      <c r="C28" s="4" t="s">
        <v>237</v>
      </c>
      <c r="D28" s="4" t="s">
        <v>250</v>
      </c>
      <c r="E28" s="4" t="s">
        <v>26</v>
      </c>
      <c r="F28" s="4" t="s">
        <v>251</v>
      </c>
      <c r="G28" s="4" t="s">
        <v>136</v>
      </c>
      <c r="H28" s="4" t="s">
        <v>56</v>
      </c>
      <c r="I28" s="4" t="s">
        <v>137</v>
      </c>
      <c r="J28" s="4" t="s">
        <v>241</v>
      </c>
      <c r="K28" s="4" t="s">
        <v>26</v>
      </c>
      <c r="L28" s="4" t="s">
        <v>26</v>
      </c>
      <c r="M28" s="4" t="s">
        <v>113</v>
      </c>
      <c r="N28" s="4" t="s">
        <v>26</v>
      </c>
      <c r="O28" s="4" t="s">
        <v>26</v>
      </c>
      <c r="P28" s="4" t="s">
        <v>222</v>
      </c>
      <c r="Q28" s="6" t="n">
        <v>8.5</v>
      </c>
      <c r="R28" s="4" t="s">
        <v>252</v>
      </c>
      <c r="S28" s="4" t="s">
        <v>253</v>
      </c>
      <c r="T28" s="4" t="s">
        <v>254</v>
      </c>
      <c r="U28" s="4" t="s">
        <v>26</v>
      </c>
      <c r="V28" s="4" t="s">
        <v>226</v>
      </c>
      <c r="W28" s="5" t="str">
        <f aca="false">IF(OR(ISNUMBER(SEARCH("gesha",G28)),ISNUMBER(SEARCH("geisha",G28))),"⭐ GESHA","")</f>
        <v/>
      </c>
    </row>
    <row r="29" customFormat="false" ht="30" hidden="false" customHeight="true" outlineLevel="0" collapsed="false">
      <c r="A29" s="3" t="n">
        <v>46149</v>
      </c>
      <c r="B29" s="4" t="s">
        <v>50</v>
      </c>
      <c r="C29" s="4" t="s">
        <v>237</v>
      </c>
      <c r="D29" s="4" t="s">
        <v>255</v>
      </c>
      <c r="E29" s="4" t="s">
        <v>26</v>
      </c>
      <c r="F29" s="4" t="s">
        <v>127</v>
      </c>
      <c r="G29" s="4" t="s">
        <v>256</v>
      </c>
      <c r="H29" s="4" t="s">
        <v>257</v>
      </c>
      <c r="I29" s="4" t="s">
        <v>45</v>
      </c>
      <c r="J29" s="4" t="s">
        <v>258</v>
      </c>
      <c r="K29" s="4" t="s">
        <v>26</v>
      </c>
      <c r="L29" s="4" t="s">
        <v>26</v>
      </c>
      <c r="M29" s="4" t="s">
        <v>259</v>
      </c>
      <c r="N29" s="4" t="s">
        <v>26</v>
      </c>
      <c r="O29" s="4" t="s">
        <v>26</v>
      </c>
      <c r="P29" s="4" t="s">
        <v>26</v>
      </c>
      <c r="Q29" s="4" t="s">
        <v>26</v>
      </c>
      <c r="R29" s="4" t="s">
        <v>260</v>
      </c>
      <c r="S29" s="4" t="s">
        <v>261</v>
      </c>
      <c r="T29" s="4" t="s">
        <v>262</v>
      </c>
      <c r="U29" s="4" t="s">
        <v>26</v>
      </c>
      <c r="V29" s="4" t="s">
        <v>226</v>
      </c>
      <c r="W29" s="5" t="str">
        <f aca="false">IF(OR(ISNUMBER(SEARCH("gesha",G29)),ISNUMBER(SEARCH("geisha",G29))),"⭐ GESHA","")</f>
        <v/>
      </c>
    </row>
    <row r="30" customFormat="false" ht="49.5" hidden="false" customHeight="true" outlineLevel="0" collapsed="false">
      <c r="A30" s="3" t="n">
        <v>46150</v>
      </c>
      <c r="B30" s="4" t="s">
        <v>50</v>
      </c>
      <c r="C30" s="4" t="s">
        <v>263</v>
      </c>
      <c r="D30" s="4" t="s">
        <v>264</v>
      </c>
      <c r="E30" s="4" t="s">
        <v>26</v>
      </c>
      <c r="F30" s="4" t="s">
        <v>111</v>
      </c>
      <c r="G30" s="4" t="s">
        <v>265</v>
      </c>
      <c r="H30" s="4" t="s">
        <v>56</v>
      </c>
      <c r="I30" s="4" t="s">
        <v>137</v>
      </c>
      <c r="J30" s="4" t="s">
        <v>266</v>
      </c>
      <c r="K30" s="4" t="n">
        <v>15</v>
      </c>
      <c r="L30" s="4" t="n">
        <v>240</v>
      </c>
      <c r="M30" s="4" t="s">
        <v>58</v>
      </c>
      <c r="N30" s="4" t="s">
        <v>26</v>
      </c>
      <c r="O30" s="4" t="s">
        <v>26</v>
      </c>
      <c r="P30" s="4" t="s">
        <v>267</v>
      </c>
      <c r="Q30" s="4" t="s">
        <v>26</v>
      </c>
      <c r="R30" s="4" t="s">
        <v>268</v>
      </c>
      <c r="S30" s="4" t="s">
        <v>269</v>
      </c>
      <c r="T30" s="4" t="s">
        <v>270</v>
      </c>
      <c r="U30" s="4" t="s">
        <v>271</v>
      </c>
      <c r="V30" s="4" t="s">
        <v>272</v>
      </c>
      <c r="W30" s="5" t="str">
        <f aca="false">IF(OR(ISNUMBER(SEARCH("gesha",G30)),ISNUMBER(SEARCH("geisha",G30))),"⭐ GESHA","")</f>
        <v/>
      </c>
    </row>
    <row r="31" customFormat="false" ht="59.25" hidden="false" customHeight="true" outlineLevel="0" collapsed="false">
      <c r="A31" s="3" t="n">
        <v>46154</v>
      </c>
      <c r="B31" s="4" t="s">
        <v>50</v>
      </c>
      <c r="C31" s="4" t="s">
        <v>273</v>
      </c>
      <c r="D31" s="4" t="s">
        <v>274</v>
      </c>
      <c r="E31" s="4" t="s">
        <v>275</v>
      </c>
      <c r="F31" s="4" t="s">
        <v>276</v>
      </c>
      <c r="G31" s="4" t="s">
        <v>277</v>
      </c>
      <c r="H31" s="4" t="s">
        <v>278</v>
      </c>
      <c r="I31" s="4" t="s">
        <v>29</v>
      </c>
      <c r="J31" s="4" t="s">
        <v>279</v>
      </c>
      <c r="K31" s="4" t="n">
        <v>15</v>
      </c>
      <c r="L31" s="4" t="n">
        <v>225</v>
      </c>
      <c r="M31" s="4" t="s">
        <v>58</v>
      </c>
      <c r="N31" s="4" t="s">
        <v>280</v>
      </c>
      <c r="O31" s="4" t="s">
        <v>26</v>
      </c>
      <c r="P31" s="4" t="s">
        <v>267</v>
      </c>
      <c r="Q31" s="6" t="n">
        <v>9.5</v>
      </c>
      <c r="R31" s="4" t="s">
        <v>281</v>
      </c>
      <c r="S31" s="4" t="s">
        <v>282</v>
      </c>
      <c r="T31" s="4" t="s">
        <v>283</v>
      </c>
      <c r="U31" s="4" t="s">
        <v>284</v>
      </c>
      <c r="V31" s="4" t="s">
        <v>272</v>
      </c>
      <c r="W31" s="5" t="str">
        <f aca="false">IF(OR(ISNUMBER(SEARCH("gesha",G31)),ISNUMBER(SEARCH("geisha",G31))),"⭐ GESHA","")</f>
        <v/>
      </c>
    </row>
    <row r="32" customFormat="false" ht="49.5" hidden="false" customHeight="true" outlineLevel="0" collapsed="false">
      <c r="A32" s="3" t="n">
        <v>46155</v>
      </c>
      <c r="B32" s="4" t="s">
        <v>50</v>
      </c>
      <c r="C32" s="4" t="s">
        <v>285</v>
      </c>
      <c r="D32" s="4" t="s">
        <v>286</v>
      </c>
      <c r="E32" s="4" t="s">
        <v>287</v>
      </c>
      <c r="F32" s="4" t="s">
        <v>92</v>
      </c>
      <c r="G32" s="4" t="s">
        <v>288</v>
      </c>
      <c r="H32" s="4" t="s">
        <v>28</v>
      </c>
      <c r="I32" s="4" t="s">
        <v>137</v>
      </c>
      <c r="J32" s="4" t="s">
        <v>289</v>
      </c>
      <c r="K32" s="4" t="n">
        <v>15</v>
      </c>
      <c r="L32" s="4" t="n">
        <v>255</v>
      </c>
      <c r="M32" s="4" t="s">
        <v>113</v>
      </c>
      <c r="N32" s="4" t="s">
        <v>26</v>
      </c>
      <c r="O32" s="4" t="s">
        <v>26</v>
      </c>
      <c r="P32" s="4" t="s">
        <v>290</v>
      </c>
      <c r="Q32" s="6" t="n">
        <v>9</v>
      </c>
      <c r="R32" s="4" t="s">
        <v>291</v>
      </c>
      <c r="S32" s="4" t="s">
        <v>292</v>
      </c>
      <c r="T32" s="4" t="s">
        <v>293</v>
      </c>
      <c r="U32" s="4" t="s">
        <v>294</v>
      </c>
      <c r="V32" s="4" t="s">
        <v>272</v>
      </c>
      <c r="W32" s="5" t="str">
        <f aca="false">IF(OR(ISNUMBER(SEARCH("gesha",G32)),ISNUMBER(SEARCH("geisha",G32))),"⭐ GESHA","")</f>
        <v/>
      </c>
    </row>
    <row r="33" customFormat="false" ht="69" hidden="false" customHeight="true" outlineLevel="0" collapsed="false">
      <c r="A33" s="3" t="n">
        <v>46157</v>
      </c>
      <c r="B33" s="4" t="s">
        <v>50</v>
      </c>
      <c r="C33" s="4" t="s">
        <v>295</v>
      </c>
      <c r="D33" s="4" t="s">
        <v>296</v>
      </c>
      <c r="E33" s="4" t="s">
        <v>297</v>
      </c>
      <c r="F33" s="4" t="s">
        <v>298</v>
      </c>
      <c r="G33" s="4" t="s">
        <v>299</v>
      </c>
      <c r="H33" s="4" t="s">
        <v>71</v>
      </c>
      <c r="I33" s="4" t="s">
        <v>29</v>
      </c>
      <c r="J33" s="4" t="s">
        <v>266</v>
      </c>
      <c r="K33" s="4" t="n">
        <v>15</v>
      </c>
      <c r="L33" s="4" t="n">
        <v>240</v>
      </c>
      <c r="M33" s="4" t="s">
        <v>58</v>
      </c>
      <c r="N33" s="4" t="s">
        <v>300</v>
      </c>
      <c r="O33" s="4" t="s">
        <v>26</v>
      </c>
      <c r="P33" s="4" t="s">
        <v>267</v>
      </c>
      <c r="Q33" s="6" t="n">
        <v>8.5</v>
      </c>
      <c r="R33" s="4" t="s">
        <v>301</v>
      </c>
      <c r="S33" s="4" t="s">
        <v>302</v>
      </c>
      <c r="T33" s="4" t="s">
        <v>303</v>
      </c>
      <c r="U33" s="4" t="s">
        <v>304</v>
      </c>
      <c r="V33" s="4" t="s">
        <v>272</v>
      </c>
      <c r="W33" s="5" t="str">
        <f aca="false">IF(OR(ISNUMBER(SEARCH("gesha",G33)),ISNUMBER(SEARCH("geisha",G33))),"⭐ GESHA","")</f>
        <v/>
      </c>
    </row>
    <row r="34" customFormat="false" ht="78.75" hidden="false" customHeight="true" outlineLevel="0" collapsed="false">
      <c r="A34" s="3" t="n">
        <v>46158</v>
      </c>
      <c r="B34" s="4" t="s">
        <v>50</v>
      </c>
      <c r="C34" s="4" t="s">
        <v>305</v>
      </c>
      <c r="D34" s="4" t="s">
        <v>306</v>
      </c>
      <c r="E34" s="4" t="s">
        <v>306</v>
      </c>
      <c r="F34" s="4" t="s">
        <v>207</v>
      </c>
      <c r="G34" s="4" t="s">
        <v>161</v>
      </c>
      <c r="H34" s="4" t="s">
        <v>56</v>
      </c>
      <c r="I34" s="4" t="s">
        <v>29</v>
      </c>
      <c r="J34" s="4" t="s">
        <v>307</v>
      </c>
      <c r="K34" s="4" t="n">
        <v>15</v>
      </c>
      <c r="L34" s="4" t="n">
        <v>230</v>
      </c>
      <c r="M34" s="4" t="s">
        <v>173</v>
      </c>
      <c r="N34" s="4" t="s">
        <v>308</v>
      </c>
      <c r="O34" s="4" t="s">
        <v>26</v>
      </c>
      <c r="P34" s="4" t="s">
        <v>309</v>
      </c>
      <c r="Q34" s="6" t="n">
        <v>14</v>
      </c>
      <c r="R34" s="4" t="s">
        <v>310</v>
      </c>
      <c r="S34" s="4" t="s">
        <v>311</v>
      </c>
      <c r="T34" s="4" t="s">
        <v>312</v>
      </c>
      <c r="U34" s="4" t="s">
        <v>313</v>
      </c>
      <c r="V34" s="4" t="s">
        <v>272</v>
      </c>
      <c r="W34" s="5" t="str">
        <f aca="false">IF(OR(ISNUMBER(SEARCH("gesha",G34)),ISNUMBER(SEARCH("geisha",G34))),"⭐ GESHA","")</f>
        <v>⭐ GESHA</v>
      </c>
    </row>
    <row r="35" customFormat="false" ht="69" hidden="false" customHeight="true" outlineLevel="0" collapsed="false">
      <c r="A35" s="3" t="n">
        <v>46161</v>
      </c>
      <c r="B35" s="4" t="s">
        <v>50</v>
      </c>
      <c r="C35" s="4" t="s">
        <v>314</v>
      </c>
      <c r="D35" s="4" t="s">
        <v>315</v>
      </c>
      <c r="E35" s="4" t="s">
        <v>316</v>
      </c>
      <c r="F35" s="4" t="s">
        <v>317</v>
      </c>
      <c r="G35" s="4" t="s">
        <v>184</v>
      </c>
      <c r="H35" s="4" t="s">
        <v>56</v>
      </c>
      <c r="I35" s="4" t="s">
        <v>29</v>
      </c>
      <c r="J35" s="4" t="s">
        <v>318</v>
      </c>
      <c r="K35" s="4" t="n">
        <v>15</v>
      </c>
      <c r="L35" s="4" t="n">
        <v>225</v>
      </c>
      <c r="M35" s="4" t="s">
        <v>147</v>
      </c>
      <c r="N35" s="4" t="s">
        <v>319</v>
      </c>
      <c r="O35" s="4" t="s">
        <v>26</v>
      </c>
      <c r="P35" s="4" t="s">
        <v>320</v>
      </c>
      <c r="Q35" s="6" t="n">
        <v>18</v>
      </c>
      <c r="R35" s="4" t="s">
        <v>321</v>
      </c>
      <c r="S35" s="4" t="s">
        <v>322</v>
      </c>
      <c r="T35" s="4" t="s">
        <v>323</v>
      </c>
      <c r="U35" s="4" t="s">
        <v>324</v>
      </c>
      <c r="V35" s="4" t="s">
        <v>272</v>
      </c>
      <c r="W35" s="5" t="str">
        <f aca="false">IF(OR(ISNUMBER(SEARCH("gesha",G35)),ISNUMBER(SEARCH("geisha",G35))),"⭐ GESHA","")</f>
        <v>⭐ GESHA</v>
      </c>
    </row>
    <row r="36" customFormat="false" ht="98.25" hidden="false" customHeight="true" outlineLevel="0" collapsed="false">
      <c r="A36" s="3" t="n">
        <v>46168</v>
      </c>
      <c r="B36" s="4" t="s">
        <v>50</v>
      </c>
      <c r="C36" s="4" t="s">
        <v>325</v>
      </c>
      <c r="D36" s="4" t="s">
        <v>326</v>
      </c>
      <c r="E36" s="4" t="s">
        <v>327</v>
      </c>
      <c r="F36" s="4" t="s">
        <v>207</v>
      </c>
      <c r="G36" s="4" t="s">
        <v>328</v>
      </c>
      <c r="H36" s="4" t="s">
        <v>329</v>
      </c>
      <c r="I36" s="4" t="s">
        <v>137</v>
      </c>
      <c r="J36" s="4" t="s">
        <v>330</v>
      </c>
      <c r="K36" s="4" t="n">
        <v>15</v>
      </c>
      <c r="L36" s="4" t="n">
        <v>240</v>
      </c>
      <c r="M36" s="4" t="s">
        <v>58</v>
      </c>
      <c r="N36" s="4" t="s">
        <v>308</v>
      </c>
      <c r="O36" s="4" t="s">
        <v>331</v>
      </c>
      <c r="P36" s="4" t="s">
        <v>332</v>
      </c>
      <c r="Q36" s="6" t="n">
        <v>12</v>
      </c>
      <c r="R36" s="4" t="s">
        <v>333</v>
      </c>
      <c r="S36" s="4" t="s">
        <v>334</v>
      </c>
      <c r="T36" s="4" t="s">
        <v>335</v>
      </c>
      <c r="U36" s="4" t="s">
        <v>336</v>
      </c>
      <c r="V36" s="4" t="s">
        <v>337</v>
      </c>
      <c r="W36" s="5" t="str">
        <f aca="false">IF(OR(ISNUMBER(SEARCH("gesha",G36)),ISNUMBER(SEARCH("geisha",G36))),"⭐ GESHA","")</f>
        <v/>
      </c>
    </row>
    <row r="37" customFormat="false" ht="59.25" hidden="false" customHeight="true" outlineLevel="0" collapsed="false">
      <c r="A37" s="3" t="n">
        <v>46183</v>
      </c>
      <c r="B37" s="4" t="s">
        <v>50</v>
      </c>
      <c r="C37" s="4" t="s">
        <v>237</v>
      </c>
      <c r="D37" s="4" t="s">
        <v>338</v>
      </c>
      <c r="E37" s="4" t="s">
        <v>339</v>
      </c>
      <c r="F37" s="4" t="s">
        <v>111</v>
      </c>
      <c r="G37" s="4" t="s">
        <v>340</v>
      </c>
      <c r="H37" s="4" t="s">
        <v>56</v>
      </c>
      <c r="I37" s="4" t="s">
        <v>137</v>
      </c>
      <c r="J37" s="4" t="s">
        <v>241</v>
      </c>
      <c r="K37" s="4" t="s">
        <v>26</v>
      </c>
      <c r="L37" s="4" t="s">
        <v>26</v>
      </c>
      <c r="M37" s="4" t="s">
        <v>113</v>
      </c>
      <c r="N37" s="4" t="s">
        <v>26</v>
      </c>
      <c r="O37" s="4" t="s">
        <v>26</v>
      </c>
      <c r="P37" s="4" t="s">
        <v>341</v>
      </c>
      <c r="Q37" s="6" t="n">
        <v>7.5</v>
      </c>
      <c r="R37" s="4" t="s">
        <v>342</v>
      </c>
      <c r="S37" s="4" t="s">
        <v>343</v>
      </c>
      <c r="T37" s="4" t="s">
        <v>344</v>
      </c>
      <c r="U37" s="4" t="s">
        <v>345</v>
      </c>
      <c r="V37" s="4" t="s">
        <v>346</v>
      </c>
      <c r="W37" s="5" t="str">
        <f aca="false">IF(OR(ISNUMBER(SEARCH("gesha",G37)),ISNUMBER(SEARCH("geisha",G37))),"⭐ GESHA","")</f>
        <v/>
      </c>
    </row>
    <row r="38" customFormat="false" ht="78.75" hidden="false" customHeight="true" outlineLevel="0" collapsed="false">
      <c r="A38" s="3" t="n">
        <v>46186</v>
      </c>
      <c r="B38" s="4" t="s">
        <v>50</v>
      </c>
      <c r="C38" s="4" t="s">
        <v>273</v>
      </c>
      <c r="D38" s="4" t="s">
        <v>347</v>
      </c>
      <c r="E38" s="4" t="s">
        <v>348</v>
      </c>
      <c r="F38" s="4" t="s">
        <v>349</v>
      </c>
      <c r="G38" s="4" t="s">
        <v>350</v>
      </c>
      <c r="H38" s="4" t="s">
        <v>128</v>
      </c>
      <c r="I38" s="4" t="s">
        <v>137</v>
      </c>
      <c r="J38" s="4" t="s">
        <v>266</v>
      </c>
      <c r="K38" s="4" t="s">
        <v>26</v>
      </c>
      <c r="L38" s="4" t="s">
        <v>26</v>
      </c>
      <c r="M38" s="4" t="s">
        <v>26</v>
      </c>
      <c r="N38" s="4" t="s">
        <v>26</v>
      </c>
      <c r="O38" s="4" t="s">
        <v>26</v>
      </c>
      <c r="P38" s="4" t="s">
        <v>290</v>
      </c>
      <c r="Q38" s="6" t="n">
        <v>9.27</v>
      </c>
      <c r="R38" s="4" t="s">
        <v>351</v>
      </c>
      <c r="S38" s="4" t="s">
        <v>352</v>
      </c>
      <c r="T38" s="4" t="s">
        <v>353</v>
      </c>
      <c r="U38" s="4" t="s">
        <v>354</v>
      </c>
      <c r="V38" s="4" t="s">
        <v>355</v>
      </c>
      <c r="W38" s="5" t="str">
        <f aca="false">IF(OR(ISNUMBER(SEARCH("gesha",G38)),ISNUMBER(SEARCH("geisha",G38))),"⭐ GESHA","")</f>
        <v/>
      </c>
    </row>
    <row r="39" customFormat="false" ht="88.5" hidden="false" customHeight="true" outlineLevel="0" collapsed="false">
      <c r="A39" s="3" t="n">
        <v>46187</v>
      </c>
      <c r="B39" s="4" t="s">
        <v>50</v>
      </c>
      <c r="C39" s="4" t="s">
        <v>356</v>
      </c>
      <c r="D39" s="4" t="s">
        <v>357</v>
      </c>
      <c r="E39" s="4" t="s">
        <v>358</v>
      </c>
      <c r="F39" s="4" t="s">
        <v>111</v>
      </c>
      <c r="G39" s="4" t="s">
        <v>161</v>
      </c>
      <c r="H39" s="4" t="s">
        <v>359</v>
      </c>
      <c r="I39" s="4" t="s">
        <v>360</v>
      </c>
      <c r="J39" s="4" t="s">
        <v>361</v>
      </c>
      <c r="K39" s="4" t="n">
        <v>15</v>
      </c>
      <c r="L39" s="4" t="n">
        <v>210</v>
      </c>
      <c r="M39" s="4" t="s">
        <v>231</v>
      </c>
      <c r="N39" s="4" t="s">
        <v>362</v>
      </c>
      <c r="O39" s="4" t="s">
        <v>363</v>
      </c>
      <c r="P39" s="4" t="s">
        <v>364</v>
      </c>
      <c r="Q39" s="6" t="n">
        <v>15</v>
      </c>
      <c r="R39" s="4" t="s">
        <v>365</v>
      </c>
      <c r="S39" s="4" t="s">
        <v>366</v>
      </c>
      <c r="T39" s="4" t="s">
        <v>367</v>
      </c>
      <c r="U39" s="4" t="s">
        <v>368</v>
      </c>
      <c r="V39" s="4" t="s">
        <v>369</v>
      </c>
      <c r="W39" s="5" t="str">
        <f aca="false">IF(OR(ISNUMBER(SEARCH("gesha",G39)),ISNUMBER(SEARCH("geisha",G39))),"⭐ GESHA","")</f>
        <v>⭐ GESHA</v>
      </c>
    </row>
    <row r="40" customFormat="false" ht="59.25" hidden="false" customHeight="true" outlineLevel="0" collapsed="false">
      <c r="A40" s="3" t="n">
        <v>46192</v>
      </c>
      <c r="B40" s="4" t="s">
        <v>50</v>
      </c>
      <c r="C40" s="4" t="s">
        <v>370</v>
      </c>
      <c r="D40" s="4" t="s">
        <v>371</v>
      </c>
      <c r="E40" s="4" t="s">
        <v>372</v>
      </c>
      <c r="F40" s="4" t="s">
        <v>373</v>
      </c>
      <c r="G40" s="4" t="s">
        <v>374</v>
      </c>
      <c r="H40" s="4" t="s">
        <v>375</v>
      </c>
      <c r="I40" s="4" t="s">
        <v>29</v>
      </c>
      <c r="J40" s="4" t="s">
        <v>376</v>
      </c>
      <c r="K40" s="4" t="n">
        <v>13</v>
      </c>
      <c r="L40" s="4" t="n">
        <v>190</v>
      </c>
      <c r="M40" s="4" t="s">
        <v>139</v>
      </c>
      <c r="N40" s="4" t="s">
        <v>377</v>
      </c>
      <c r="O40" s="4" t="s">
        <v>26</v>
      </c>
      <c r="P40" s="4" t="s">
        <v>378</v>
      </c>
      <c r="Q40" s="6" t="n">
        <v>13</v>
      </c>
      <c r="R40" s="4" t="s">
        <v>379</v>
      </c>
      <c r="S40" s="4" t="s">
        <v>380</v>
      </c>
      <c r="T40" s="4" t="s">
        <v>381</v>
      </c>
      <c r="U40" s="4" t="s">
        <v>382</v>
      </c>
      <c r="V40" s="4" t="s">
        <v>383</v>
      </c>
      <c r="W40" s="5" t="str">
        <f aca="false">IF(OR(ISNUMBER(SEARCH("gesha",G40)),ISNUMBER(SEARCH("geisha",G40))),"⭐ GESHA","")</f>
        <v/>
      </c>
    </row>
    <row r="41" customFormat="false" ht="49.5" hidden="false" customHeight="true" outlineLevel="0" collapsed="false">
      <c r="A41" s="3" t="n">
        <v>46192</v>
      </c>
      <c r="B41" s="4" t="s">
        <v>50</v>
      </c>
      <c r="C41" s="4" t="s">
        <v>384</v>
      </c>
      <c r="D41" s="4" t="s">
        <v>385</v>
      </c>
      <c r="E41" s="4" t="s">
        <v>386</v>
      </c>
      <c r="F41" s="4" t="s">
        <v>387</v>
      </c>
      <c r="G41" s="4" t="s">
        <v>161</v>
      </c>
      <c r="H41" s="4" t="s">
        <v>56</v>
      </c>
      <c r="I41" s="4" t="s">
        <v>26</v>
      </c>
      <c r="J41" s="4" t="s">
        <v>388</v>
      </c>
      <c r="K41" s="4" t="n">
        <v>15</v>
      </c>
      <c r="L41" s="4" t="n">
        <v>210</v>
      </c>
      <c r="M41" s="4" t="s">
        <v>231</v>
      </c>
      <c r="N41" s="4" t="s">
        <v>389</v>
      </c>
      <c r="O41" s="4" t="s">
        <v>26</v>
      </c>
      <c r="P41" s="4" t="s">
        <v>390</v>
      </c>
      <c r="Q41" s="6" t="n">
        <v>13</v>
      </c>
      <c r="R41" s="4" t="s">
        <v>391</v>
      </c>
      <c r="S41" s="4" t="s">
        <v>392</v>
      </c>
      <c r="T41" s="4" t="s">
        <v>393</v>
      </c>
      <c r="U41" s="4" t="s">
        <v>394</v>
      </c>
      <c r="V41" s="4" t="s">
        <v>383</v>
      </c>
      <c r="W41" s="5" t="str">
        <f aca="false">IF(OR(ISNUMBER(SEARCH("gesha",G41)),ISNUMBER(SEARCH("geisha",G41))),"⭐ GESHA","")</f>
        <v>⭐ GESHA</v>
      </c>
    </row>
    <row r="42" customFormat="false" ht="39.75" hidden="false" customHeight="true" outlineLevel="0" collapsed="false">
      <c r="A42" s="3" t="n">
        <v>46194</v>
      </c>
      <c r="B42" s="4" t="s">
        <v>50</v>
      </c>
      <c r="C42" s="4" t="s">
        <v>395</v>
      </c>
      <c r="D42" s="4" t="s">
        <v>396</v>
      </c>
      <c r="E42" s="4" t="s">
        <v>397</v>
      </c>
      <c r="F42" s="4" t="s">
        <v>398</v>
      </c>
      <c r="G42" s="4" t="s">
        <v>399</v>
      </c>
      <c r="H42" s="4" t="s">
        <v>56</v>
      </c>
      <c r="I42" s="4" t="s">
        <v>400</v>
      </c>
      <c r="J42" s="4" t="s">
        <v>401</v>
      </c>
      <c r="K42" s="4" t="n">
        <v>13</v>
      </c>
      <c r="L42" s="4" t="n">
        <v>220</v>
      </c>
      <c r="M42" s="4" t="s">
        <v>402</v>
      </c>
      <c r="N42" s="4" t="s">
        <v>232</v>
      </c>
      <c r="O42" s="4" t="s">
        <v>26</v>
      </c>
      <c r="P42" s="4" t="s">
        <v>140</v>
      </c>
      <c r="Q42" s="6" t="n">
        <v>9.5</v>
      </c>
      <c r="R42" s="4" t="s">
        <v>403</v>
      </c>
      <c r="S42" s="4" t="s">
        <v>404</v>
      </c>
      <c r="T42" s="4" t="s">
        <v>405</v>
      </c>
      <c r="U42" s="4" t="s">
        <v>406</v>
      </c>
      <c r="V42" s="4" t="s">
        <v>383</v>
      </c>
      <c r="W42" s="5" t="str">
        <f aca="false">IF(OR(ISNUMBER(SEARCH("gesha",G42)),ISNUMBER(SEARCH("geisha",G42))),"⭐ GESHA","")</f>
        <v/>
      </c>
    </row>
    <row r="43" customFormat="false" ht="59.25" hidden="false" customHeight="true" outlineLevel="0" collapsed="false">
      <c r="A43" s="3" t="n">
        <v>46198</v>
      </c>
      <c r="B43" s="4" t="s">
        <v>50</v>
      </c>
      <c r="C43" s="4" t="s">
        <v>407</v>
      </c>
      <c r="D43" s="4" t="s">
        <v>408</v>
      </c>
      <c r="E43" s="4" t="s">
        <v>409</v>
      </c>
      <c r="F43" s="4" t="s">
        <v>251</v>
      </c>
      <c r="G43" s="4" t="s">
        <v>410</v>
      </c>
      <c r="H43" s="4" t="s">
        <v>411</v>
      </c>
      <c r="I43" s="4" t="s">
        <v>412</v>
      </c>
      <c r="J43" s="4" t="s">
        <v>266</v>
      </c>
      <c r="K43" s="4" t="n">
        <v>15</v>
      </c>
      <c r="L43" s="4" t="n">
        <v>225</v>
      </c>
      <c r="M43" s="4" t="s">
        <v>147</v>
      </c>
      <c r="N43" s="4" t="s">
        <v>26</v>
      </c>
      <c r="O43" s="4" t="s">
        <v>26</v>
      </c>
      <c r="P43" s="4" t="s">
        <v>413</v>
      </c>
      <c r="Q43" s="6" t="n">
        <v>9</v>
      </c>
      <c r="R43" s="4" t="s">
        <v>414</v>
      </c>
      <c r="S43" s="4" t="s">
        <v>415</v>
      </c>
      <c r="T43" s="4" t="s">
        <v>416</v>
      </c>
      <c r="U43" s="4" t="s">
        <v>417</v>
      </c>
      <c r="V43" s="4" t="s">
        <v>418</v>
      </c>
      <c r="W43" s="5" t="str">
        <f aca="false">IF(OR(ISNUMBER(SEARCH("gesha",G43)),ISNUMBER(SEARCH("geisha",G43))),"⭐ GESHA","")</f>
        <v/>
      </c>
    </row>
    <row r="44" customFormat="false" ht="49.5" hidden="false" customHeight="true" outlineLevel="0" collapsed="false">
      <c r="A44" s="3" t="n">
        <v>46200</v>
      </c>
      <c r="B44" s="4" t="s">
        <v>50</v>
      </c>
      <c r="C44" s="4" t="s">
        <v>395</v>
      </c>
      <c r="D44" s="4" t="s">
        <v>419</v>
      </c>
      <c r="E44" s="4" t="s">
        <v>420</v>
      </c>
      <c r="F44" s="4" t="s">
        <v>421</v>
      </c>
      <c r="G44" s="4" t="s">
        <v>422</v>
      </c>
      <c r="H44" s="4" t="s">
        <v>423</v>
      </c>
      <c r="I44" s="4" t="s">
        <v>400</v>
      </c>
      <c r="J44" s="4" t="s">
        <v>401</v>
      </c>
      <c r="K44" s="4" t="n">
        <v>13</v>
      </c>
      <c r="L44" s="4" t="n">
        <v>215</v>
      </c>
      <c r="M44" s="4" t="s">
        <v>424</v>
      </c>
      <c r="N44" s="4" t="s">
        <v>232</v>
      </c>
      <c r="O44" s="4" t="s">
        <v>425</v>
      </c>
      <c r="P44" s="4" t="s">
        <v>140</v>
      </c>
      <c r="Q44" s="6" t="n">
        <v>9.5</v>
      </c>
      <c r="R44" s="4" t="s">
        <v>426</v>
      </c>
      <c r="S44" s="4" t="s">
        <v>427</v>
      </c>
      <c r="T44" s="4" t="s">
        <v>428</v>
      </c>
      <c r="U44" s="4" t="s">
        <v>429</v>
      </c>
      <c r="V44" s="4" t="s">
        <v>383</v>
      </c>
      <c r="W44" s="5" t="str">
        <f aca="false">IF(OR(ISNUMBER(SEARCH("gesha",G44)),ISNUMBER(SEARCH("geisha",G44))),"⭐ GESHA","")</f>
        <v/>
      </c>
    </row>
    <row r="45" customFormat="false" ht="78.75" hidden="false" customHeight="true" outlineLevel="0" collapsed="false">
      <c r="A45" s="3" t="n">
        <v>46201</v>
      </c>
      <c r="B45" s="4" t="s">
        <v>50</v>
      </c>
      <c r="C45" s="4" t="s">
        <v>356</v>
      </c>
      <c r="D45" s="4" t="s">
        <v>430</v>
      </c>
      <c r="E45" s="4" t="s">
        <v>26</v>
      </c>
      <c r="F45" s="4" t="s">
        <v>431</v>
      </c>
      <c r="G45" s="4" t="s">
        <v>432</v>
      </c>
      <c r="H45" s="4" t="s">
        <v>433</v>
      </c>
      <c r="I45" s="4" t="s">
        <v>137</v>
      </c>
      <c r="J45" s="4" t="s">
        <v>361</v>
      </c>
      <c r="K45" s="4" t="n">
        <v>15</v>
      </c>
      <c r="L45" s="4" t="n">
        <v>210</v>
      </c>
      <c r="M45" s="4" t="s">
        <v>231</v>
      </c>
      <c r="N45" s="4" t="s">
        <v>434</v>
      </c>
      <c r="O45" s="4" t="s">
        <v>26</v>
      </c>
      <c r="P45" s="4" t="s">
        <v>364</v>
      </c>
      <c r="Q45" s="6" t="n">
        <v>13</v>
      </c>
      <c r="R45" s="4" t="s">
        <v>435</v>
      </c>
      <c r="S45" s="4" t="s">
        <v>436</v>
      </c>
      <c r="T45" s="4" t="s">
        <v>437</v>
      </c>
      <c r="U45" s="4" t="s">
        <v>438</v>
      </c>
      <c r="V45" s="4" t="s">
        <v>439</v>
      </c>
      <c r="W45" s="5" t="str">
        <f aca="false">IF(OR(ISNUMBER(SEARCH("gesha",G45)),ISNUMBER(SEARCH("geisha",G45))),"⭐ GESHA","")</f>
        <v/>
      </c>
    </row>
    <row r="46" customFormat="false" ht="98.25" hidden="false" customHeight="true" outlineLevel="0" collapsed="false">
      <c r="A46" s="3" t="n">
        <v>46201</v>
      </c>
      <c r="B46" s="4" t="s">
        <v>50</v>
      </c>
      <c r="C46" s="4" t="s">
        <v>157</v>
      </c>
      <c r="D46" s="4" t="s">
        <v>440</v>
      </c>
      <c r="E46" s="4" t="s">
        <v>441</v>
      </c>
      <c r="F46" s="4" t="s">
        <v>442</v>
      </c>
      <c r="G46" s="4" t="s">
        <v>443</v>
      </c>
      <c r="H46" s="4" t="s">
        <v>444</v>
      </c>
      <c r="I46" s="4" t="s">
        <v>137</v>
      </c>
      <c r="J46" s="4" t="s">
        <v>445</v>
      </c>
      <c r="K46" s="4" t="n">
        <v>15</v>
      </c>
      <c r="L46" s="4" t="n">
        <v>240</v>
      </c>
      <c r="M46" s="4" t="s">
        <v>58</v>
      </c>
      <c r="N46" s="4" t="s">
        <v>300</v>
      </c>
      <c r="O46" s="4" t="s">
        <v>446</v>
      </c>
      <c r="P46" s="4" t="s">
        <v>164</v>
      </c>
      <c r="Q46" s="6" t="n">
        <v>14</v>
      </c>
      <c r="R46" s="4" t="s">
        <v>447</v>
      </c>
      <c r="S46" s="4" t="s">
        <v>448</v>
      </c>
      <c r="T46" s="4" t="s">
        <v>449</v>
      </c>
      <c r="U46" s="4" t="s">
        <v>450</v>
      </c>
      <c r="V46" s="4" t="s">
        <v>451</v>
      </c>
      <c r="W46" s="5" t="str">
        <f aca="false">IF(OR(ISNUMBER(SEARCH("gesha",G46)),ISNUMBER(SEARCH("geisha",G46))),"⭐ GESHA","")</f>
        <v/>
      </c>
    </row>
    <row r="47" customFormat="false" ht="108" hidden="false" customHeight="true" outlineLevel="0" collapsed="false">
      <c r="A47" s="3" t="n">
        <v>46203</v>
      </c>
      <c r="B47" s="4" t="s">
        <v>50</v>
      </c>
      <c r="C47" s="4" t="s">
        <v>452</v>
      </c>
      <c r="D47" s="4" t="s">
        <v>453</v>
      </c>
      <c r="E47" s="4" t="s">
        <v>454</v>
      </c>
      <c r="F47" s="4" t="s">
        <v>455</v>
      </c>
      <c r="G47" s="4" t="s">
        <v>456</v>
      </c>
      <c r="H47" s="4" t="s">
        <v>457</v>
      </c>
      <c r="I47" s="4" t="s">
        <v>360</v>
      </c>
      <c r="J47" s="4" t="s">
        <v>458</v>
      </c>
      <c r="K47" s="4" t="s">
        <v>459</v>
      </c>
      <c r="L47" s="4" t="s">
        <v>459</v>
      </c>
      <c r="M47" s="4" t="s">
        <v>459</v>
      </c>
      <c r="N47" s="4" t="s">
        <v>459</v>
      </c>
      <c r="O47" s="4" t="s">
        <v>26</v>
      </c>
      <c r="P47" s="4" t="s">
        <v>459</v>
      </c>
      <c r="Q47" s="6" t="n">
        <v>6</v>
      </c>
      <c r="R47" s="4" t="s">
        <v>460</v>
      </c>
      <c r="S47" s="4" t="s">
        <v>461</v>
      </c>
      <c r="T47" s="4" t="s">
        <v>462</v>
      </c>
      <c r="U47" s="4" t="s">
        <v>463</v>
      </c>
      <c r="V47" s="4" t="s">
        <v>355</v>
      </c>
      <c r="W47" s="5" t="str">
        <f aca="false">IF(OR(ISNUMBER(SEARCH("gesha",G47)),ISNUMBER(SEARCH("geisha",G47))),"⭐ GESHA","")</f>
        <v/>
      </c>
    </row>
    <row r="48" customFormat="false" ht="78.75" hidden="false" customHeight="true" outlineLevel="0" collapsed="false">
      <c r="A48" s="3" t="n">
        <v>46204</v>
      </c>
      <c r="B48" s="4" t="s">
        <v>50</v>
      </c>
      <c r="C48" s="4" t="s">
        <v>51</v>
      </c>
      <c r="D48" s="4" t="s">
        <v>464</v>
      </c>
      <c r="E48" s="4" t="s">
        <v>465</v>
      </c>
      <c r="F48" s="4" t="s">
        <v>466</v>
      </c>
      <c r="G48" s="4" t="s">
        <v>467</v>
      </c>
      <c r="H48" s="4" t="s">
        <v>56</v>
      </c>
      <c r="I48" s="4" t="s">
        <v>29</v>
      </c>
      <c r="J48" s="4" t="s">
        <v>468</v>
      </c>
      <c r="K48" s="4" t="n">
        <v>16</v>
      </c>
      <c r="L48" s="4" t="n">
        <v>240</v>
      </c>
      <c r="M48" s="4" t="s">
        <v>147</v>
      </c>
      <c r="N48" s="4" t="s">
        <v>469</v>
      </c>
      <c r="O48" s="4" t="s">
        <v>470</v>
      </c>
      <c r="P48" s="4" t="s">
        <v>471</v>
      </c>
      <c r="Q48" s="6" t="n">
        <v>9</v>
      </c>
      <c r="R48" s="4" t="s">
        <v>472</v>
      </c>
      <c r="S48" s="4" t="s">
        <v>473</v>
      </c>
      <c r="T48" s="4" t="s">
        <v>474</v>
      </c>
      <c r="U48" s="4" t="s">
        <v>475</v>
      </c>
      <c r="V48" s="4" t="s">
        <v>476</v>
      </c>
      <c r="W48" s="5" t="str">
        <f aca="false">IF(OR(ISNUMBER(SEARCH("gesha",G48)),ISNUMBER(SEARCH("geisha",G48))),"⭐ GESHA","")</f>
        <v/>
      </c>
    </row>
    <row r="49" customFormat="false" ht="165.75" hidden="false" customHeight="true" outlineLevel="0" collapsed="false">
      <c r="A49" s="3" t="n">
        <v>46206</v>
      </c>
      <c r="B49" s="4" t="s">
        <v>50</v>
      </c>
      <c r="C49" s="4" t="s">
        <v>325</v>
      </c>
      <c r="D49" s="4" t="s">
        <v>477</v>
      </c>
      <c r="E49" s="4" t="s">
        <v>478</v>
      </c>
      <c r="F49" s="4" t="s">
        <v>111</v>
      </c>
      <c r="G49" s="4" t="s">
        <v>479</v>
      </c>
      <c r="H49" s="4" t="s">
        <v>56</v>
      </c>
      <c r="I49" s="4" t="s">
        <v>137</v>
      </c>
      <c r="J49" s="4" t="s">
        <v>480</v>
      </c>
      <c r="K49" s="4" t="n">
        <v>15</v>
      </c>
      <c r="L49" s="4" t="n">
        <v>240</v>
      </c>
      <c r="M49" s="4" t="s">
        <v>58</v>
      </c>
      <c r="N49" s="4" t="s">
        <v>481</v>
      </c>
      <c r="O49" s="4" t="s">
        <v>482</v>
      </c>
      <c r="P49" s="4" t="s">
        <v>483</v>
      </c>
      <c r="Q49" s="6" t="n">
        <v>9</v>
      </c>
      <c r="R49" s="4" t="s">
        <v>484</v>
      </c>
      <c r="S49" s="4" t="s">
        <v>485</v>
      </c>
      <c r="T49" s="4" t="s">
        <v>486</v>
      </c>
      <c r="U49" s="4" t="s">
        <v>487</v>
      </c>
      <c r="V49" s="4" t="s">
        <v>488</v>
      </c>
      <c r="W49" s="5" t="str">
        <f aca="false">IF(OR(ISNUMBER(SEARCH("gesha",G49)),ISNUMBER(SEARCH("geisha",G49))),"⭐ GESHA","")</f>
        <v/>
      </c>
    </row>
    <row r="50" customFormat="false" ht="49.5" hidden="false" customHeight="true" outlineLevel="0" collapsed="false">
      <c r="A50" s="3" t="n">
        <v>46207</v>
      </c>
      <c r="B50" s="4" t="s">
        <v>50</v>
      </c>
      <c r="C50" s="4" t="s">
        <v>489</v>
      </c>
      <c r="D50" s="4" t="s">
        <v>490</v>
      </c>
      <c r="E50" s="4" t="s">
        <v>491</v>
      </c>
      <c r="F50" s="4" t="s">
        <v>492</v>
      </c>
      <c r="G50" s="4" t="s">
        <v>86</v>
      </c>
      <c r="H50" s="4" t="s">
        <v>493</v>
      </c>
      <c r="I50" s="4" t="s">
        <v>137</v>
      </c>
      <c r="J50" s="4" t="s">
        <v>494</v>
      </c>
      <c r="K50" s="4" t="n">
        <v>15</v>
      </c>
      <c r="L50" s="4" t="n">
        <v>240</v>
      </c>
      <c r="M50" s="4" t="s">
        <v>58</v>
      </c>
      <c r="N50" s="4" t="s">
        <v>495</v>
      </c>
      <c r="O50" s="4" t="s">
        <v>496</v>
      </c>
      <c r="P50" s="4" t="s">
        <v>497</v>
      </c>
      <c r="Q50" s="6" t="n">
        <v>9</v>
      </c>
      <c r="R50" s="4" t="s">
        <v>498</v>
      </c>
      <c r="S50" s="4" t="s">
        <v>499</v>
      </c>
      <c r="T50" s="4" t="s">
        <v>500</v>
      </c>
      <c r="U50" s="4" t="s">
        <v>501</v>
      </c>
      <c r="V50" s="4" t="s">
        <v>502</v>
      </c>
      <c r="W50" s="5" t="str">
        <f aca="false">IF(OR(ISNUMBER(SEARCH("gesha",G50)),ISNUMBER(SEARCH("geisha",G50))),"⭐ GESHA","")</f>
        <v/>
      </c>
    </row>
    <row r="51" customFormat="false" ht="117.75" hidden="false" customHeight="true" outlineLevel="0" collapsed="false">
      <c r="A51" s="3" t="n">
        <v>46208</v>
      </c>
      <c r="B51" s="4" t="s">
        <v>50</v>
      </c>
      <c r="C51" s="4" t="s">
        <v>503</v>
      </c>
      <c r="D51" s="4" t="s">
        <v>504</v>
      </c>
      <c r="E51" s="4" t="s">
        <v>505</v>
      </c>
      <c r="F51" s="4" t="s">
        <v>506</v>
      </c>
      <c r="G51" s="4" t="s">
        <v>161</v>
      </c>
      <c r="H51" s="4" t="s">
        <v>28</v>
      </c>
      <c r="I51" s="4" t="s">
        <v>29</v>
      </c>
      <c r="J51" s="4" t="s">
        <v>507</v>
      </c>
      <c r="K51" s="4" t="n">
        <v>15</v>
      </c>
      <c r="L51" s="4" t="n">
        <v>247</v>
      </c>
      <c r="M51" s="4" t="s">
        <v>424</v>
      </c>
      <c r="N51" s="4" t="s">
        <v>508</v>
      </c>
      <c r="O51" s="4" t="s">
        <v>26</v>
      </c>
      <c r="P51" s="4" t="s">
        <v>290</v>
      </c>
      <c r="Q51" s="6" t="n">
        <v>19</v>
      </c>
      <c r="R51" s="4" t="s">
        <v>509</v>
      </c>
      <c r="S51" s="4" t="s">
        <v>510</v>
      </c>
      <c r="T51" s="4" t="s">
        <v>511</v>
      </c>
      <c r="U51" s="4" t="s">
        <v>512</v>
      </c>
      <c r="V51" s="4" t="s">
        <v>513</v>
      </c>
      <c r="W51" s="5" t="str">
        <f aca="false">IF(OR(ISNUMBER(SEARCH("gesha",G51)),ISNUMBER(SEARCH("geisha",G51))),"⭐ GESHA","")</f>
        <v>⭐ GESHA</v>
      </c>
    </row>
    <row r="52" customFormat="false" ht="88.5" hidden="false" customHeight="true" outlineLevel="0" collapsed="false">
      <c r="A52" s="3" t="n">
        <v>46208</v>
      </c>
      <c r="B52" s="4" t="s">
        <v>50</v>
      </c>
      <c r="C52" s="4" t="s">
        <v>503</v>
      </c>
      <c r="D52" s="4" t="s">
        <v>514</v>
      </c>
      <c r="E52" s="4" t="s">
        <v>491</v>
      </c>
      <c r="F52" s="4" t="s">
        <v>515</v>
      </c>
      <c r="G52" s="4" t="s">
        <v>516</v>
      </c>
      <c r="H52" s="4" t="s">
        <v>56</v>
      </c>
      <c r="I52" s="4" t="s">
        <v>29</v>
      </c>
      <c r="J52" s="4" t="s">
        <v>507</v>
      </c>
      <c r="K52" s="4" t="n">
        <v>15</v>
      </c>
      <c r="L52" s="4" t="n">
        <v>244</v>
      </c>
      <c r="M52" s="4" t="s">
        <v>517</v>
      </c>
      <c r="N52" s="4" t="s">
        <v>518</v>
      </c>
      <c r="O52" s="4" t="s">
        <v>26</v>
      </c>
      <c r="P52" s="4" t="s">
        <v>290</v>
      </c>
      <c r="Q52" s="6" t="n">
        <v>10</v>
      </c>
      <c r="R52" s="4" t="s">
        <v>519</v>
      </c>
      <c r="S52" s="4" t="s">
        <v>520</v>
      </c>
      <c r="T52" s="4" t="s">
        <v>521</v>
      </c>
      <c r="U52" s="4" t="s">
        <v>522</v>
      </c>
      <c r="V52" s="4" t="s">
        <v>523</v>
      </c>
      <c r="W52" s="5" t="str">
        <f aca="false">IF(OR(ISNUMBER(SEARCH("gesha",G52)),ISNUMBER(SEARCH("geisha",G52))),"⭐ GESHA","")</f>
        <v/>
      </c>
    </row>
    <row r="53" customFormat="false" ht="117.75" hidden="false" customHeight="true" outlineLevel="0" collapsed="false">
      <c r="A53" s="3" t="n">
        <v>46208</v>
      </c>
      <c r="B53" s="4" t="s">
        <v>50</v>
      </c>
      <c r="C53" s="4" t="s">
        <v>524</v>
      </c>
      <c r="D53" s="4" t="s">
        <v>525</v>
      </c>
      <c r="E53" s="4" t="s">
        <v>26</v>
      </c>
      <c r="F53" s="4" t="s">
        <v>526</v>
      </c>
      <c r="G53" s="4" t="s">
        <v>184</v>
      </c>
      <c r="H53" s="4" t="s">
        <v>28</v>
      </c>
      <c r="I53" s="4" t="s">
        <v>39</v>
      </c>
      <c r="J53" s="4" t="s">
        <v>527</v>
      </c>
      <c r="K53" s="4" t="n">
        <v>15</v>
      </c>
      <c r="L53" s="4" t="n">
        <v>225</v>
      </c>
      <c r="M53" s="4" t="s">
        <v>147</v>
      </c>
      <c r="N53" s="4" t="s">
        <v>308</v>
      </c>
      <c r="O53" s="4" t="s">
        <v>26</v>
      </c>
      <c r="P53" s="4" t="s">
        <v>528</v>
      </c>
      <c r="Q53" s="6" t="n">
        <v>9.9</v>
      </c>
      <c r="R53" s="4" t="s">
        <v>529</v>
      </c>
      <c r="S53" s="4" t="s">
        <v>530</v>
      </c>
      <c r="T53" s="4" t="s">
        <v>531</v>
      </c>
      <c r="U53" s="4" t="s">
        <v>532</v>
      </c>
      <c r="V53" s="4" t="s">
        <v>533</v>
      </c>
      <c r="W53" s="5" t="str">
        <f aca="false">IF(OR(ISNUMBER(SEARCH("gesha",G53)),ISNUMBER(SEARCH("geisha",G53))),"⭐ GESHA","")</f>
        <v>⭐ GESHA</v>
      </c>
    </row>
    <row r="54" customFormat="false" ht="88.5" hidden="false" customHeight="true" outlineLevel="0" collapsed="false">
      <c r="A54" s="3" t="n">
        <v>46209</v>
      </c>
      <c r="B54" s="4" t="s">
        <v>50</v>
      </c>
      <c r="C54" s="4" t="s">
        <v>305</v>
      </c>
      <c r="D54" s="4" t="s">
        <v>534</v>
      </c>
      <c r="E54" s="4" t="s">
        <v>535</v>
      </c>
      <c r="F54" s="4" t="s">
        <v>251</v>
      </c>
      <c r="G54" s="4" t="s">
        <v>536</v>
      </c>
      <c r="H54" s="4" t="s">
        <v>257</v>
      </c>
      <c r="I54" s="4" t="s">
        <v>29</v>
      </c>
      <c r="J54" s="4" t="s">
        <v>537</v>
      </c>
      <c r="K54" s="4" t="n">
        <v>15</v>
      </c>
      <c r="L54" s="4" t="n">
        <v>225</v>
      </c>
      <c r="M54" s="4" t="s">
        <v>147</v>
      </c>
      <c r="N54" s="4" t="s">
        <v>538</v>
      </c>
      <c r="O54" s="4" t="s">
        <v>26</v>
      </c>
      <c r="P54" s="4" t="s">
        <v>539</v>
      </c>
      <c r="Q54" s="6" t="n">
        <v>11</v>
      </c>
      <c r="R54" s="4" t="s">
        <v>540</v>
      </c>
      <c r="S54" s="4" t="s">
        <v>541</v>
      </c>
      <c r="T54" s="4" t="s">
        <v>542</v>
      </c>
      <c r="U54" s="4" t="s">
        <v>543</v>
      </c>
      <c r="V54" s="4" t="s">
        <v>544</v>
      </c>
      <c r="W54" s="5" t="str">
        <f aca="false">IF(OR(ISNUMBER(SEARCH("gesha",G54)),ISNUMBER(SEARCH("geisha",G54))),"⭐ GESHA","")</f>
        <v/>
      </c>
    </row>
    <row r="55" customFormat="false" ht="88.5" hidden="false" customHeight="true" outlineLevel="0" collapsed="false">
      <c r="A55" s="3" t="n">
        <v>46209</v>
      </c>
      <c r="B55" s="4" t="s">
        <v>50</v>
      </c>
      <c r="C55" s="4" t="s">
        <v>305</v>
      </c>
      <c r="D55" s="4" t="s">
        <v>545</v>
      </c>
      <c r="E55" s="4" t="s">
        <v>546</v>
      </c>
      <c r="F55" s="4" t="s">
        <v>251</v>
      </c>
      <c r="G55" s="4" t="s">
        <v>547</v>
      </c>
      <c r="H55" s="4" t="s">
        <v>548</v>
      </c>
      <c r="I55" s="4" t="s">
        <v>29</v>
      </c>
      <c r="J55" s="4" t="s">
        <v>537</v>
      </c>
      <c r="K55" s="4" t="n">
        <v>15</v>
      </c>
      <c r="L55" s="4" t="n">
        <v>225</v>
      </c>
      <c r="M55" s="4" t="s">
        <v>147</v>
      </c>
      <c r="N55" s="4" t="s">
        <v>538</v>
      </c>
      <c r="O55" s="4" t="s">
        <v>26</v>
      </c>
      <c r="P55" s="4" t="s">
        <v>539</v>
      </c>
      <c r="Q55" s="6" t="n">
        <v>9</v>
      </c>
      <c r="R55" s="4" t="s">
        <v>549</v>
      </c>
      <c r="S55" s="4" t="s">
        <v>550</v>
      </c>
      <c r="T55" s="4" t="s">
        <v>551</v>
      </c>
      <c r="U55" s="4" t="s">
        <v>552</v>
      </c>
      <c r="V55" s="4" t="s">
        <v>544</v>
      </c>
      <c r="W55" s="5" t="str">
        <f aca="false">IF(OR(ISNUMBER(SEARCH("gesha",G55)),ISNUMBER(SEARCH("geisha",G55))),"⭐ GESHA","")</f>
        <v/>
      </c>
    </row>
    <row r="56" customFormat="false" ht="108" hidden="false" customHeight="true" outlineLevel="0" collapsed="false">
      <c r="A56" s="3" t="n">
        <v>46210</v>
      </c>
      <c r="B56" s="4" t="s">
        <v>50</v>
      </c>
      <c r="C56" s="4" t="s">
        <v>553</v>
      </c>
      <c r="D56" s="4" t="s">
        <v>554</v>
      </c>
      <c r="E56" s="4" t="s">
        <v>555</v>
      </c>
      <c r="F56" s="4" t="s">
        <v>556</v>
      </c>
      <c r="G56" s="4" t="s">
        <v>161</v>
      </c>
      <c r="H56" s="4" t="s">
        <v>359</v>
      </c>
      <c r="I56" s="4" t="s">
        <v>29</v>
      </c>
      <c r="J56" s="4" t="s">
        <v>557</v>
      </c>
      <c r="K56" s="4" t="n">
        <v>13.5</v>
      </c>
      <c r="L56" s="4" t="n">
        <v>200</v>
      </c>
      <c r="M56" s="4" t="s">
        <v>558</v>
      </c>
      <c r="N56" s="4" t="s">
        <v>559</v>
      </c>
      <c r="O56" s="4" t="s">
        <v>560</v>
      </c>
      <c r="P56" s="4" t="s">
        <v>561</v>
      </c>
      <c r="Q56" s="6" t="n">
        <v>15</v>
      </c>
      <c r="R56" s="4" t="s">
        <v>562</v>
      </c>
      <c r="S56" s="4" t="s">
        <v>563</v>
      </c>
      <c r="T56" s="4" t="s">
        <v>564</v>
      </c>
      <c r="U56" s="4" t="s">
        <v>565</v>
      </c>
      <c r="V56" s="4" t="s">
        <v>566</v>
      </c>
      <c r="W56" s="5" t="str">
        <f aca="false">IF(OR(ISNUMBER(SEARCH("gesha",G56)),ISNUMBER(SEARCH("geisha",G56))),"⭐ GESHA","")</f>
        <v>⭐ GESHA</v>
      </c>
    </row>
    <row r="57" customFormat="false" ht="108" hidden="false" customHeight="true" outlineLevel="0" collapsed="false">
      <c r="A57" s="3" t="n">
        <v>46211</v>
      </c>
      <c r="B57" s="4" t="s">
        <v>50</v>
      </c>
      <c r="C57" s="4" t="s">
        <v>567</v>
      </c>
      <c r="D57" s="4" t="s">
        <v>568</v>
      </c>
      <c r="E57" s="4" t="s">
        <v>569</v>
      </c>
      <c r="F57" s="4" t="s">
        <v>570</v>
      </c>
      <c r="G57" s="4" t="s">
        <v>161</v>
      </c>
      <c r="H57" s="4" t="s">
        <v>28</v>
      </c>
      <c r="I57" s="4" t="s">
        <v>26</v>
      </c>
      <c r="J57" s="4" t="s">
        <v>571</v>
      </c>
      <c r="K57" s="4" t="n">
        <v>13.5</v>
      </c>
      <c r="L57" s="4" t="n">
        <v>180</v>
      </c>
      <c r="M57" s="4" t="s">
        <v>572</v>
      </c>
      <c r="N57" s="4" t="s">
        <v>573</v>
      </c>
      <c r="O57" s="4" t="s">
        <v>574</v>
      </c>
      <c r="P57" s="4" t="s">
        <v>575</v>
      </c>
      <c r="Q57" s="6" t="n">
        <v>16</v>
      </c>
      <c r="R57" s="4" t="s">
        <v>576</v>
      </c>
      <c r="S57" s="4" t="s">
        <v>577</v>
      </c>
      <c r="T57" s="4" t="s">
        <v>578</v>
      </c>
      <c r="U57" s="4" t="s">
        <v>579</v>
      </c>
      <c r="V57" s="4" t="s">
        <v>580</v>
      </c>
      <c r="W57" s="5" t="str">
        <f aca="false">IF(OR(ISNUMBER(SEARCH("gesha",G57)),ISNUMBER(SEARCH("geisha",G57))),"⭐ GESHA","")</f>
        <v>⭐ GESHA</v>
      </c>
    </row>
    <row r="58" customFormat="false" ht="78.75" hidden="false" customHeight="true" outlineLevel="0" collapsed="false">
      <c r="A58" s="3" t="n">
        <v>46211</v>
      </c>
      <c r="B58" s="4" t="s">
        <v>50</v>
      </c>
      <c r="C58" s="4" t="s">
        <v>237</v>
      </c>
      <c r="D58" s="4" t="s">
        <v>581</v>
      </c>
      <c r="E58" s="4" t="s">
        <v>582</v>
      </c>
      <c r="F58" s="4" t="s">
        <v>583</v>
      </c>
      <c r="G58" s="4" t="s">
        <v>584</v>
      </c>
      <c r="H58" s="4" t="s">
        <v>28</v>
      </c>
      <c r="I58" s="4" t="s">
        <v>137</v>
      </c>
      <c r="J58" s="4" t="s">
        <v>241</v>
      </c>
      <c r="K58" s="4" t="s">
        <v>26</v>
      </c>
      <c r="L58" s="4" t="s">
        <v>26</v>
      </c>
      <c r="M58" s="4" t="s">
        <v>113</v>
      </c>
      <c r="N58" s="4" t="s">
        <v>59</v>
      </c>
      <c r="O58" s="4" t="s">
        <v>26</v>
      </c>
      <c r="P58" s="4" t="s">
        <v>341</v>
      </c>
      <c r="Q58" s="6" t="n">
        <v>8.5</v>
      </c>
      <c r="R58" s="4" t="s">
        <v>585</v>
      </c>
      <c r="S58" s="4" t="s">
        <v>586</v>
      </c>
      <c r="T58" s="4" t="s">
        <v>587</v>
      </c>
      <c r="U58" s="4" t="s">
        <v>588</v>
      </c>
      <c r="V58" s="4" t="s">
        <v>589</v>
      </c>
      <c r="W58" s="5" t="str">
        <f aca="false">IF(OR(ISNUMBER(SEARCH("gesha",G58)),ISNUMBER(SEARCH("geisha",G58))),"⭐ GESHA","")</f>
        <v/>
      </c>
    </row>
    <row r="59" customFormat="false" ht="127.5" hidden="false" customHeight="true" outlineLevel="0" collapsed="false">
      <c r="A59" s="3" t="n">
        <v>46212</v>
      </c>
      <c r="B59" s="4" t="s">
        <v>50</v>
      </c>
      <c r="C59" s="4" t="s">
        <v>590</v>
      </c>
      <c r="D59" s="4" t="s">
        <v>591</v>
      </c>
      <c r="E59" s="4" t="s">
        <v>592</v>
      </c>
      <c r="F59" s="4" t="s">
        <v>111</v>
      </c>
      <c r="G59" s="4" t="s">
        <v>161</v>
      </c>
      <c r="H59" s="4" t="s">
        <v>56</v>
      </c>
      <c r="I59" s="4" t="s">
        <v>29</v>
      </c>
      <c r="J59" s="4" t="s">
        <v>593</v>
      </c>
      <c r="K59" s="4" t="n">
        <v>15</v>
      </c>
      <c r="L59" s="4" t="n">
        <v>232</v>
      </c>
      <c r="M59" s="4" t="s">
        <v>594</v>
      </c>
      <c r="N59" s="4" t="s">
        <v>595</v>
      </c>
      <c r="O59" s="4" t="s">
        <v>596</v>
      </c>
      <c r="P59" s="4" t="s">
        <v>309</v>
      </c>
      <c r="Q59" s="6" t="n">
        <v>21</v>
      </c>
      <c r="R59" s="4" t="s">
        <v>597</v>
      </c>
      <c r="S59" s="4" t="s">
        <v>598</v>
      </c>
      <c r="T59" s="4" t="s">
        <v>599</v>
      </c>
      <c r="U59" s="4" t="s">
        <v>600</v>
      </c>
      <c r="V59" s="4" t="s">
        <v>601</v>
      </c>
      <c r="W59" s="5" t="str">
        <f aca="false">IF(OR(ISNUMBER(SEARCH("gesha",G59)),ISNUMBER(SEARCH("geisha",G59))),"⭐ GESHA","")</f>
        <v>⭐ GESHA</v>
      </c>
    </row>
    <row r="60" customFormat="false" ht="59.25" hidden="false" customHeight="true" outlineLevel="0" collapsed="false">
      <c r="A60" s="3" t="n">
        <v>46213</v>
      </c>
      <c r="B60" s="4" t="s">
        <v>50</v>
      </c>
      <c r="C60" s="4" t="s">
        <v>489</v>
      </c>
      <c r="D60" s="4" t="s">
        <v>602</v>
      </c>
      <c r="E60" s="4" t="s">
        <v>603</v>
      </c>
      <c r="F60" s="4" t="s">
        <v>111</v>
      </c>
      <c r="G60" s="4" t="s">
        <v>604</v>
      </c>
      <c r="H60" s="4" t="s">
        <v>605</v>
      </c>
      <c r="I60" s="4" t="s">
        <v>137</v>
      </c>
      <c r="J60" s="4" t="s">
        <v>494</v>
      </c>
      <c r="K60" s="4" t="s">
        <v>26</v>
      </c>
      <c r="L60" s="4" t="s">
        <v>26</v>
      </c>
      <c r="M60" s="4" t="s">
        <v>26</v>
      </c>
      <c r="N60" s="4" t="s">
        <v>26</v>
      </c>
      <c r="O60" s="4" t="s">
        <v>26</v>
      </c>
      <c r="P60" s="4" t="s">
        <v>606</v>
      </c>
      <c r="Q60" s="6" t="n">
        <v>9</v>
      </c>
      <c r="R60" s="4" t="s">
        <v>607</v>
      </c>
      <c r="S60" s="4" t="s">
        <v>608</v>
      </c>
      <c r="T60" s="4" t="s">
        <v>609</v>
      </c>
      <c r="U60" s="4" t="s">
        <v>610</v>
      </c>
      <c r="V60" s="4" t="s">
        <v>355</v>
      </c>
      <c r="W60" s="5" t="str">
        <f aca="false">IF(OR(ISNUMBER(SEARCH("gesha",G60)),ISNUMBER(SEARCH("geisha",G60))),"⭐ GESHA","")</f>
        <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
    <col collapsed="false" customWidth="true" hidden="false" outlineLevel="0" max="3" min="3" style="1" width="22"/>
    <col collapsed="false" customWidth="true" hidden="false" outlineLevel="0" max="4" min="4" style="1" width="7"/>
    <col collapsed="false" customWidth="true" hidden="false" outlineLevel="0" max="6" min="5" style="1" width="9"/>
    <col collapsed="false" customWidth="true" hidden="false" outlineLevel="0" max="7" min="7" style="1" width="34"/>
    <col collapsed="false" customWidth="true" hidden="false" outlineLevel="0" max="8" min="8" style="1" width="28"/>
    <col collapsed="false" customWidth="true" hidden="false" outlineLevel="0" max="10" min="9" style="1" width="10"/>
    <col collapsed="false" customWidth="true" hidden="false" outlineLevel="0" max="11" min="11" style="1" width="42"/>
    <col collapsed="false" customWidth="true" hidden="false" outlineLevel="0" max="13" min="12" style="1" width="10"/>
  </cols>
  <sheetData>
    <row r="1" customFormat="false" ht="27.75" hidden="false" customHeight="true" outlineLevel="0" collapsed="false">
      <c r="B1" s="7" t="s">
        <v>611</v>
      </c>
      <c r="C1" s="7"/>
      <c r="D1" s="7"/>
      <c r="E1" s="7"/>
      <c r="F1" s="7"/>
      <c r="G1" s="7"/>
      <c r="H1" s="7"/>
      <c r="I1" s="7"/>
      <c r="J1" s="7"/>
      <c r="K1" s="7"/>
      <c r="L1" s="7"/>
      <c r="M1" s="7"/>
    </row>
    <row r="2" customFormat="false" ht="12.75" hidden="false" customHeight="true" outlineLevel="0" collapsed="false">
      <c r="B2" s="8" t="s">
        <v>612</v>
      </c>
      <c r="C2" s="8"/>
      <c r="D2" s="8"/>
      <c r="E2" s="8"/>
      <c r="F2" s="8"/>
      <c r="G2" s="8"/>
      <c r="H2" s="8"/>
      <c r="I2" s="8"/>
      <c r="J2" s="8"/>
      <c r="K2" s="8"/>
      <c r="L2" s="8"/>
      <c r="M2" s="8"/>
    </row>
    <row r="3" customFormat="false" ht="7.5" hidden="false" customHeight="true" outlineLevel="0" collapsed="false"/>
    <row r="4" customFormat="false" ht="15.75" hidden="false" customHeight="true" outlineLevel="0" collapsed="false">
      <c r="B4" s="9" t="s">
        <v>613</v>
      </c>
      <c r="C4" s="9"/>
      <c r="D4" s="9"/>
      <c r="E4" s="9"/>
      <c r="F4" s="9"/>
      <c r="G4" s="9"/>
      <c r="H4" s="9"/>
      <c r="I4" s="9"/>
      <c r="J4" s="9"/>
      <c r="K4" s="9"/>
      <c r="L4" s="9"/>
      <c r="M4" s="9"/>
    </row>
    <row r="5" customFormat="false" ht="4.5" hidden="false" customHeight="true" outlineLevel="0" collapsed="false"/>
    <row r="6" customFormat="false" ht="13.5" hidden="false" customHeight="true" outlineLevel="0" collapsed="false">
      <c r="B6" s="10" t="s">
        <v>614</v>
      </c>
      <c r="C6" s="10" t="s">
        <v>615</v>
      </c>
      <c r="D6" s="10" t="s">
        <v>616</v>
      </c>
      <c r="E6" s="10" t="s">
        <v>617</v>
      </c>
      <c r="F6" s="10" t="s">
        <v>618</v>
      </c>
      <c r="G6" s="10" t="s">
        <v>619</v>
      </c>
      <c r="H6" s="10" t="s">
        <v>620</v>
      </c>
      <c r="I6" s="10" t="s">
        <v>621</v>
      </c>
      <c r="J6" s="10" t="s">
        <v>622</v>
      </c>
    </row>
    <row r="7" customFormat="false" ht="30" hidden="false" customHeight="true" outlineLevel="0" collapsed="false">
      <c r="B7" s="11" t="n">
        <f aca="false">COUNTA('Coffee Audit'!A2:A2000)</f>
        <v>59</v>
      </c>
      <c r="C7" s="11" t="n">
        <f aca="false">SUMPRODUCT(('Coffee Audit'!C2:C2000&lt;&gt;"")/COUNTIF('Coffee Audit'!C2:C2000,'Coffee Audit'!C2:C2000&amp;""))</f>
        <v>33</v>
      </c>
      <c r="D7" s="11" t="n">
        <v>4</v>
      </c>
      <c r="E7" s="11" t="n">
        <v>18</v>
      </c>
      <c r="F7" s="11" t="n">
        <f aca="false">COUNTIF('Coffee Audit'!W2:W2000,"⭐ GESHA")</f>
        <v>12</v>
      </c>
      <c r="G7" s="11" t="n">
        <f aca="false">SUMPRODUCT(('Coffee Audit'!G2:G2000&lt;&gt;"")/COUNTIF('Coffee Audit'!G2:G2000,'Coffee Audit'!G2:G2000&amp;""))</f>
        <v>38</v>
      </c>
      <c r="H7" s="11" t="str">
        <f aca="false">IFERROR("S$"&amp;TEXT(AVERAGEIF('Coffee Audit'!Q2:Q2000,"&gt;0"),"0.00"),"—")</f>
        <v>S$10.99</v>
      </c>
      <c r="I7" s="11" t="str">
        <f aca="false">TEXT(MIN('Coffee Audit'!A2:A2000),"DD MMM YYYY")</f>
        <v>03 Jan 2026</v>
      </c>
      <c r="J7" s="11" t="str">
        <f aca="false">TEXT(MAX('Coffee Audit'!A2:A2000),"DD MMM YYYY")</f>
        <v>10 Jul 2026</v>
      </c>
    </row>
    <row r="8" customFormat="false" ht="12" hidden="false" customHeight="true" outlineLevel="0" collapsed="false">
      <c r="B8" s="12" t="s">
        <v>623</v>
      </c>
      <c r="C8" s="12" t="s">
        <v>624</v>
      </c>
      <c r="D8" s="12" t="s">
        <v>625</v>
      </c>
      <c r="E8" s="12" t="s">
        <v>626</v>
      </c>
      <c r="F8" s="12" t="s">
        <v>627</v>
      </c>
      <c r="G8" s="12" t="s">
        <v>628</v>
      </c>
      <c r="H8" s="12" t="s">
        <v>629</v>
      </c>
      <c r="I8" s="12" t="s">
        <v>630</v>
      </c>
      <c r="J8" s="12" t="s">
        <v>631</v>
      </c>
    </row>
    <row r="10" customFormat="false" ht="9.75" hidden="false" customHeight="true" outlineLevel="0" collapsed="false"/>
    <row r="11" customFormat="false" ht="15.75" hidden="false" customHeight="true" outlineLevel="0" collapsed="false">
      <c r="B11" s="9" t="s">
        <v>632</v>
      </c>
      <c r="C11" s="9"/>
      <c r="D11" s="9"/>
      <c r="E11" s="9"/>
      <c r="F11" s="9"/>
      <c r="G11" s="9"/>
      <c r="H11" s="9" t="s">
        <v>633</v>
      </c>
      <c r="I11" s="9"/>
      <c r="J11" s="9"/>
      <c r="K11" s="9"/>
      <c r="L11" s="9"/>
      <c r="M11" s="9"/>
    </row>
    <row r="12" customFormat="false" ht="15.75" hidden="false" customHeight="true" outlineLevel="0" collapsed="false">
      <c r="B12" s="13" t="s">
        <v>634</v>
      </c>
      <c r="C12" s="13" t="s">
        <v>635</v>
      </c>
      <c r="D12" s="13" t="s">
        <v>5</v>
      </c>
      <c r="E12" s="13" t="s">
        <v>7</v>
      </c>
      <c r="F12" s="13" t="s">
        <v>636</v>
      </c>
      <c r="H12" s="13" t="s">
        <v>635</v>
      </c>
      <c r="I12" s="13" t="s">
        <v>637</v>
      </c>
      <c r="J12" s="13" t="s">
        <v>638</v>
      </c>
      <c r="K12" s="13" t="s">
        <v>1</v>
      </c>
      <c r="L12" s="13" t="s">
        <v>639</v>
      </c>
    </row>
    <row r="13" customFormat="false" ht="12.75" hidden="false" customHeight="true" outlineLevel="0" collapsed="false">
      <c r="B13" s="14" t="n">
        <v>1</v>
      </c>
      <c r="C13" s="14" t="s">
        <v>157</v>
      </c>
      <c r="D13" s="14" t="s">
        <v>640</v>
      </c>
      <c r="E13" s="14" t="s">
        <v>56</v>
      </c>
      <c r="F13" s="14" t="s">
        <v>641</v>
      </c>
      <c r="H13" s="15" t="s">
        <v>237</v>
      </c>
      <c r="I13" s="14" t="n">
        <v>6</v>
      </c>
      <c r="J13" s="14" t="s">
        <v>642</v>
      </c>
      <c r="K13" s="14" t="s">
        <v>50</v>
      </c>
      <c r="L13" s="14" t="s">
        <v>643</v>
      </c>
    </row>
    <row r="14" customFormat="false" ht="12.75" hidden="false" customHeight="true" outlineLevel="0" collapsed="false">
      <c r="B14" s="16" t="n">
        <v>2</v>
      </c>
      <c r="C14" s="16" t="s">
        <v>180</v>
      </c>
      <c r="D14" s="16" t="s">
        <v>644</v>
      </c>
      <c r="E14" s="16" t="s">
        <v>185</v>
      </c>
      <c r="F14" s="16" t="s">
        <v>645</v>
      </c>
      <c r="H14" s="17" t="s">
        <v>157</v>
      </c>
      <c r="I14" s="16" t="n">
        <v>4</v>
      </c>
      <c r="J14" s="16" t="s">
        <v>646</v>
      </c>
      <c r="K14" s="16" t="s">
        <v>50</v>
      </c>
      <c r="L14" s="16" t="s">
        <v>647</v>
      </c>
    </row>
    <row r="15" customFormat="false" ht="12.75" hidden="false" customHeight="true" outlineLevel="0" collapsed="false">
      <c r="B15" s="14" t="n">
        <v>3</v>
      </c>
      <c r="C15" s="14" t="s">
        <v>157</v>
      </c>
      <c r="D15" s="14" t="s">
        <v>648</v>
      </c>
      <c r="E15" s="14" t="s">
        <v>56</v>
      </c>
      <c r="F15" s="14" t="s">
        <v>646</v>
      </c>
      <c r="H15" s="15" t="s">
        <v>305</v>
      </c>
      <c r="I15" s="14" t="n">
        <v>3</v>
      </c>
      <c r="J15" s="14" t="s">
        <v>649</v>
      </c>
      <c r="K15" s="14" t="s">
        <v>50</v>
      </c>
      <c r="L15" s="14" t="s">
        <v>650</v>
      </c>
    </row>
    <row r="16" customFormat="false" ht="12.75" hidden="false" customHeight="true" outlineLevel="0" collapsed="false">
      <c r="B16" s="16" t="n">
        <v>4</v>
      </c>
      <c r="C16" s="16" t="s">
        <v>305</v>
      </c>
      <c r="D16" s="16" t="s">
        <v>651</v>
      </c>
      <c r="E16" s="16" t="s">
        <v>56</v>
      </c>
      <c r="F16" s="16" t="s">
        <v>652</v>
      </c>
      <c r="H16" s="17" t="s">
        <v>24</v>
      </c>
      <c r="I16" s="16" t="n">
        <v>3</v>
      </c>
      <c r="J16" s="16" t="s">
        <v>653</v>
      </c>
      <c r="K16" s="16" t="s">
        <v>23</v>
      </c>
      <c r="L16" s="16" t="s">
        <v>654</v>
      </c>
    </row>
    <row r="17" customFormat="false" ht="12.75" hidden="false" customHeight="true" outlineLevel="0" collapsed="false">
      <c r="B17" s="14" t="n">
        <v>5</v>
      </c>
      <c r="C17" s="14" t="s">
        <v>314</v>
      </c>
      <c r="D17" s="14" t="s">
        <v>655</v>
      </c>
      <c r="E17" s="14" t="s">
        <v>56</v>
      </c>
      <c r="F17" s="14" t="s">
        <v>656</v>
      </c>
      <c r="H17" s="15" t="s">
        <v>51</v>
      </c>
      <c r="I17" s="14" t="n">
        <v>3</v>
      </c>
      <c r="J17" s="14" t="s">
        <v>657</v>
      </c>
      <c r="K17" s="14" t="s">
        <v>50</v>
      </c>
      <c r="L17" s="14"/>
    </row>
    <row r="18" customFormat="false" ht="12.75" hidden="false" customHeight="true" outlineLevel="0" collapsed="false">
      <c r="B18" s="16" t="n">
        <v>6</v>
      </c>
      <c r="C18" s="16" t="s">
        <v>356</v>
      </c>
      <c r="D18" s="16" t="s">
        <v>111</v>
      </c>
      <c r="E18" s="16" t="s">
        <v>359</v>
      </c>
      <c r="F18" s="16" t="s">
        <v>658</v>
      </c>
      <c r="H18" s="17" t="s">
        <v>124</v>
      </c>
      <c r="I18" s="16" t="n">
        <v>3</v>
      </c>
      <c r="J18" s="16" t="s">
        <v>653</v>
      </c>
      <c r="K18" s="16" t="s">
        <v>50</v>
      </c>
      <c r="L18" s="16"/>
    </row>
    <row r="19" customFormat="false" ht="12.75" hidden="false" customHeight="true" outlineLevel="0" collapsed="false">
      <c r="B19" s="14" t="n">
        <v>7</v>
      </c>
      <c r="C19" s="14" t="s">
        <v>384</v>
      </c>
      <c r="D19" s="14" t="s">
        <v>651</v>
      </c>
      <c r="E19" s="14" t="s">
        <v>56</v>
      </c>
      <c r="F19" s="14" t="s">
        <v>659</v>
      </c>
      <c r="H19" s="15" t="s">
        <v>325</v>
      </c>
      <c r="I19" s="14" t="n">
        <v>2</v>
      </c>
      <c r="J19" s="14" t="s">
        <v>660</v>
      </c>
      <c r="K19" s="14" t="s">
        <v>50</v>
      </c>
      <c r="L19" s="14" t="s">
        <v>661</v>
      </c>
    </row>
    <row r="20" customFormat="false" ht="12.75" hidden="false" customHeight="true" outlineLevel="0" collapsed="false">
      <c r="B20" s="16" t="n">
        <v>8</v>
      </c>
      <c r="C20" s="16" t="s">
        <v>503</v>
      </c>
      <c r="D20" s="16" t="s">
        <v>662</v>
      </c>
      <c r="E20" s="16" t="s">
        <v>28</v>
      </c>
      <c r="F20" s="16" t="s">
        <v>663</v>
      </c>
      <c r="H20" s="17" t="s">
        <v>503</v>
      </c>
      <c r="I20" s="16" t="n">
        <v>2</v>
      </c>
      <c r="J20" s="16" t="s">
        <v>664</v>
      </c>
      <c r="K20" s="16" t="s">
        <v>50</v>
      </c>
      <c r="L20" s="16" t="s">
        <v>665</v>
      </c>
    </row>
    <row r="21" customFormat="false" ht="12.75" hidden="false" customHeight="true" outlineLevel="0" collapsed="false">
      <c r="B21" s="14" t="n">
        <v>9</v>
      </c>
      <c r="C21" s="14" t="s">
        <v>524</v>
      </c>
      <c r="D21" s="14" t="s">
        <v>662</v>
      </c>
      <c r="E21" s="14" t="s">
        <v>28</v>
      </c>
      <c r="F21" s="14" t="s">
        <v>666</v>
      </c>
      <c r="H21" s="15" t="s">
        <v>356</v>
      </c>
      <c r="I21" s="14" t="n">
        <v>2</v>
      </c>
      <c r="J21" s="14" t="s">
        <v>652</v>
      </c>
      <c r="K21" s="14" t="s">
        <v>50</v>
      </c>
      <c r="L21" s="14" t="s">
        <v>665</v>
      </c>
    </row>
    <row r="22" customFormat="false" ht="12.75" hidden="false" customHeight="true" outlineLevel="0" collapsed="false">
      <c r="B22" s="16" t="n">
        <v>10</v>
      </c>
      <c r="C22" s="16" t="s">
        <v>553</v>
      </c>
      <c r="D22" s="16" t="s">
        <v>651</v>
      </c>
      <c r="E22" s="16" t="s">
        <v>359</v>
      </c>
      <c r="F22" s="16" t="s">
        <v>658</v>
      </c>
      <c r="H22" s="17" t="s">
        <v>168</v>
      </c>
      <c r="I22" s="16" t="n">
        <v>2</v>
      </c>
      <c r="J22" s="16" t="s">
        <v>667</v>
      </c>
      <c r="K22" s="16" t="s">
        <v>50</v>
      </c>
      <c r="L22" s="16"/>
    </row>
    <row r="23" customFormat="false" ht="12.75" hidden="false" customHeight="true" outlineLevel="0" collapsed="false">
      <c r="B23" s="14" t="n">
        <v>11</v>
      </c>
      <c r="C23" s="14" t="s">
        <v>567</v>
      </c>
      <c r="D23" s="14" t="s">
        <v>668</v>
      </c>
      <c r="E23" s="14" t="s">
        <v>28</v>
      </c>
      <c r="F23" s="14" t="s">
        <v>669</v>
      </c>
      <c r="H23" s="18"/>
      <c r="I23" s="18"/>
      <c r="J23" s="18"/>
      <c r="K23" s="18"/>
      <c r="L23" s="18"/>
    </row>
    <row r="24" customFormat="false" ht="12.75" hidden="false" customHeight="true" outlineLevel="0" collapsed="false">
      <c r="B24" s="16" t="n">
        <v>12</v>
      </c>
      <c r="C24" s="16" t="s">
        <v>590</v>
      </c>
      <c r="D24" s="16" t="s">
        <v>111</v>
      </c>
      <c r="E24" s="16" t="s">
        <v>56</v>
      </c>
      <c r="F24" s="16" t="s">
        <v>670</v>
      </c>
      <c r="H24" s="18"/>
      <c r="I24" s="18"/>
      <c r="J24" s="18"/>
      <c r="K24" s="18"/>
      <c r="L24" s="18"/>
    </row>
    <row r="25" customFormat="false" ht="27.75" hidden="false" customHeight="true" outlineLevel="0" collapsed="false">
      <c r="B25" s="19" t="s">
        <v>671</v>
      </c>
      <c r="C25" s="19"/>
      <c r="D25" s="19"/>
      <c r="E25" s="19"/>
      <c r="F25" s="19"/>
    </row>
    <row r="26" customFormat="false" ht="9.75" hidden="false" customHeight="true" outlineLevel="0" collapsed="false"/>
    <row r="27" customFormat="false" ht="15.75" hidden="false" customHeight="true" outlineLevel="0" collapsed="false">
      <c r="B27" s="9" t="s">
        <v>672</v>
      </c>
      <c r="C27" s="9"/>
      <c r="D27" s="9"/>
      <c r="E27" s="9"/>
      <c r="F27" s="9"/>
      <c r="G27" s="9"/>
      <c r="H27" s="9" t="s">
        <v>673</v>
      </c>
      <c r="I27" s="9"/>
      <c r="J27" s="9"/>
      <c r="K27" s="9"/>
      <c r="L27" s="9"/>
      <c r="M27" s="9"/>
    </row>
    <row r="28" customFormat="false" ht="15.75" hidden="false" customHeight="true" outlineLevel="0" collapsed="false">
      <c r="B28" s="13" t="s">
        <v>7</v>
      </c>
      <c r="C28" s="13" t="s">
        <v>674</v>
      </c>
      <c r="D28" s="13" t="s">
        <v>675</v>
      </c>
      <c r="E28" s="13" t="s">
        <v>676</v>
      </c>
      <c r="F28" s="13" t="s">
        <v>677</v>
      </c>
      <c r="H28" s="13" t="s">
        <v>5</v>
      </c>
      <c r="I28" s="13" t="s">
        <v>678</v>
      </c>
      <c r="J28" s="13" t="s">
        <v>675</v>
      </c>
      <c r="K28" s="13" t="s">
        <v>679</v>
      </c>
      <c r="L28" s="13" t="s">
        <v>680</v>
      </c>
    </row>
    <row r="29" customFormat="false" ht="12.75" hidden="false" customHeight="true" outlineLevel="0" collapsed="false">
      <c r="B29" s="15" t="s">
        <v>56</v>
      </c>
      <c r="C29" s="14" t="n">
        <f aca="false">COUNTIF('Coffee Audit'!H2:H2000,"*Washed*")-COUNTIF('Coffee Audit'!H2:H2000,"*Anaerobic*")</f>
        <v>18</v>
      </c>
      <c r="D29" s="14" t="s">
        <v>681</v>
      </c>
      <c r="E29" s="14" t="s">
        <v>682</v>
      </c>
      <c r="F29" s="14" t="s">
        <v>683</v>
      </c>
      <c r="H29" s="15" t="s">
        <v>111</v>
      </c>
      <c r="I29" s="14" t="n">
        <f aca="false">COUNTIF('Coffee Audit'!F2:F2000,"*Colombia*")</f>
        <v>18</v>
      </c>
      <c r="J29" s="14" t="s">
        <v>684</v>
      </c>
      <c r="K29" s="14" t="s">
        <v>685</v>
      </c>
      <c r="L29" s="14" t="s">
        <v>686</v>
      </c>
    </row>
    <row r="30" customFormat="false" ht="12.75" hidden="false" customHeight="true" outlineLevel="0" collapsed="false">
      <c r="B30" s="17" t="s">
        <v>28</v>
      </c>
      <c r="C30" s="16" t="n">
        <f aca="false">COUNTIF('Coffee Audit'!H2:H2000,"*Natural*")-COUNTIF('Coffee Audit'!H2:H2000,"*Anaerobic*")</f>
        <v>12</v>
      </c>
      <c r="D30" s="16" t="s">
        <v>687</v>
      </c>
      <c r="E30" s="16" t="s">
        <v>688</v>
      </c>
      <c r="F30" s="16" t="s">
        <v>689</v>
      </c>
      <c r="H30" s="17" t="s">
        <v>251</v>
      </c>
      <c r="I30" s="16" t="n">
        <f aca="false">COUNTIF('Coffee Audit'!F2:F2000,"*Ethiopia*")</f>
        <v>7</v>
      </c>
      <c r="J30" s="16" t="s">
        <v>690</v>
      </c>
      <c r="K30" s="16" t="s">
        <v>653</v>
      </c>
      <c r="L30" s="16" t="s">
        <v>691</v>
      </c>
    </row>
    <row r="31" customFormat="false" ht="12.75" hidden="false" customHeight="true" outlineLevel="0" collapsed="false">
      <c r="B31" s="15" t="s">
        <v>359</v>
      </c>
      <c r="C31" s="14" t="n">
        <f aca="false">COUNTIF('Coffee Audit'!H2:H2000,"*Honey*")</f>
        <v>6</v>
      </c>
      <c r="D31" s="14" t="s">
        <v>692</v>
      </c>
      <c r="E31" s="14" t="s">
        <v>693</v>
      </c>
      <c r="F31" s="14" t="s">
        <v>689</v>
      </c>
      <c r="H31" s="15" t="s">
        <v>239</v>
      </c>
      <c r="I31" s="14" t="n">
        <f aca="false">COUNTIF('Coffee Audit'!F2:F2000,"*Brazil*")</f>
        <v>5</v>
      </c>
      <c r="J31" s="14" t="s">
        <v>692</v>
      </c>
      <c r="K31" s="14" t="s">
        <v>653</v>
      </c>
      <c r="L31" s="14" t="s">
        <v>694</v>
      </c>
    </row>
    <row r="32" customFormat="false" ht="12.75" hidden="false" customHeight="true" outlineLevel="0" collapsed="false">
      <c r="B32" s="17" t="s">
        <v>71</v>
      </c>
      <c r="C32" s="16" t="n">
        <f aca="false">COUNTIF('Coffee Audit'!H2:H2000,"*Anaerobic Nat*")+COUNTIF('Coffee Audit'!H2:H2000,"*Natural Anaerobic*")</f>
        <v>6</v>
      </c>
      <c r="D32" s="16" t="s">
        <v>692</v>
      </c>
      <c r="E32" s="16" t="s">
        <v>695</v>
      </c>
      <c r="F32" s="16" t="s">
        <v>696</v>
      </c>
      <c r="H32" s="17" t="s">
        <v>697</v>
      </c>
      <c r="I32" s="16" t="n">
        <f aca="false">COUNTIF('Coffee Audit'!F2:F2000,"*Indonesia*")</f>
        <v>3</v>
      </c>
      <c r="J32" s="16" t="s">
        <v>698</v>
      </c>
      <c r="K32" s="16" t="s">
        <v>653</v>
      </c>
      <c r="L32" s="16" t="s">
        <v>699</v>
      </c>
    </row>
    <row r="33" customFormat="false" ht="12.75" hidden="false" customHeight="true" outlineLevel="0" collapsed="false">
      <c r="B33" s="15" t="s">
        <v>700</v>
      </c>
      <c r="C33" s="14" t="n">
        <f aca="false">COUNTIF('Coffee Audit'!H2:H2000,"*Co-Ferment*")+COUNTIF('Coffee Audit'!H2:H2000,"*Mosto*")+COUNTIF('Coffee Audit'!H2:H2000,"*Yeast*")</f>
        <v>4</v>
      </c>
      <c r="D33" s="14" t="s">
        <v>701</v>
      </c>
      <c r="E33" s="14" t="s">
        <v>702</v>
      </c>
      <c r="F33" s="14" t="s">
        <v>703</v>
      </c>
      <c r="H33" s="15" t="s">
        <v>92</v>
      </c>
      <c r="I33" s="14" t="n">
        <f aca="false">COUNTIF('Coffee Audit'!F2:F2000,"*Honduras*")</f>
        <v>3</v>
      </c>
      <c r="J33" s="14" t="s">
        <v>701</v>
      </c>
      <c r="K33" s="14" t="s">
        <v>704</v>
      </c>
      <c r="L33" s="14" t="s">
        <v>705</v>
      </c>
    </row>
    <row r="34" customFormat="false" ht="12.75" hidden="false" customHeight="true" outlineLevel="0" collapsed="false">
      <c r="B34" s="17" t="s">
        <v>706</v>
      </c>
      <c r="C34" s="16" t="n">
        <f aca="false">COUNTIF('Coffee Audit'!H2:H2000,"*Wet*")</f>
        <v>1</v>
      </c>
      <c r="D34" s="16" t="s">
        <v>707</v>
      </c>
      <c r="E34" s="16" t="s">
        <v>708</v>
      </c>
      <c r="F34" s="16" t="s">
        <v>709</v>
      </c>
      <c r="H34" s="17" t="s">
        <v>583</v>
      </c>
      <c r="I34" s="16" t="n">
        <f aca="false">COUNTIF('Coffee Audit'!F2:F2000,"*Peru*")</f>
        <v>3</v>
      </c>
      <c r="J34" s="16" t="s">
        <v>701</v>
      </c>
      <c r="K34" s="16" t="s">
        <v>710</v>
      </c>
      <c r="L34" s="16" t="s">
        <v>711</v>
      </c>
    </row>
    <row r="35" customFormat="false" ht="12.75" hidden="false" customHeight="true" outlineLevel="0" collapsed="false">
      <c r="B35" s="15" t="s">
        <v>712</v>
      </c>
      <c r="C35" s="14" t="n">
        <f aca="false">COUNTIF('Coffee Audit'!H2:H2000,"*Thermal*")</f>
        <v>1</v>
      </c>
      <c r="D35" s="14" t="s">
        <v>707</v>
      </c>
      <c r="E35" s="14" t="s">
        <v>713</v>
      </c>
      <c r="F35" s="14" t="s">
        <v>714</v>
      </c>
      <c r="H35" s="15" t="s">
        <v>119</v>
      </c>
      <c r="I35" s="14" t="n">
        <f aca="false">COUNTIF('Coffee Audit'!F2:F2000,"*Kenya*")</f>
        <v>2</v>
      </c>
      <c r="J35" s="14" t="s">
        <v>715</v>
      </c>
      <c r="K35" s="14" t="s">
        <v>653</v>
      </c>
      <c r="L35" s="14" t="s">
        <v>716</v>
      </c>
    </row>
    <row r="36" customFormat="false" ht="12.75" hidden="false" customHeight="true" outlineLevel="0" collapsed="false">
      <c r="B36" s="17" t="s">
        <v>493</v>
      </c>
      <c r="C36" s="16" t="n">
        <f aca="false">COUNTIF('Coffee Audit'!H2:H2000,"*Lactic*")</f>
        <v>1</v>
      </c>
      <c r="D36" s="16" t="s">
        <v>707</v>
      </c>
      <c r="E36" s="16" t="s">
        <v>717</v>
      </c>
      <c r="F36" s="16" t="s">
        <v>696</v>
      </c>
      <c r="H36" s="17" t="s">
        <v>718</v>
      </c>
      <c r="I36" s="16" t="n">
        <f aca="false">COUNTIF('Coffee Audit'!F2:F2000,"*Panama*")</f>
        <v>2</v>
      </c>
      <c r="J36" s="16" t="s">
        <v>715</v>
      </c>
      <c r="K36" s="16" t="s">
        <v>710</v>
      </c>
      <c r="L36" s="16" t="s">
        <v>719</v>
      </c>
    </row>
    <row r="37" customFormat="false" ht="12.75" hidden="false" customHeight="true" outlineLevel="0" collapsed="false">
      <c r="H37" s="15" t="s">
        <v>720</v>
      </c>
      <c r="I37" s="14" t="n">
        <f aca="false">COUNTIF('Coffee Audit'!F2:F2000,"*Ecuador*")</f>
        <v>1</v>
      </c>
      <c r="J37" s="14" t="s">
        <v>707</v>
      </c>
      <c r="K37" s="14" t="s">
        <v>704</v>
      </c>
      <c r="L37" s="14" t="s">
        <v>721</v>
      </c>
    </row>
    <row r="38" customFormat="false" ht="12.75" hidden="false" customHeight="true" outlineLevel="0" collapsed="false">
      <c r="H38" s="17" t="s">
        <v>492</v>
      </c>
      <c r="I38" s="16" t="n">
        <f aca="false">COUNTIF('Coffee Audit'!F2:F2000,"*Bolivia*")</f>
        <v>2</v>
      </c>
      <c r="J38" s="16" t="s">
        <v>722</v>
      </c>
      <c r="K38" s="16" t="s">
        <v>653</v>
      </c>
      <c r="L38" s="16" t="s">
        <v>723</v>
      </c>
    </row>
    <row r="39" customFormat="false" ht="9.75" hidden="false" customHeight="true" outlineLevel="0" collapsed="false"/>
    <row r="40" customFormat="false" ht="15.75" hidden="false" customHeight="true" outlineLevel="0" collapsed="false">
      <c r="B40" s="9" t="s">
        <v>724</v>
      </c>
      <c r="C40" s="9"/>
      <c r="D40" s="9"/>
      <c r="E40" s="9"/>
      <c r="F40" s="9"/>
      <c r="G40" s="9"/>
      <c r="H40" s="9" t="s">
        <v>725</v>
      </c>
      <c r="I40" s="9"/>
      <c r="J40" s="9"/>
      <c r="K40" s="9"/>
      <c r="L40" s="9"/>
      <c r="M40" s="9"/>
    </row>
    <row r="41" customFormat="false" ht="15.75" hidden="false" customHeight="true" outlineLevel="0" collapsed="false">
      <c r="B41" s="13" t="s">
        <v>726</v>
      </c>
      <c r="C41" s="13" t="s">
        <v>678</v>
      </c>
      <c r="D41" s="13" t="s">
        <v>727</v>
      </c>
      <c r="E41" s="13" t="s">
        <v>728</v>
      </c>
      <c r="H41" s="13" t="s">
        <v>729</v>
      </c>
      <c r="I41" s="13" t="s">
        <v>730</v>
      </c>
      <c r="J41" s="13" t="s">
        <v>731</v>
      </c>
    </row>
    <row r="42" customFormat="false" ht="12.75" hidden="false" customHeight="true" outlineLevel="0" collapsed="false">
      <c r="B42" s="17" t="s">
        <v>732</v>
      </c>
      <c r="C42" s="16" t="s">
        <v>733</v>
      </c>
      <c r="D42" s="16" t="s">
        <v>734</v>
      </c>
      <c r="E42" s="16" t="s">
        <v>735</v>
      </c>
      <c r="H42" s="17" t="s">
        <v>650</v>
      </c>
      <c r="I42" s="16" t="s">
        <v>736</v>
      </c>
      <c r="J42" s="16" t="s">
        <v>737</v>
      </c>
    </row>
    <row r="43" customFormat="false" ht="12.75" hidden="false" customHeight="true" outlineLevel="0" collapsed="false">
      <c r="B43" s="15" t="s">
        <v>738</v>
      </c>
      <c r="C43" s="14" t="s">
        <v>733</v>
      </c>
      <c r="D43" s="14" t="s">
        <v>739</v>
      </c>
      <c r="E43" s="14" t="s">
        <v>740</v>
      </c>
      <c r="H43" s="15" t="s">
        <v>741</v>
      </c>
      <c r="I43" s="14" t="s">
        <v>742</v>
      </c>
      <c r="J43" s="14" t="s">
        <v>743</v>
      </c>
    </row>
    <row r="44" customFormat="false" ht="12.75" hidden="false" customHeight="true" outlineLevel="0" collapsed="false">
      <c r="B44" s="17" t="s">
        <v>744</v>
      </c>
      <c r="C44" s="16" t="s">
        <v>745</v>
      </c>
      <c r="D44" s="16" t="s">
        <v>734</v>
      </c>
      <c r="E44" s="16" t="s">
        <v>746</v>
      </c>
      <c r="H44" s="17" t="s">
        <v>741</v>
      </c>
      <c r="I44" s="16" t="s">
        <v>747</v>
      </c>
      <c r="J44" s="16" t="s">
        <v>748</v>
      </c>
    </row>
    <row r="45" customFormat="false" ht="12.75" hidden="false" customHeight="true" outlineLevel="0" collapsed="false">
      <c r="B45" s="15" t="s">
        <v>749</v>
      </c>
      <c r="C45" s="14" t="s">
        <v>750</v>
      </c>
      <c r="D45" s="14" t="s">
        <v>751</v>
      </c>
      <c r="E45" s="14" t="s">
        <v>752</v>
      </c>
      <c r="H45" s="15" t="s">
        <v>753</v>
      </c>
      <c r="I45" s="14" t="s">
        <v>754</v>
      </c>
      <c r="J45" s="14" t="s">
        <v>755</v>
      </c>
    </row>
    <row r="46" customFormat="false" ht="12.75" hidden="false" customHeight="true" outlineLevel="0" collapsed="false">
      <c r="B46" s="17" t="s">
        <v>756</v>
      </c>
      <c r="C46" s="16" t="s">
        <v>757</v>
      </c>
      <c r="D46" s="16" t="s">
        <v>653</v>
      </c>
      <c r="E46" s="16" t="s">
        <v>758</v>
      </c>
      <c r="H46" s="17" t="s">
        <v>759</v>
      </c>
      <c r="I46" s="16" t="s">
        <v>760</v>
      </c>
      <c r="J46" s="16" t="s">
        <v>761</v>
      </c>
    </row>
    <row r="47" customFormat="false" ht="12.75" hidden="false" customHeight="true" outlineLevel="0" collapsed="false">
      <c r="B47" s="15" t="s">
        <v>26</v>
      </c>
      <c r="C47" s="14" t="s">
        <v>762</v>
      </c>
      <c r="D47" s="14" t="s">
        <v>653</v>
      </c>
      <c r="E47" s="14" t="s">
        <v>763</v>
      </c>
      <c r="H47" s="15" t="s">
        <v>764</v>
      </c>
      <c r="I47" s="14" t="s">
        <v>765</v>
      </c>
      <c r="J47" s="14" t="s">
        <v>766</v>
      </c>
    </row>
    <row r="48" customFormat="false" ht="12.75" hidden="false" customHeight="true" outlineLevel="0" collapsed="false">
      <c r="H48" s="17" t="s">
        <v>767</v>
      </c>
      <c r="I48" s="16" t="s">
        <v>768</v>
      </c>
      <c r="J48" s="16" t="s">
        <v>769</v>
      </c>
    </row>
    <row r="49" customFormat="false" ht="12.75" hidden="false" customHeight="true" outlineLevel="0" collapsed="false">
      <c r="H49" s="15" t="s">
        <v>770</v>
      </c>
      <c r="I49" s="14" t="s">
        <v>771</v>
      </c>
      <c r="J49" s="14" t="s">
        <v>772</v>
      </c>
    </row>
    <row r="50" customFormat="false" ht="12.75" hidden="false" customHeight="true" outlineLevel="0" collapsed="false">
      <c r="H50" s="17" t="s">
        <v>773</v>
      </c>
      <c r="I50" s="16" t="s">
        <v>774</v>
      </c>
      <c r="J50" s="16" t="s">
        <v>775</v>
      </c>
    </row>
    <row r="51" customFormat="false" ht="7.5" hidden="false" customHeight="true" outlineLevel="0" collapsed="false"/>
    <row r="52" customFormat="false" ht="15.75" hidden="false" customHeight="true" outlineLevel="0" collapsed="false">
      <c r="B52" s="9" t="s">
        <v>776</v>
      </c>
      <c r="C52" s="9"/>
      <c r="D52" s="9"/>
      <c r="E52" s="9"/>
      <c r="F52" s="9"/>
      <c r="G52" s="9"/>
      <c r="H52" s="9"/>
      <c r="I52" s="9"/>
      <c r="J52" s="9"/>
      <c r="K52" s="9"/>
      <c r="L52" s="9"/>
      <c r="M52" s="9"/>
    </row>
    <row r="53" customFormat="false" ht="13.5" hidden="false" customHeight="true" outlineLevel="0" collapsed="false">
      <c r="B53" s="20" t="s">
        <v>777</v>
      </c>
      <c r="C53" s="20"/>
      <c r="D53" s="20"/>
      <c r="E53" s="20"/>
      <c r="F53" s="20"/>
      <c r="G53" s="20"/>
      <c r="H53" s="20"/>
      <c r="I53" s="20"/>
      <c r="J53" s="20"/>
      <c r="K53" s="20"/>
      <c r="L53" s="20"/>
      <c r="M53" s="20"/>
    </row>
    <row r="54" customFormat="false" ht="13.5" hidden="false" customHeight="true" outlineLevel="0" collapsed="false">
      <c r="B54" s="20"/>
      <c r="C54" s="20"/>
      <c r="D54" s="20"/>
      <c r="E54" s="20"/>
      <c r="F54" s="20"/>
      <c r="G54" s="20"/>
      <c r="H54" s="20"/>
      <c r="I54" s="20"/>
      <c r="J54" s="20"/>
      <c r="K54" s="20"/>
      <c r="L54" s="20"/>
      <c r="M54" s="20"/>
    </row>
    <row r="55" customFormat="false" ht="13.5" hidden="false" customHeight="true" outlineLevel="0" collapsed="false">
      <c r="B55" s="20"/>
      <c r="C55" s="20"/>
      <c r="D55" s="20"/>
      <c r="E55" s="20"/>
      <c r="F55" s="20"/>
      <c r="G55" s="20"/>
      <c r="H55" s="20"/>
      <c r="I55" s="20"/>
      <c r="J55" s="20"/>
      <c r="K55" s="20"/>
      <c r="L55" s="20"/>
      <c r="M55" s="20"/>
    </row>
  </sheetData>
  <mergeCells count="12">
    <mergeCell ref="B1:M1"/>
    <mergeCell ref="B2:M2"/>
    <mergeCell ref="B4:M4"/>
    <mergeCell ref="B11:G11"/>
    <mergeCell ref="H11:M11"/>
    <mergeCell ref="B25:F25"/>
    <mergeCell ref="B27:G27"/>
    <mergeCell ref="H27:M27"/>
    <mergeCell ref="B40:G40"/>
    <mergeCell ref="H40:M40"/>
    <mergeCell ref="B52:M52"/>
    <mergeCell ref="B53:M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 t="s">
        <v>778</v>
      </c>
      <c r="C1" s="7"/>
      <c r="D1" s="7"/>
      <c r="E1" s="7"/>
      <c r="F1" s="7"/>
      <c r="G1" s="7"/>
      <c r="H1" s="7"/>
      <c r="I1" s="7"/>
      <c r="J1" s="7"/>
      <c r="K1" s="7"/>
      <c r="L1" s="7"/>
    </row>
    <row r="2" customFormat="false" ht="13.5" hidden="false" customHeight="true" outlineLevel="0" collapsed="false">
      <c r="B2" s="8" t="s">
        <v>779</v>
      </c>
      <c r="C2" s="8"/>
      <c r="D2" s="8"/>
      <c r="E2" s="8"/>
      <c r="F2" s="8"/>
      <c r="G2" s="8"/>
      <c r="H2" s="8"/>
      <c r="I2" s="8"/>
      <c r="J2" s="8"/>
      <c r="K2" s="8"/>
      <c r="L2" s="8"/>
    </row>
    <row r="3" customFormat="false" ht="6" hidden="false" customHeight="true" outlineLevel="0" collapsed="false"/>
    <row r="4" customFormat="false" ht="15.75" hidden="false" customHeight="true" outlineLevel="0" collapsed="false">
      <c r="B4" s="9" t="s">
        <v>780</v>
      </c>
      <c r="C4" s="9"/>
      <c r="D4" s="9"/>
      <c r="E4" s="9"/>
      <c r="F4" s="9"/>
      <c r="G4" s="9"/>
      <c r="H4" s="9"/>
      <c r="I4" s="9"/>
      <c r="J4" s="9"/>
      <c r="K4" s="9"/>
      <c r="L4" s="9"/>
    </row>
    <row r="5" customFormat="false" ht="13.5" hidden="false" customHeight="true" outlineLevel="0" collapsed="false">
      <c r="B5" s="20" t="s">
        <v>781</v>
      </c>
      <c r="C5" s="20"/>
      <c r="D5" s="20"/>
      <c r="E5" s="20"/>
      <c r="F5" s="20"/>
      <c r="G5" s="20"/>
      <c r="H5" s="20"/>
      <c r="I5" s="20"/>
      <c r="J5" s="20"/>
      <c r="K5" s="20"/>
      <c r="L5" s="20"/>
    </row>
    <row r="6" customFormat="false" ht="13.5" hidden="false" customHeight="true" outlineLevel="0" collapsed="false">
      <c r="B6" s="20"/>
      <c r="C6" s="20"/>
      <c r="D6" s="20"/>
      <c r="E6" s="20"/>
      <c r="F6" s="20"/>
      <c r="G6" s="20"/>
      <c r="H6" s="20"/>
      <c r="I6" s="20"/>
      <c r="J6" s="20"/>
      <c r="K6" s="20"/>
      <c r="L6" s="20"/>
    </row>
    <row r="7" customFormat="false" ht="13.5" hidden="false" customHeight="true" outlineLevel="0" collapsed="false">
      <c r="B7" s="20"/>
      <c r="C7" s="20"/>
      <c r="D7" s="20"/>
      <c r="E7" s="20"/>
      <c r="F7" s="20"/>
      <c r="G7" s="20"/>
      <c r="H7" s="20"/>
      <c r="I7" s="20"/>
      <c r="J7" s="20"/>
      <c r="K7" s="20"/>
      <c r="L7" s="20"/>
    </row>
    <row r="9" customFormat="false" ht="6" hidden="false" customHeight="true" outlineLevel="0" collapsed="false"/>
    <row r="10" customFormat="false" ht="15.75" hidden="false" customHeight="true" outlineLevel="0" collapsed="false">
      <c r="B10" s="9" t="s">
        <v>782</v>
      </c>
      <c r="C10" s="9"/>
      <c r="D10" s="9"/>
      <c r="E10" s="9"/>
      <c r="F10" s="9"/>
      <c r="G10" s="9"/>
      <c r="H10" s="9" t="s">
        <v>783</v>
      </c>
      <c r="I10" s="9"/>
      <c r="J10" s="9"/>
      <c r="K10" s="9"/>
      <c r="L10" s="9"/>
    </row>
    <row r="11" customFormat="false" ht="15.75" hidden="false" customHeight="true" outlineLevel="0" collapsed="false">
      <c r="B11" s="13" t="s">
        <v>7</v>
      </c>
      <c r="C11" s="13" t="s">
        <v>678</v>
      </c>
      <c r="D11" s="13" t="s">
        <v>784</v>
      </c>
      <c r="E11" s="13" t="s">
        <v>676</v>
      </c>
      <c r="F11" s="13" t="s">
        <v>677</v>
      </c>
      <c r="H11" s="13" t="s">
        <v>785</v>
      </c>
      <c r="I11" s="13" t="s">
        <v>678</v>
      </c>
      <c r="J11" s="13" t="s">
        <v>786</v>
      </c>
    </row>
    <row r="12" customFormat="false" ht="12.75" hidden="false" customHeight="true" outlineLevel="0" collapsed="false">
      <c r="B12" s="17" t="s">
        <v>56</v>
      </c>
      <c r="C12" s="16" t="s">
        <v>787</v>
      </c>
      <c r="D12" s="16" t="s">
        <v>681</v>
      </c>
      <c r="E12" s="16" t="s">
        <v>788</v>
      </c>
      <c r="F12" s="16" t="s">
        <v>789</v>
      </c>
      <c r="H12" s="17" t="s">
        <v>790</v>
      </c>
      <c r="I12" s="16" t="s">
        <v>733</v>
      </c>
      <c r="J12" s="16" t="s">
        <v>791</v>
      </c>
    </row>
    <row r="13" customFormat="false" ht="12.75" hidden="false" customHeight="true" outlineLevel="0" collapsed="false">
      <c r="B13" s="15" t="s">
        <v>28</v>
      </c>
      <c r="C13" s="14" t="s">
        <v>792</v>
      </c>
      <c r="D13" s="14" t="s">
        <v>687</v>
      </c>
      <c r="E13" s="14" t="s">
        <v>793</v>
      </c>
      <c r="F13" s="14" t="s">
        <v>794</v>
      </c>
      <c r="H13" s="15" t="s">
        <v>795</v>
      </c>
      <c r="I13" s="14" t="s">
        <v>796</v>
      </c>
      <c r="J13" s="14" t="s">
        <v>797</v>
      </c>
    </row>
    <row r="14" customFormat="false" ht="12.75" hidden="false" customHeight="true" outlineLevel="0" collapsed="false">
      <c r="B14" s="17" t="s">
        <v>359</v>
      </c>
      <c r="C14" s="16" t="s">
        <v>798</v>
      </c>
      <c r="D14" s="16" t="s">
        <v>692</v>
      </c>
      <c r="E14" s="16" t="s">
        <v>693</v>
      </c>
      <c r="F14" s="16" t="s">
        <v>799</v>
      </c>
      <c r="H14" s="17" t="s">
        <v>800</v>
      </c>
      <c r="I14" s="16" t="s">
        <v>745</v>
      </c>
      <c r="J14" s="16" t="s">
        <v>801</v>
      </c>
    </row>
    <row r="15" customFormat="false" ht="12.75" hidden="false" customHeight="true" outlineLevel="0" collapsed="false">
      <c r="B15" s="15" t="s">
        <v>71</v>
      </c>
      <c r="C15" s="14" t="s">
        <v>798</v>
      </c>
      <c r="D15" s="14" t="s">
        <v>692</v>
      </c>
      <c r="E15" s="14" t="s">
        <v>802</v>
      </c>
      <c r="F15" s="14" t="s">
        <v>803</v>
      </c>
      <c r="H15" s="15" t="s">
        <v>804</v>
      </c>
      <c r="I15" s="14" t="s">
        <v>805</v>
      </c>
      <c r="J15" s="14" t="s">
        <v>806</v>
      </c>
    </row>
    <row r="16" customFormat="false" ht="12.75" hidden="false" customHeight="true" outlineLevel="0" collapsed="false">
      <c r="B16" s="17" t="s">
        <v>700</v>
      </c>
      <c r="C16" s="16" t="s">
        <v>805</v>
      </c>
      <c r="D16" s="16" t="s">
        <v>701</v>
      </c>
      <c r="E16" s="16" t="s">
        <v>807</v>
      </c>
      <c r="F16" s="16" t="s">
        <v>703</v>
      </c>
      <c r="H16" s="17" t="s">
        <v>808</v>
      </c>
      <c r="I16" s="16" t="s">
        <v>745</v>
      </c>
      <c r="J16" s="16" t="s">
        <v>809</v>
      </c>
    </row>
    <row r="17" customFormat="false" ht="12.75" hidden="false" customHeight="true" outlineLevel="0" collapsed="false">
      <c r="B17" s="15" t="s">
        <v>493</v>
      </c>
      <c r="C17" s="14" t="s">
        <v>733</v>
      </c>
      <c r="D17" s="14" t="s">
        <v>707</v>
      </c>
      <c r="E17" s="14" t="s">
        <v>810</v>
      </c>
      <c r="F17" s="14" t="s">
        <v>811</v>
      </c>
      <c r="H17" s="15" t="s">
        <v>812</v>
      </c>
      <c r="I17" s="14" t="s">
        <v>798</v>
      </c>
      <c r="J17" s="14" t="s">
        <v>813</v>
      </c>
    </row>
    <row r="18" customFormat="false" ht="12.75" hidden="false" customHeight="true" outlineLevel="0" collapsed="false">
      <c r="B18" s="17" t="s">
        <v>712</v>
      </c>
      <c r="C18" s="16" t="s">
        <v>733</v>
      </c>
      <c r="D18" s="16" t="s">
        <v>707</v>
      </c>
      <c r="E18" s="16" t="s">
        <v>814</v>
      </c>
      <c r="F18" s="16" t="s">
        <v>815</v>
      </c>
      <c r="H18" s="17" t="s">
        <v>816</v>
      </c>
      <c r="I18" s="16" t="s">
        <v>733</v>
      </c>
      <c r="J18" s="16" t="s">
        <v>817</v>
      </c>
    </row>
    <row r="19" customFormat="false" ht="12.75" hidden="false" customHeight="true" outlineLevel="0" collapsed="false">
      <c r="B19" s="15" t="s">
        <v>38</v>
      </c>
      <c r="C19" s="14" t="s">
        <v>733</v>
      </c>
      <c r="D19" s="14" t="s">
        <v>707</v>
      </c>
      <c r="E19" s="14" t="s">
        <v>818</v>
      </c>
      <c r="F19" s="14" t="s">
        <v>819</v>
      </c>
      <c r="H19" s="15" t="s">
        <v>820</v>
      </c>
      <c r="I19" s="14" t="s">
        <v>733</v>
      </c>
      <c r="J19" s="14" t="s">
        <v>821</v>
      </c>
    </row>
    <row r="20" customFormat="false" ht="7.5" hidden="false" customHeight="true" outlineLevel="0" collapsed="false"/>
    <row r="21" customFormat="false" ht="15.75" hidden="false" customHeight="true" outlineLevel="0" collapsed="false">
      <c r="B21" s="9" t="s">
        <v>822</v>
      </c>
      <c r="C21" s="9"/>
      <c r="D21" s="9"/>
      <c r="E21" s="9"/>
      <c r="F21" s="9"/>
      <c r="G21" s="9"/>
      <c r="H21" s="9" t="s">
        <v>823</v>
      </c>
      <c r="I21" s="9"/>
      <c r="J21" s="9"/>
      <c r="K21" s="9"/>
      <c r="L21" s="9"/>
    </row>
    <row r="22" customFormat="false" ht="15.75" hidden="false" customHeight="true" outlineLevel="0" collapsed="false">
      <c r="B22" s="13" t="s">
        <v>7</v>
      </c>
      <c r="C22" s="13" t="s">
        <v>635</v>
      </c>
      <c r="D22" s="13" t="s">
        <v>824</v>
      </c>
      <c r="E22" s="13" t="s">
        <v>825</v>
      </c>
      <c r="H22" s="13" t="s">
        <v>826</v>
      </c>
      <c r="I22" s="13" t="s">
        <v>827</v>
      </c>
      <c r="J22" s="13" t="s">
        <v>828</v>
      </c>
      <c r="K22" s="13" t="s">
        <v>728</v>
      </c>
    </row>
    <row r="23" customFormat="false" ht="12.75" hidden="false" customHeight="true" outlineLevel="0" collapsed="false">
      <c r="B23" s="15" t="s">
        <v>829</v>
      </c>
      <c r="C23" s="14" t="s">
        <v>830</v>
      </c>
      <c r="D23" s="14" t="s">
        <v>831</v>
      </c>
      <c r="E23" s="14" t="s">
        <v>832</v>
      </c>
      <c r="H23" s="15" t="s">
        <v>732</v>
      </c>
      <c r="I23" s="14" t="s">
        <v>733</v>
      </c>
      <c r="J23" s="14" t="s">
        <v>833</v>
      </c>
      <c r="K23" s="14" t="s">
        <v>834</v>
      </c>
    </row>
    <row r="24" customFormat="false" ht="12.75" hidden="false" customHeight="true" outlineLevel="0" collapsed="false">
      <c r="B24" s="17" t="s">
        <v>359</v>
      </c>
      <c r="C24" s="16" t="s">
        <v>835</v>
      </c>
      <c r="D24" s="16" t="s">
        <v>836</v>
      </c>
      <c r="E24" s="16" t="s">
        <v>837</v>
      </c>
      <c r="H24" s="17" t="s">
        <v>738</v>
      </c>
      <c r="I24" s="16" t="s">
        <v>733</v>
      </c>
      <c r="J24" s="16" t="s">
        <v>739</v>
      </c>
      <c r="K24" s="16" t="s">
        <v>838</v>
      </c>
    </row>
    <row r="25" customFormat="false" ht="12.75" hidden="false" customHeight="true" outlineLevel="0" collapsed="false">
      <c r="B25" s="15" t="s">
        <v>359</v>
      </c>
      <c r="C25" s="14" t="s">
        <v>839</v>
      </c>
      <c r="D25" s="14" t="s">
        <v>840</v>
      </c>
      <c r="E25" s="14" t="s">
        <v>841</v>
      </c>
      <c r="H25" s="15" t="s">
        <v>744</v>
      </c>
      <c r="I25" s="14" t="s">
        <v>745</v>
      </c>
      <c r="J25" s="14" t="s">
        <v>734</v>
      </c>
      <c r="K25" s="14" t="s">
        <v>842</v>
      </c>
    </row>
    <row r="26" customFormat="false" ht="12.75" hidden="false" customHeight="true" outlineLevel="0" collapsed="false">
      <c r="B26" s="17" t="s">
        <v>28</v>
      </c>
      <c r="C26" s="16" t="s">
        <v>843</v>
      </c>
      <c r="D26" s="16" t="s">
        <v>844</v>
      </c>
      <c r="E26" s="16" t="s">
        <v>837</v>
      </c>
      <c r="H26" s="17" t="s">
        <v>749</v>
      </c>
      <c r="I26" s="16" t="s">
        <v>750</v>
      </c>
      <c r="J26" s="16" t="s">
        <v>751</v>
      </c>
      <c r="K26" s="16" t="s">
        <v>845</v>
      </c>
    </row>
    <row r="27" customFormat="false" ht="12.75" hidden="false" customHeight="true" outlineLevel="0" collapsed="false">
      <c r="B27" s="15" t="s">
        <v>28</v>
      </c>
      <c r="C27" s="14" t="s">
        <v>846</v>
      </c>
      <c r="D27" s="14" t="s">
        <v>847</v>
      </c>
      <c r="E27" s="14" t="s">
        <v>848</v>
      </c>
      <c r="H27" s="15" t="s">
        <v>756</v>
      </c>
      <c r="I27" s="14" t="s">
        <v>757</v>
      </c>
      <c r="J27" s="14" t="s">
        <v>653</v>
      </c>
      <c r="K27" s="14" t="s">
        <v>849</v>
      </c>
    </row>
    <row r="28" customFormat="false" ht="12.75" hidden="false" customHeight="true" outlineLevel="0" collapsed="false">
      <c r="B28" s="19" t="s">
        <v>850</v>
      </c>
      <c r="C28" s="19"/>
      <c r="D28" s="19"/>
      <c r="E28" s="19"/>
      <c r="F28" s="19"/>
      <c r="H28" s="17" t="s">
        <v>26</v>
      </c>
      <c r="I28" s="16" t="s">
        <v>762</v>
      </c>
      <c r="J28" s="16" t="s">
        <v>653</v>
      </c>
      <c r="K28" s="16" t="s">
        <v>851</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 t="s">
        <v>852</v>
      </c>
      <c r="C1" s="7"/>
      <c r="D1" s="7"/>
      <c r="E1" s="7"/>
      <c r="F1" s="7"/>
      <c r="G1" s="7"/>
      <c r="H1" s="7"/>
      <c r="I1" s="7"/>
      <c r="J1" s="7"/>
      <c r="K1" s="7"/>
      <c r="L1" s="7"/>
    </row>
    <row r="2" customFormat="false" ht="13.5" hidden="false" customHeight="true" outlineLevel="0" collapsed="false">
      <c r="B2" s="8" t="s">
        <v>853</v>
      </c>
      <c r="C2" s="8"/>
      <c r="D2" s="8"/>
      <c r="E2" s="8"/>
      <c r="F2" s="8"/>
      <c r="G2" s="8"/>
      <c r="H2" s="8"/>
      <c r="I2" s="8"/>
      <c r="J2" s="8"/>
      <c r="K2" s="8"/>
      <c r="L2" s="8"/>
    </row>
    <row r="3" customFormat="false" ht="6" hidden="false" customHeight="true" outlineLevel="0" collapsed="false"/>
    <row r="4" customFormat="false" ht="15.75" hidden="false" customHeight="true" outlineLevel="0" collapsed="false">
      <c r="B4" s="9" t="s">
        <v>854</v>
      </c>
      <c r="C4" s="9"/>
      <c r="D4" s="9"/>
      <c r="E4" s="9"/>
      <c r="F4" s="9"/>
      <c r="G4" s="9"/>
      <c r="H4" s="9" t="s">
        <v>855</v>
      </c>
      <c r="I4" s="9"/>
      <c r="J4" s="9"/>
      <c r="K4" s="9"/>
      <c r="L4" s="9"/>
    </row>
    <row r="5" customFormat="false" ht="15.75" hidden="false" customHeight="true" outlineLevel="0" collapsed="false">
      <c r="B5" s="13" t="s">
        <v>5</v>
      </c>
      <c r="C5" s="13" t="s">
        <v>678</v>
      </c>
      <c r="D5" s="13" t="s">
        <v>856</v>
      </c>
      <c r="E5" s="13" t="s">
        <v>679</v>
      </c>
      <c r="F5" s="13" t="s">
        <v>857</v>
      </c>
      <c r="H5" s="13" t="s">
        <v>858</v>
      </c>
      <c r="I5" s="13" t="s">
        <v>859</v>
      </c>
    </row>
    <row r="6" customFormat="false" ht="12.75" hidden="false" customHeight="true" outlineLevel="0" collapsed="false">
      <c r="B6" s="17" t="s">
        <v>111</v>
      </c>
      <c r="C6" s="16" t="n">
        <f aca="false">COUNTIF('Coffee Audit'!F2:F2000,"*Colombia*")</f>
        <v>18</v>
      </c>
      <c r="D6" s="16" t="s">
        <v>684</v>
      </c>
      <c r="E6" s="16" t="n">
        <f aca="false">COUNTIF('Coffee Audit'!G2:G2000,"*Gesha*")</f>
        <v>9</v>
      </c>
      <c r="F6" s="16" t="s">
        <v>860</v>
      </c>
      <c r="H6" s="17" t="s">
        <v>861</v>
      </c>
      <c r="I6" s="21" t="n">
        <f aca="false">COUNTIF('Coffee Audit'!W2:W2000,"⭐ GESHA")</f>
        <v>12</v>
      </c>
    </row>
    <row r="7" customFormat="false" ht="12.75" hidden="false" customHeight="true" outlineLevel="0" collapsed="false">
      <c r="B7" s="15" t="s">
        <v>251</v>
      </c>
      <c r="C7" s="14" t="n">
        <f aca="false">COUNTIF('Coffee Audit'!F2:F2000,"*Ethiopia*")</f>
        <v>7</v>
      </c>
      <c r="D7" s="14" t="s">
        <v>690</v>
      </c>
      <c r="E7" s="14" t="s">
        <v>653</v>
      </c>
      <c r="F7" s="14" t="s">
        <v>691</v>
      </c>
      <c r="H7" s="15" t="s">
        <v>862</v>
      </c>
      <c r="I7" s="22" t="n">
        <f aca="false">SUMPRODUCT(('Coffee Audit'!W2:W2000="⭐ GESHA")*(ISNUMBER(SEARCH("washed",'Coffee Audit'!H2:H2000))))</f>
        <v>6</v>
      </c>
    </row>
    <row r="8" customFormat="false" ht="12.75" hidden="false" customHeight="true" outlineLevel="0" collapsed="false">
      <c r="B8" s="17" t="s">
        <v>239</v>
      </c>
      <c r="C8" s="16" t="n">
        <f aca="false">COUNTIF('Coffee Audit'!F2:F2000,"*Brazil*")</f>
        <v>5</v>
      </c>
      <c r="D8" s="16" t="s">
        <v>692</v>
      </c>
      <c r="E8" s="16" t="s">
        <v>653</v>
      </c>
      <c r="F8" s="16" t="s">
        <v>863</v>
      </c>
      <c r="H8" s="17" t="s">
        <v>864</v>
      </c>
      <c r="I8" s="21" t="n">
        <f aca="false">SUMPRODUCT(('Coffee Audit'!W2:W2000="⭐ GESHA")*(ISNUMBER(SEARCH("honey",'Coffee Audit'!H2:H2000))))</f>
        <v>3</v>
      </c>
    </row>
    <row r="9" customFormat="false" ht="12.75" hidden="false" customHeight="true" outlineLevel="0" collapsed="false">
      <c r="B9" s="15" t="s">
        <v>92</v>
      </c>
      <c r="C9" s="14" t="n">
        <f aca="false">COUNTIF('Coffee Audit'!F2:F2000,"*Honduras*")</f>
        <v>3</v>
      </c>
      <c r="D9" s="14" t="s">
        <v>701</v>
      </c>
      <c r="E9" s="14" t="n">
        <f aca="false">COUNTIF('Coffee Audit'!G2:G2000,"*Gesha*")</f>
        <v>9</v>
      </c>
      <c r="F9" s="14" t="s">
        <v>865</v>
      </c>
      <c r="H9" s="15" t="s">
        <v>866</v>
      </c>
      <c r="I9" s="22" t="n">
        <f aca="false">SUMPRODUCT(('Coffee Audit'!W2:W2000="⭐ GESHA")*(ISNUMBER(SEARCH("natural",'Coffee Audit'!H2:H2000))))</f>
        <v>3</v>
      </c>
    </row>
    <row r="10" customFormat="false" ht="12.75" hidden="false" customHeight="true" outlineLevel="0" collapsed="false">
      <c r="B10" s="17" t="s">
        <v>697</v>
      </c>
      <c r="C10" s="16" t="n">
        <f aca="false">COUNTIF('Coffee Audit'!F2:F2000,"*Indonesia*")</f>
        <v>3</v>
      </c>
      <c r="D10" s="16" t="s">
        <v>701</v>
      </c>
      <c r="E10" s="16" t="s">
        <v>653</v>
      </c>
      <c r="F10" s="16" t="s">
        <v>699</v>
      </c>
      <c r="H10" s="17" t="s">
        <v>867</v>
      </c>
      <c r="I10" s="21" t="s">
        <v>868</v>
      </c>
    </row>
    <row r="11" customFormat="false" ht="12.75" hidden="false" customHeight="true" outlineLevel="0" collapsed="false">
      <c r="B11" s="15" t="s">
        <v>583</v>
      </c>
      <c r="C11" s="14" t="n">
        <f aca="false">COUNTIF('Coffee Audit'!F2:F2000,"*Peru*")</f>
        <v>3</v>
      </c>
      <c r="D11" s="14" t="s">
        <v>701</v>
      </c>
      <c r="E11" s="14" t="s">
        <v>710</v>
      </c>
      <c r="F11" s="14" t="s">
        <v>869</v>
      </c>
      <c r="H11" s="15" t="s">
        <v>870</v>
      </c>
      <c r="I11" s="22" t="s">
        <v>871</v>
      </c>
    </row>
    <row r="12" customFormat="false" ht="12.75" hidden="false" customHeight="true" outlineLevel="0" collapsed="false">
      <c r="B12" s="17" t="s">
        <v>119</v>
      </c>
      <c r="C12" s="16" t="n">
        <f aca="false">COUNTIF('Coffee Audit'!F2:F2000,"*Kenya*")</f>
        <v>2</v>
      </c>
      <c r="D12" s="16" t="s">
        <v>715</v>
      </c>
      <c r="E12" s="16" t="s">
        <v>653</v>
      </c>
      <c r="F12" s="16" t="s">
        <v>872</v>
      </c>
      <c r="H12" s="17" t="s">
        <v>873</v>
      </c>
      <c r="I12" s="21" t="s">
        <v>874</v>
      </c>
    </row>
    <row r="13" customFormat="false" ht="12.75" hidden="false" customHeight="true" outlineLevel="0" collapsed="false">
      <c r="B13" s="15" t="s">
        <v>718</v>
      </c>
      <c r="C13" s="14" t="n">
        <f aca="false">COUNTIF('Coffee Audit'!F2:F2000,"*Panama*")</f>
        <v>2</v>
      </c>
      <c r="D13" s="14" t="s">
        <v>715</v>
      </c>
      <c r="E13" s="14" t="s">
        <v>710</v>
      </c>
      <c r="F13" s="14" t="s">
        <v>875</v>
      </c>
      <c r="H13" s="15" t="s">
        <v>876</v>
      </c>
      <c r="I13" s="22" t="s">
        <v>877</v>
      </c>
    </row>
    <row r="14" customFormat="false" ht="12.75" hidden="false" customHeight="true" outlineLevel="0" collapsed="false">
      <c r="B14" s="17" t="s">
        <v>127</v>
      </c>
      <c r="C14" s="16" t="n">
        <f aca="false">COUNTIF('Coffee Audit'!F2:F2000,"*Nicaragua*")</f>
        <v>2</v>
      </c>
      <c r="D14" s="16" t="s">
        <v>715</v>
      </c>
      <c r="E14" s="16" t="s">
        <v>653</v>
      </c>
      <c r="F14" s="16" t="s">
        <v>878</v>
      </c>
      <c r="H14" s="17" t="s">
        <v>879</v>
      </c>
      <c r="I14" s="21" t="s">
        <v>880</v>
      </c>
    </row>
    <row r="15" customFormat="false" ht="12.75" hidden="false" customHeight="true" outlineLevel="0" collapsed="false">
      <c r="B15" s="15" t="s">
        <v>492</v>
      </c>
      <c r="C15" s="14" t="n">
        <f aca="false">COUNTIF('Coffee Audit'!F2:F2000,"*Bolivia*")</f>
        <v>2</v>
      </c>
      <c r="D15" s="14" t="s">
        <v>722</v>
      </c>
      <c r="E15" s="14" t="s">
        <v>653</v>
      </c>
      <c r="F15" s="14" t="s">
        <v>881</v>
      </c>
      <c r="H15" s="15" t="s">
        <v>882</v>
      </c>
      <c r="I15" s="22" t="s">
        <v>883</v>
      </c>
    </row>
    <row r="16" customFormat="false" ht="12.75" hidden="false" customHeight="true" outlineLevel="0" collapsed="false">
      <c r="B16" s="17" t="s">
        <v>720</v>
      </c>
      <c r="C16" s="16" t="n">
        <f aca="false">COUNTIF('Coffee Audit'!F2:F2000,"*Ecuador*")</f>
        <v>1</v>
      </c>
      <c r="D16" s="16" t="s">
        <v>707</v>
      </c>
      <c r="E16" s="16" t="s">
        <v>704</v>
      </c>
      <c r="F16" s="16" t="s">
        <v>884</v>
      </c>
      <c r="H16" s="17" t="s">
        <v>885</v>
      </c>
      <c r="I16" s="21" t="s">
        <v>886</v>
      </c>
    </row>
    <row r="17" customFormat="false" ht="12.75" hidden="false" customHeight="true" outlineLevel="0" collapsed="false">
      <c r="B17" s="15" t="s">
        <v>70</v>
      </c>
      <c r="C17" s="14" t="n">
        <f aca="false">COUNTIF('Coffee Audit'!F2:F2000,"*India*")</f>
        <v>3</v>
      </c>
      <c r="D17" s="14" t="s">
        <v>715</v>
      </c>
      <c r="E17" s="14" t="s">
        <v>653</v>
      </c>
      <c r="F17" s="14" t="s">
        <v>887</v>
      </c>
    </row>
    <row r="18" customFormat="false" ht="12.75" hidden="false" customHeight="true" outlineLevel="0" collapsed="false">
      <c r="B18" s="17" t="s">
        <v>888</v>
      </c>
      <c r="C18" s="16" t="n">
        <f aca="false">COUNTIF('Coffee Audit'!F2:F2000,"*Malaysia*")</f>
        <v>1</v>
      </c>
      <c r="D18" s="16" t="s">
        <v>707</v>
      </c>
      <c r="E18" s="16" t="s">
        <v>653</v>
      </c>
      <c r="F18" s="16" t="s">
        <v>889</v>
      </c>
    </row>
    <row r="19" customFormat="false" ht="12.75" hidden="false" customHeight="true" outlineLevel="0" collapsed="false">
      <c r="B19" s="15" t="s">
        <v>890</v>
      </c>
      <c r="C19" s="14" t="n">
        <f aca="false">COUNTIF('Coffee Audit'!F2:F2000,"*China*")</f>
        <v>1</v>
      </c>
      <c r="D19" s="14" t="s">
        <v>707</v>
      </c>
      <c r="E19" s="14" t="s">
        <v>653</v>
      </c>
      <c r="F19" s="14" t="s">
        <v>891</v>
      </c>
    </row>
    <row r="20" customFormat="false" ht="12.75" hidden="false" customHeight="true" outlineLevel="0" collapsed="false">
      <c r="B20" s="17" t="s">
        <v>349</v>
      </c>
      <c r="C20" s="16" t="n">
        <f aca="false">COUNTIF('Coffee Audit'!F2:F2000,"*Rwanda*")</f>
        <v>1</v>
      </c>
      <c r="D20" s="16" t="s">
        <v>707</v>
      </c>
      <c r="E20" s="16" t="s">
        <v>653</v>
      </c>
      <c r="F20" s="16" t="s">
        <v>892</v>
      </c>
    </row>
    <row r="21" customFormat="false" ht="12.75" hidden="false" customHeight="true" outlineLevel="0" collapsed="false">
      <c r="B21" s="15" t="s">
        <v>893</v>
      </c>
      <c r="C21" s="14" t="n">
        <f aca="false">COUNTIF('Coffee Audit'!F2:F2000,"*Myanmar*")</f>
        <v>1</v>
      </c>
      <c r="D21" s="14" t="s">
        <v>707</v>
      </c>
      <c r="E21" s="14" t="s">
        <v>653</v>
      </c>
      <c r="F21" s="14" t="s">
        <v>894</v>
      </c>
    </row>
    <row r="22" customFormat="false" ht="12.75" hidden="false" customHeight="true" outlineLevel="0" collapsed="false">
      <c r="B22" s="17" t="s">
        <v>85</v>
      </c>
      <c r="C22" s="16" t="n">
        <f aca="false">COUNTIF('Coffee Audit'!F2:F2000,"*Salvador*")</f>
        <v>1</v>
      </c>
      <c r="D22" s="16" t="s">
        <v>707</v>
      </c>
      <c r="E22" s="16" t="s">
        <v>653</v>
      </c>
      <c r="F22" s="16" t="s">
        <v>895</v>
      </c>
    </row>
    <row r="23" customFormat="false" ht="7.5" hidden="false" customHeight="true" outlineLevel="0" collapsed="false"/>
    <row r="24" customFormat="false" ht="15.75" hidden="false" customHeight="true" outlineLevel="0" collapsed="false">
      <c r="B24" s="9" t="s">
        <v>896</v>
      </c>
      <c r="C24" s="9"/>
      <c r="D24" s="9"/>
      <c r="E24" s="9"/>
      <c r="F24" s="9"/>
      <c r="G24" s="9"/>
      <c r="H24" s="9"/>
      <c r="I24" s="9"/>
      <c r="J24" s="9"/>
      <c r="K24" s="9"/>
      <c r="L24" s="9"/>
    </row>
    <row r="25" customFormat="false" ht="15.75" hidden="false" customHeight="true" outlineLevel="0" collapsed="false">
      <c r="B25" s="13" t="s">
        <v>6</v>
      </c>
      <c r="C25" s="13" t="s">
        <v>828</v>
      </c>
      <c r="D25" s="13" t="s">
        <v>897</v>
      </c>
      <c r="E25" s="13" t="s">
        <v>898</v>
      </c>
      <c r="F25" s="13" t="s">
        <v>639</v>
      </c>
    </row>
    <row r="26" customFormat="false" ht="12.75" hidden="false" customHeight="true" outlineLevel="0" collapsed="false">
      <c r="B26" s="23" t="s">
        <v>899</v>
      </c>
      <c r="C26" s="24" t="s">
        <v>900</v>
      </c>
      <c r="D26" s="24" t="s">
        <v>901</v>
      </c>
      <c r="E26" s="24" t="s">
        <v>902</v>
      </c>
      <c r="F26" s="24" t="s">
        <v>903</v>
      </c>
    </row>
    <row r="27" customFormat="false" ht="12.75" hidden="false" customHeight="true" outlineLevel="0" collapsed="false">
      <c r="B27" s="23" t="s">
        <v>86</v>
      </c>
      <c r="C27" s="24" t="s">
        <v>900</v>
      </c>
      <c r="D27" s="24" t="s">
        <v>904</v>
      </c>
      <c r="E27" s="24" t="s">
        <v>905</v>
      </c>
      <c r="F27" s="24" t="s">
        <v>906</v>
      </c>
    </row>
    <row r="28" customFormat="false" ht="12.75" hidden="false" customHeight="true" outlineLevel="0" collapsed="false">
      <c r="B28" s="23" t="s">
        <v>604</v>
      </c>
      <c r="C28" s="24" t="s">
        <v>900</v>
      </c>
      <c r="D28" s="24" t="s">
        <v>907</v>
      </c>
      <c r="E28" s="24" t="s">
        <v>605</v>
      </c>
      <c r="F28" s="24" t="s">
        <v>908</v>
      </c>
    </row>
    <row r="29" customFormat="false" ht="12.75" hidden="false" customHeight="true" outlineLevel="0" collapsed="false">
      <c r="B29" s="23" t="s">
        <v>172</v>
      </c>
      <c r="C29" s="24" t="s">
        <v>900</v>
      </c>
      <c r="D29" s="24" t="s">
        <v>909</v>
      </c>
      <c r="E29" s="24" t="s">
        <v>56</v>
      </c>
      <c r="F29" s="24" t="s">
        <v>910</v>
      </c>
    </row>
    <row r="30" customFormat="false" ht="12.75" hidden="false" customHeight="true" outlineLevel="0" collapsed="false">
      <c r="B30" s="23" t="s">
        <v>479</v>
      </c>
      <c r="C30" s="24" t="s">
        <v>900</v>
      </c>
      <c r="D30" s="24" t="s">
        <v>911</v>
      </c>
      <c r="E30" s="24" t="s">
        <v>56</v>
      </c>
      <c r="F30" s="24" t="s">
        <v>912</v>
      </c>
    </row>
    <row r="31" customFormat="false" ht="12.75" hidden="false" customHeight="true" outlineLevel="0" collapsed="false">
      <c r="B31" s="23" t="s">
        <v>112</v>
      </c>
      <c r="C31" s="24" t="s">
        <v>900</v>
      </c>
      <c r="D31" s="24" t="s">
        <v>913</v>
      </c>
      <c r="E31" s="24" t="s">
        <v>56</v>
      </c>
      <c r="F31" s="24" t="s">
        <v>914</v>
      </c>
    </row>
    <row r="32" customFormat="false" ht="12.75" hidden="false" customHeight="true" outlineLevel="0" collapsed="false">
      <c r="B32" s="23" t="s">
        <v>299</v>
      </c>
      <c r="C32" s="24" t="s">
        <v>900</v>
      </c>
      <c r="D32" s="24" t="s">
        <v>915</v>
      </c>
      <c r="E32" s="24" t="s">
        <v>71</v>
      </c>
      <c r="F32" s="24" t="s">
        <v>916</v>
      </c>
    </row>
    <row r="33" customFormat="false" ht="12.75" hidden="false" customHeight="true" outlineLevel="0" collapsed="false">
      <c r="B33" s="23" t="s">
        <v>328</v>
      </c>
      <c r="C33" s="24" t="s">
        <v>900</v>
      </c>
      <c r="D33" s="24" t="s">
        <v>917</v>
      </c>
      <c r="E33" s="24" t="s">
        <v>329</v>
      </c>
      <c r="F33" s="24" t="s">
        <v>918</v>
      </c>
    </row>
    <row r="34" customFormat="false" ht="12.75" hidden="false" customHeight="true" outlineLevel="0" collapsed="false">
      <c r="B34" s="23" t="s">
        <v>919</v>
      </c>
      <c r="C34" s="24" t="s">
        <v>900</v>
      </c>
      <c r="D34" s="24" t="s">
        <v>920</v>
      </c>
      <c r="E34" s="24" t="s">
        <v>921</v>
      </c>
      <c r="F34" s="24" t="s">
        <v>922</v>
      </c>
    </row>
    <row r="35" customFormat="false" ht="12.75" hidden="false" customHeight="true" outlineLevel="0" collapsed="false">
      <c r="B35" s="23" t="s">
        <v>422</v>
      </c>
      <c r="C35" s="24" t="s">
        <v>900</v>
      </c>
      <c r="D35" s="24" t="s">
        <v>923</v>
      </c>
      <c r="E35" s="24" t="s">
        <v>423</v>
      </c>
      <c r="F35" s="24" t="s">
        <v>924</v>
      </c>
    </row>
    <row r="36" customFormat="false" ht="12.75" hidden="false" customHeight="true" outlineLevel="0" collapsed="false">
      <c r="B36" s="23" t="s">
        <v>217</v>
      </c>
      <c r="C36" s="24" t="s">
        <v>900</v>
      </c>
      <c r="D36" s="24" t="s">
        <v>925</v>
      </c>
      <c r="E36" s="24" t="s">
        <v>218</v>
      </c>
      <c r="F36" s="24" t="s">
        <v>926</v>
      </c>
    </row>
    <row r="37" customFormat="false" ht="12.75" hidden="false" customHeight="true" outlineLevel="0" collapsed="false">
      <c r="B37" s="25" t="s">
        <v>927</v>
      </c>
      <c r="C37" s="26" t="s">
        <v>928</v>
      </c>
      <c r="D37" s="26" t="s">
        <v>653</v>
      </c>
      <c r="E37" s="26" t="s">
        <v>653</v>
      </c>
      <c r="F37" s="26" t="s">
        <v>929</v>
      </c>
    </row>
    <row r="38" customFormat="false" ht="12.75" hidden="false" customHeight="true" outlineLevel="0" collapsed="false">
      <c r="B38" s="25" t="s">
        <v>930</v>
      </c>
      <c r="C38" s="26" t="s">
        <v>928</v>
      </c>
      <c r="D38" s="26" t="s">
        <v>653</v>
      </c>
      <c r="E38" s="26" t="s">
        <v>653</v>
      </c>
      <c r="F38" s="26" t="s">
        <v>931</v>
      </c>
    </row>
    <row r="39" customFormat="false" ht="12.75" hidden="false" customHeight="true" outlineLevel="0" collapsed="false">
      <c r="B39" s="25" t="s">
        <v>932</v>
      </c>
      <c r="C39" s="26" t="s">
        <v>928</v>
      </c>
      <c r="D39" s="26" t="s">
        <v>653</v>
      </c>
      <c r="E39" s="26" t="s">
        <v>653</v>
      </c>
      <c r="F39" s="26" t="s">
        <v>933</v>
      </c>
    </row>
  </sheetData>
  <mergeCells count="5">
    <mergeCell ref="B1:L1"/>
    <mergeCell ref="B2:L2"/>
    <mergeCell ref="B4:G4"/>
    <mergeCell ref="H4:L4"/>
    <mergeCell ref="B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7" t="s">
        <v>934</v>
      </c>
      <c r="C1" s="7"/>
      <c r="D1" s="7"/>
      <c r="E1" s="7"/>
      <c r="F1" s="7"/>
      <c r="G1" s="7"/>
      <c r="H1" s="7"/>
      <c r="I1" s="7"/>
      <c r="J1" s="7"/>
      <c r="K1" s="7"/>
    </row>
    <row r="2" customFormat="false" ht="13.5" hidden="false" customHeight="true" outlineLevel="0" collapsed="false">
      <c r="B2" s="8" t="s">
        <v>935</v>
      </c>
      <c r="C2" s="8"/>
      <c r="D2" s="8"/>
      <c r="E2" s="8"/>
      <c r="F2" s="8"/>
      <c r="G2" s="8"/>
      <c r="H2" s="8"/>
      <c r="I2" s="8"/>
      <c r="J2" s="8"/>
      <c r="K2" s="8"/>
    </row>
    <row r="3" customFormat="false" ht="6" hidden="false" customHeight="true" outlineLevel="0" collapsed="false"/>
    <row r="4" customFormat="false" ht="15.75" hidden="false" customHeight="true" outlineLevel="0" collapsed="false">
      <c r="B4" s="9" t="s">
        <v>936</v>
      </c>
      <c r="C4" s="9"/>
      <c r="D4" s="9"/>
      <c r="E4" s="9"/>
      <c r="F4" s="9"/>
      <c r="G4" s="9"/>
      <c r="H4" s="9"/>
      <c r="I4" s="9"/>
      <c r="J4" s="9"/>
      <c r="K4" s="9"/>
    </row>
    <row r="5" customFormat="false" ht="15.75" hidden="false" customHeight="true" outlineLevel="0" collapsed="false">
      <c r="B5" s="13" t="s">
        <v>937</v>
      </c>
      <c r="C5" s="13" t="s">
        <v>678</v>
      </c>
      <c r="D5" s="13" t="s">
        <v>938</v>
      </c>
      <c r="E5" s="13" t="s">
        <v>939</v>
      </c>
      <c r="F5" s="13" t="s">
        <v>940</v>
      </c>
    </row>
    <row r="6" customFormat="false" ht="12.75" hidden="false" customHeight="true" outlineLevel="0" collapsed="false">
      <c r="B6" s="17" t="s">
        <v>941</v>
      </c>
      <c r="C6" s="16" t="s">
        <v>942</v>
      </c>
      <c r="D6" s="16" t="s">
        <v>943</v>
      </c>
      <c r="E6" s="16" t="s">
        <v>944</v>
      </c>
      <c r="F6" s="16" t="s">
        <v>945</v>
      </c>
    </row>
    <row r="7" customFormat="false" ht="12.75" hidden="false" customHeight="true" outlineLevel="0" collapsed="false">
      <c r="B7" s="15" t="s">
        <v>164</v>
      </c>
      <c r="C7" s="14" t="s">
        <v>946</v>
      </c>
      <c r="D7" s="14" t="s">
        <v>947</v>
      </c>
      <c r="E7" s="14" t="s">
        <v>948</v>
      </c>
      <c r="F7" s="14" t="s">
        <v>949</v>
      </c>
    </row>
    <row r="8" customFormat="false" ht="12.75" hidden="false" customHeight="true" outlineLevel="0" collapsed="false">
      <c r="B8" s="17" t="s">
        <v>950</v>
      </c>
      <c r="C8" s="16" t="s">
        <v>792</v>
      </c>
      <c r="D8" s="16" t="s">
        <v>951</v>
      </c>
      <c r="E8" s="16" t="s">
        <v>952</v>
      </c>
      <c r="F8" s="16" t="s">
        <v>953</v>
      </c>
    </row>
    <row r="9" customFormat="false" ht="12.75" hidden="false" customHeight="true" outlineLevel="0" collapsed="false">
      <c r="B9" s="15" t="s">
        <v>222</v>
      </c>
      <c r="C9" s="14" t="s">
        <v>798</v>
      </c>
      <c r="D9" s="14" t="s">
        <v>951</v>
      </c>
      <c r="E9" s="14" t="s">
        <v>954</v>
      </c>
      <c r="F9" s="14" t="s">
        <v>955</v>
      </c>
    </row>
    <row r="10" customFormat="false" ht="12.75" hidden="false" customHeight="true" outlineLevel="0" collapsed="false">
      <c r="B10" s="17" t="s">
        <v>956</v>
      </c>
      <c r="C10" s="16" t="s">
        <v>942</v>
      </c>
      <c r="D10" s="16" t="s">
        <v>957</v>
      </c>
      <c r="E10" s="16" t="s">
        <v>958</v>
      </c>
      <c r="F10" s="16" t="s">
        <v>959</v>
      </c>
    </row>
    <row r="11" customFormat="false" ht="12.75" hidden="false" customHeight="true" outlineLevel="0" collapsed="false">
      <c r="B11" s="15" t="s">
        <v>960</v>
      </c>
      <c r="C11" s="14" t="s">
        <v>733</v>
      </c>
      <c r="D11" s="14" t="s">
        <v>961</v>
      </c>
      <c r="E11" s="14" t="s">
        <v>962</v>
      </c>
      <c r="F11" s="14" t="s">
        <v>325</v>
      </c>
    </row>
    <row r="12" customFormat="false" ht="12.75" hidden="false" customHeight="true" outlineLevel="0" collapsed="false">
      <c r="B12" s="17" t="s">
        <v>209</v>
      </c>
      <c r="C12" s="16" t="s">
        <v>942</v>
      </c>
      <c r="D12" s="16" t="s">
        <v>963</v>
      </c>
      <c r="E12" s="16" t="s">
        <v>964</v>
      </c>
      <c r="F12" s="16" t="s">
        <v>965</v>
      </c>
    </row>
    <row r="13" customFormat="false" ht="12.75" hidden="false" customHeight="true" outlineLevel="0" collapsed="false">
      <c r="B13" s="15" t="s">
        <v>966</v>
      </c>
      <c r="C13" s="14" t="s">
        <v>942</v>
      </c>
      <c r="D13" s="14" t="s">
        <v>967</v>
      </c>
      <c r="E13" s="14" t="s">
        <v>968</v>
      </c>
      <c r="F13" s="14" t="s">
        <v>969</v>
      </c>
    </row>
    <row r="14" customFormat="false" ht="12.75" hidden="false" customHeight="true" outlineLevel="0" collapsed="false">
      <c r="B14" s="17" t="s">
        <v>970</v>
      </c>
      <c r="C14" s="16" t="s">
        <v>733</v>
      </c>
      <c r="D14" s="16" t="s">
        <v>961</v>
      </c>
      <c r="E14" s="16" t="s">
        <v>971</v>
      </c>
      <c r="F14" s="16" t="s">
        <v>407</v>
      </c>
    </row>
    <row r="15" customFormat="false" ht="12.75" hidden="false" customHeight="true" outlineLevel="0" collapsed="false">
      <c r="B15" s="15" t="s">
        <v>972</v>
      </c>
      <c r="C15" s="14" t="s">
        <v>733</v>
      </c>
      <c r="D15" s="14" t="s">
        <v>973</v>
      </c>
      <c r="E15" s="14" t="s">
        <v>974</v>
      </c>
      <c r="F15" s="14" t="s">
        <v>370</v>
      </c>
    </row>
    <row r="16" customFormat="false" ht="7.5" hidden="false" customHeight="true" outlineLevel="0" collapsed="false"/>
    <row r="17" customFormat="false" ht="15.75" hidden="false" customHeight="true" outlineLevel="0" collapsed="false">
      <c r="B17" s="9" t="s">
        <v>975</v>
      </c>
      <c r="C17" s="9"/>
      <c r="D17" s="9"/>
      <c r="E17" s="9"/>
      <c r="F17" s="9"/>
      <c r="G17" s="9"/>
      <c r="H17" s="9"/>
      <c r="I17" s="9"/>
      <c r="J17" s="9"/>
      <c r="K17" s="9"/>
    </row>
    <row r="18" customFormat="false" ht="15.75" hidden="false" customHeight="true" outlineLevel="0" collapsed="false">
      <c r="B18" s="13" t="s">
        <v>976</v>
      </c>
      <c r="C18" s="13" t="s">
        <v>678</v>
      </c>
      <c r="D18" s="13" t="s">
        <v>977</v>
      </c>
      <c r="E18" s="13" t="s">
        <v>728</v>
      </c>
    </row>
    <row r="19" customFormat="false" ht="15.75" hidden="false" customHeight="true" outlineLevel="0" collapsed="false">
      <c r="B19" s="23" t="s">
        <v>978</v>
      </c>
      <c r="C19" s="24" t="s">
        <v>979</v>
      </c>
      <c r="D19" s="24" t="s">
        <v>980</v>
      </c>
      <c r="E19" s="24" t="s">
        <v>981</v>
      </c>
    </row>
    <row r="20" customFormat="false" ht="15.75" hidden="false" customHeight="true" outlineLevel="0" collapsed="false">
      <c r="B20" s="23" t="s">
        <v>982</v>
      </c>
      <c r="C20" s="24" t="s">
        <v>733</v>
      </c>
      <c r="D20" s="24" t="s">
        <v>983</v>
      </c>
      <c r="E20" s="24" t="s">
        <v>984</v>
      </c>
    </row>
    <row r="21" customFormat="false" ht="15.75" hidden="false" customHeight="true" outlineLevel="0" collapsed="false">
      <c r="B21" s="27" t="s">
        <v>985</v>
      </c>
      <c r="C21" s="28" t="s">
        <v>745</v>
      </c>
      <c r="D21" s="28" t="s">
        <v>986</v>
      </c>
      <c r="E21" s="28" t="s">
        <v>987</v>
      </c>
    </row>
    <row r="22" customFormat="false" ht="15.75" hidden="false" customHeight="true" outlineLevel="0" collapsed="false">
      <c r="B22" s="27" t="s">
        <v>988</v>
      </c>
      <c r="C22" s="28" t="s">
        <v>798</v>
      </c>
      <c r="D22" s="28" t="s">
        <v>989</v>
      </c>
      <c r="E22" s="28" t="s">
        <v>990</v>
      </c>
    </row>
    <row r="23" customFormat="false" ht="15.75" hidden="false" customHeight="true" outlineLevel="0" collapsed="false">
      <c r="B23" s="23" t="s">
        <v>991</v>
      </c>
      <c r="C23" s="24" t="s">
        <v>992</v>
      </c>
      <c r="D23" s="24" t="s">
        <v>993</v>
      </c>
      <c r="E23" s="24" t="s">
        <v>994</v>
      </c>
    </row>
    <row r="24" customFormat="false" ht="15.75" hidden="false" customHeight="true" outlineLevel="0" collapsed="false">
      <c r="B24" s="25" t="s">
        <v>995</v>
      </c>
      <c r="C24" s="26" t="s">
        <v>733</v>
      </c>
      <c r="D24" s="26" t="s">
        <v>996</v>
      </c>
      <c r="E24" s="26" t="s">
        <v>997</v>
      </c>
    </row>
    <row r="25" customFormat="false" ht="7.5" hidden="false" customHeight="true" outlineLevel="0" collapsed="false"/>
    <row r="26" customFormat="false" ht="15.75" hidden="false" customHeight="true" outlineLevel="0" collapsed="false">
      <c r="B26" s="9" t="s">
        <v>998</v>
      </c>
      <c r="C26" s="9"/>
      <c r="D26" s="9"/>
      <c r="E26" s="9"/>
      <c r="F26" s="9"/>
      <c r="G26" s="9"/>
      <c r="H26" s="9"/>
      <c r="I26" s="9"/>
      <c r="J26" s="9"/>
      <c r="K26" s="9"/>
    </row>
    <row r="27" customFormat="false" ht="19.5" hidden="false" customHeight="true" outlineLevel="0" collapsed="false">
      <c r="B27" s="29" t="s">
        <v>999</v>
      </c>
      <c r="C27" s="29"/>
      <c r="D27" s="29"/>
      <c r="E27" s="29"/>
      <c r="F27" s="29"/>
      <c r="G27" s="29"/>
      <c r="H27" s="29"/>
      <c r="I27" s="29"/>
      <c r="J27" s="29"/>
    </row>
    <row r="28" customFormat="false" ht="19.5" hidden="false" customHeight="true" outlineLevel="0" collapsed="false">
      <c r="B28" s="30" t="s">
        <v>1000</v>
      </c>
      <c r="C28" s="30"/>
      <c r="D28" s="30"/>
      <c r="E28" s="30"/>
      <c r="F28" s="30"/>
      <c r="G28" s="30"/>
      <c r="H28" s="30"/>
      <c r="I28" s="30"/>
      <c r="J28" s="30"/>
    </row>
    <row r="29" customFormat="false" ht="19.5" hidden="false" customHeight="true" outlineLevel="0" collapsed="false">
      <c r="B29" s="31" t="s">
        <v>1001</v>
      </c>
      <c r="C29" s="31"/>
      <c r="D29" s="31"/>
      <c r="E29" s="31"/>
      <c r="F29" s="31"/>
      <c r="G29" s="31"/>
      <c r="H29" s="31"/>
      <c r="I29" s="31"/>
      <c r="J29" s="31"/>
    </row>
    <row r="30" customFormat="false" ht="19.5" hidden="false" customHeight="true" outlineLevel="0" collapsed="false">
      <c r="B30" s="30" t="s">
        <v>1002</v>
      </c>
      <c r="C30" s="30"/>
      <c r="D30" s="30"/>
      <c r="E30" s="30"/>
      <c r="F30" s="30"/>
      <c r="G30" s="30"/>
      <c r="H30" s="30"/>
      <c r="I30" s="30"/>
      <c r="J30" s="30"/>
    </row>
    <row r="31" customFormat="false" ht="19.5" hidden="false" customHeight="true" outlineLevel="0" collapsed="false">
      <c r="B31" s="31" t="s">
        <v>1003</v>
      </c>
      <c r="C31" s="31"/>
      <c r="D31" s="31"/>
      <c r="E31" s="31"/>
      <c r="F31" s="31"/>
      <c r="G31" s="31"/>
      <c r="H31" s="31"/>
      <c r="I31" s="31"/>
      <c r="J31" s="31"/>
    </row>
    <row r="32" customFormat="false" ht="19.5" hidden="false" customHeight="true" outlineLevel="0" collapsed="false">
      <c r="B32" s="30" t="s">
        <v>1004</v>
      </c>
      <c r="C32" s="30"/>
      <c r="D32" s="30"/>
      <c r="E32" s="30"/>
      <c r="F32" s="30"/>
      <c r="G32" s="30"/>
      <c r="H32" s="30"/>
      <c r="I32" s="30"/>
      <c r="J32" s="30"/>
    </row>
  </sheetData>
  <mergeCells count="11">
    <mergeCell ref="B1:K1"/>
    <mergeCell ref="B2:K2"/>
    <mergeCell ref="B4:K4"/>
    <mergeCell ref="B17:K17"/>
    <mergeCell ref="B26:K26"/>
    <mergeCell ref="B27:J27"/>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7" t="s">
        <v>1005</v>
      </c>
      <c r="C1" s="7"/>
      <c r="D1" s="7"/>
      <c r="E1" s="7"/>
      <c r="F1" s="7"/>
      <c r="G1" s="7"/>
      <c r="H1" s="7"/>
      <c r="I1" s="7"/>
      <c r="J1" s="7"/>
      <c r="K1" s="7"/>
      <c r="L1" s="7"/>
    </row>
    <row r="2" customFormat="false" ht="13.5" hidden="false" customHeight="true" outlineLevel="0" collapsed="false">
      <c r="B2" s="8" t="s">
        <v>1006</v>
      </c>
      <c r="C2" s="8"/>
      <c r="D2" s="8"/>
      <c r="E2" s="8"/>
      <c r="F2" s="8"/>
      <c r="G2" s="8"/>
      <c r="H2" s="8"/>
      <c r="I2" s="8"/>
      <c r="J2" s="8"/>
      <c r="K2" s="8"/>
      <c r="L2" s="8"/>
    </row>
    <row r="3" customFormat="false" ht="6" hidden="false" customHeight="true" outlineLevel="0" collapsed="false"/>
    <row r="4" customFormat="false" ht="15.75" hidden="false" customHeight="true" outlineLevel="0" collapsed="false">
      <c r="B4" s="9" t="s">
        <v>1007</v>
      </c>
      <c r="C4" s="9"/>
      <c r="D4" s="9"/>
      <c r="E4" s="9"/>
      <c r="F4" s="9"/>
      <c r="G4" s="9"/>
      <c r="H4" s="9"/>
      <c r="I4" s="9"/>
      <c r="J4" s="9"/>
      <c r="K4" s="9"/>
      <c r="L4" s="9"/>
    </row>
    <row r="5" customFormat="false" ht="15.75" hidden="false" customHeight="true" outlineLevel="0" collapsed="false">
      <c r="B5" s="13" t="s">
        <v>1</v>
      </c>
      <c r="C5" s="13" t="s">
        <v>678</v>
      </c>
      <c r="D5" s="13" t="s">
        <v>1008</v>
      </c>
      <c r="E5" s="13" t="s">
        <v>1009</v>
      </c>
      <c r="F5" s="13" t="s">
        <v>1010</v>
      </c>
    </row>
    <row r="6" customFormat="false" ht="12.75" hidden="false" customHeight="true" outlineLevel="0" collapsed="false">
      <c r="B6" s="17" t="s">
        <v>50</v>
      </c>
      <c r="C6" s="16" t="n">
        <f aca="false">COUNTIF('Coffee Audit'!B2:B2000,"*Singapore*")</f>
        <v>53</v>
      </c>
      <c r="D6" s="16" t="s">
        <v>1011</v>
      </c>
      <c r="E6" s="16" t="s">
        <v>1012</v>
      </c>
      <c r="F6" s="16" t="s">
        <v>1013</v>
      </c>
    </row>
    <row r="7" customFormat="false" ht="12.75" hidden="false" customHeight="true" outlineLevel="0" collapsed="false">
      <c r="B7" s="15" t="s">
        <v>23</v>
      </c>
      <c r="C7" s="14" t="n">
        <f aca="false">COUNTIF('Coffee Audit'!B2:B2000,"*Bali*")</f>
        <v>3</v>
      </c>
      <c r="D7" s="14" t="s">
        <v>733</v>
      </c>
      <c r="E7" s="14" t="s">
        <v>722</v>
      </c>
      <c r="F7" s="14" t="s">
        <v>1014</v>
      </c>
    </row>
    <row r="8" customFormat="false" ht="12.75" hidden="false" customHeight="true" outlineLevel="0" collapsed="false">
      <c r="B8" s="17" t="s">
        <v>66</v>
      </c>
      <c r="C8" s="16" t="n">
        <f aca="false">COUNTIF('Coffee Audit'!B2:B2000,"*Mumbai*")</f>
        <v>2</v>
      </c>
      <c r="D8" s="16" t="s">
        <v>942</v>
      </c>
      <c r="E8" s="16" t="s">
        <v>707</v>
      </c>
      <c r="F8" s="16" t="s">
        <v>1015</v>
      </c>
    </row>
    <row r="9" customFormat="false" ht="12.75" hidden="false" customHeight="true" outlineLevel="0" collapsed="false">
      <c r="B9" s="15" t="s">
        <v>214</v>
      </c>
      <c r="C9" s="14" t="n">
        <f aca="false">COUNTIF('Coffee Audit'!B2:B2000,"*Johor*")</f>
        <v>1</v>
      </c>
      <c r="D9" s="14" t="s">
        <v>733</v>
      </c>
      <c r="E9" s="14" t="s">
        <v>707</v>
      </c>
      <c r="F9" s="14" t="s">
        <v>1016</v>
      </c>
    </row>
    <row r="10" customFormat="false" ht="7.5" hidden="false" customHeight="true" outlineLevel="0" collapsed="false"/>
    <row r="11" customFormat="false" ht="15.75" hidden="false" customHeight="true" outlineLevel="0" collapsed="false">
      <c r="B11" s="9" t="s">
        <v>1017</v>
      </c>
      <c r="C11" s="9"/>
      <c r="D11" s="9"/>
      <c r="E11" s="9"/>
      <c r="F11" s="9"/>
      <c r="G11" s="9"/>
      <c r="H11" s="9"/>
      <c r="I11" s="9"/>
      <c r="J11" s="9"/>
      <c r="K11" s="9"/>
      <c r="L11" s="9"/>
    </row>
    <row r="12" customFormat="false" ht="15.75" hidden="false" customHeight="true" outlineLevel="0" collapsed="false">
      <c r="B12" s="13" t="s">
        <v>635</v>
      </c>
      <c r="C12" s="13" t="s">
        <v>1</v>
      </c>
      <c r="D12" s="13" t="s">
        <v>678</v>
      </c>
      <c r="E12" s="13" t="s">
        <v>161</v>
      </c>
      <c r="F12" s="13" t="s">
        <v>1018</v>
      </c>
      <c r="G12" s="13" t="s">
        <v>1019</v>
      </c>
      <c r="H12" s="13" t="s">
        <v>1020</v>
      </c>
      <c r="I12" s="13" t="s">
        <v>1021</v>
      </c>
      <c r="J12" s="13" t="s">
        <v>1022</v>
      </c>
      <c r="K12" s="13" t="s">
        <v>1023</v>
      </c>
    </row>
    <row r="13" customFormat="false" ht="13.5" hidden="false" customHeight="true" outlineLevel="0" collapsed="false">
      <c r="B13" s="32" t="s">
        <v>237</v>
      </c>
      <c r="C13" s="33" t="s">
        <v>50</v>
      </c>
      <c r="D13" s="33" t="n">
        <f aca="false">COUNTIF('Coffee Audit'!C2:C2000,B13)</f>
        <v>6</v>
      </c>
      <c r="E13" s="33" t="n">
        <f aca="false">SUMPRODUCT(('Coffee Audit'!C2:C2000=B13)*('Coffee Audit'!W2:W2000="⭐ GESHA"))</f>
        <v>0</v>
      </c>
      <c r="F13" s="33" t="str">
        <f aca="false">IFERROR(TEXT(AVERAGEIFS('Coffee Audit'!Q2:Q2000,'Coffee Audit'!C2:C2000,B13,'Coffee Audit'!Q2:Q2000,"&gt;0"),"S$0.00"),"—")</f>
        <v>0$0.00</v>
      </c>
      <c r="G13" s="33" t="s">
        <v>1024</v>
      </c>
      <c r="H13" s="33" t="s">
        <v>1025</v>
      </c>
      <c r="I13" s="33" t="s">
        <v>1026</v>
      </c>
      <c r="J13" s="33" t="s">
        <v>1027</v>
      </c>
      <c r="K13" s="33" t="s">
        <v>1028</v>
      </c>
    </row>
    <row r="14" customFormat="false" ht="13.5" hidden="false" customHeight="true" outlineLevel="0" collapsed="false">
      <c r="B14" s="34" t="s">
        <v>305</v>
      </c>
      <c r="C14" s="35" t="s">
        <v>50</v>
      </c>
      <c r="D14" s="35" t="n">
        <f aca="false">COUNTIF('Coffee Audit'!C2:C2000,B14)</f>
        <v>3</v>
      </c>
      <c r="E14" s="35" t="n">
        <f aca="false">SUMPRODUCT(('Coffee Audit'!C2:C2000=B14)*('Coffee Audit'!W2:W2000="⭐ GESHA"))</f>
        <v>1</v>
      </c>
      <c r="F14" s="35" t="str">
        <f aca="false">IFERROR(TEXT(AVERAGEIFS('Coffee Audit'!Q2:Q2000,'Coffee Audit'!C2:C2000,B14,'Coffee Audit'!Q2:Q2000,"&gt;0"),"S$0.00"),"—")</f>
        <v>0$0.00</v>
      </c>
      <c r="G14" s="35" t="s">
        <v>1029</v>
      </c>
      <c r="H14" s="35" t="s">
        <v>1030</v>
      </c>
      <c r="I14" s="35" t="s">
        <v>653</v>
      </c>
      <c r="J14" s="35" t="s">
        <v>1027</v>
      </c>
      <c r="K14" s="35" t="s">
        <v>1031</v>
      </c>
    </row>
    <row r="15" customFormat="false" ht="13.5" hidden="false" customHeight="true" outlineLevel="0" collapsed="false">
      <c r="B15" s="32" t="s">
        <v>157</v>
      </c>
      <c r="C15" s="33" t="s">
        <v>50</v>
      </c>
      <c r="D15" s="33" t="n">
        <f aca="false">COUNTIF('Coffee Audit'!C2:C2000,B15)</f>
        <v>4</v>
      </c>
      <c r="E15" s="33" t="n">
        <f aca="false">SUMPRODUCT(('Coffee Audit'!C2:C2000=B15)*('Coffee Audit'!W2:W2000="⭐ GESHA"))</f>
        <v>2</v>
      </c>
      <c r="F15" s="33" t="str">
        <f aca="false">IFERROR(TEXT(AVERAGEIFS('Coffee Audit'!Q2:Q2000,'Coffee Audit'!C2:C2000,B15,'Coffee Audit'!Q2:Q2000,"&gt;0"),"S$0.00"),"—")</f>
        <v>0$0.00</v>
      </c>
      <c r="G15" s="33" t="s">
        <v>1032</v>
      </c>
      <c r="H15" s="33" t="s">
        <v>653</v>
      </c>
      <c r="I15" s="33" t="s">
        <v>653</v>
      </c>
      <c r="J15" s="33" t="s">
        <v>1027</v>
      </c>
      <c r="K15" s="33" t="s">
        <v>1033</v>
      </c>
    </row>
    <row r="16" customFormat="false" ht="13.5" hidden="false" customHeight="true" outlineLevel="0" collapsed="false">
      <c r="B16" s="34" t="s">
        <v>325</v>
      </c>
      <c r="C16" s="35" t="s">
        <v>50</v>
      </c>
      <c r="D16" s="35" t="n">
        <f aca="false">COUNTIF('Coffee Audit'!C2:C2000,B16)</f>
        <v>2</v>
      </c>
      <c r="E16" s="35" t="n">
        <f aca="false">SUMPRODUCT(('Coffee Audit'!C2:C2000=B16)*('Coffee Audit'!W2:W2000="⭐ GESHA"))</f>
        <v>0</v>
      </c>
      <c r="F16" s="35" t="str">
        <f aca="false">IFERROR(TEXT(AVERAGEIFS('Coffee Audit'!Q2:Q2000,'Coffee Audit'!C2:C2000,B16,'Coffee Audit'!Q2:Q2000,"&gt;0"),"S$0.00"),"—")</f>
        <v>0$0.00</v>
      </c>
      <c r="G16" s="35" t="s">
        <v>1034</v>
      </c>
      <c r="H16" s="35" t="s">
        <v>1035</v>
      </c>
      <c r="I16" s="35" t="s">
        <v>1036</v>
      </c>
      <c r="J16" s="35" t="s">
        <v>1027</v>
      </c>
      <c r="K16" s="35" t="s">
        <v>1037</v>
      </c>
    </row>
    <row r="17" customFormat="false" ht="13.5" hidden="false" customHeight="true" outlineLevel="0" collapsed="false">
      <c r="B17" s="32" t="s">
        <v>51</v>
      </c>
      <c r="C17" s="33" t="s">
        <v>50</v>
      </c>
      <c r="D17" s="33" t="n">
        <f aca="false">COUNTIF('Coffee Audit'!C2:C2000,B17)</f>
        <v>3</v>
      </c>
      <c r="E17" s="33" t="n">
        <f aca="false">SUMPRODUCT(('Coffee Audit'!C2:C2000=B17)*('Coffee Audit'!W2:W2000="⭐ GESHA"))</f>
        <v>0</v>
      </c>
      <c r="F17" s="33" t="str">
        <f aca="false">IFERROR(TEXT(AVERAGEIFS('Coffee Audit'!Q2:Q2000,'Coffee Audit'!C2:C2000,B17,'Coffee Audit'!Q2:Q2000,"&gt;0"),"S$0.00"),"—")</f>
        <v>0$0.00</v>
      </c>
      <c r="G17" s="33" t="s">
        <v>1038</v>
      </c>
      <c r="H17" s="33" t="s">
        <v>1039</v>
      </c>
      <c r="I17" s="33" t="s">
        <v>1040</v>
      </c>
      <c r="J17" s="33" t="s">
        <v>1027</v>
      </c>
      <c r="K17" s="33" t="s">
        <v>1041</v>
      </c>
    </row>
    <row r="18" customFormat="false" ht="13.5" hidden="false" customHeight="true" outlineLevel="0" collapsed="false">
      <c r="B18" s="34" t="s">
        <v>590</v>
      </c>
      <c r="C18" s="35" t="s">
        <v>50</v>
      </c>
      <c r="D18" s="35" t="n">
        <f aca="false">COUNTIF('Coffee Audit'!C2:C2000,B18)</f>
        <v>1</v>
      </c>
      <c r="E18" s="35" t="n">
        <f aca="false">SUMPRODUCT(('Coffee Audit'!C2:C2000=B18)*('Coffee Audit'!W2:W2000="⭐ GESHA"))</f>
        <v>1</v>
      </c>
      <c r="F18" s="35" t="str">
        <f aca="false">IFERROR(TEXT(AVERAGEIFS('Coffee Audit'!Q2:Q2000,'Coffee Audit'!C2:C2000,B18,'Coffee Audit'!Q2:Q2000,"&gt;0"),"S$0.00"),"—")</f>
        <v>0$0.00</v>
      </c>
      <c r="G18" s="35" t="s">
        <v>1042</v>
      </c>
      <c r="H18" s="35" t="s">
        <v>1043</v>
      </c>
      <c r="I18" s="35" t="s">
        <v>1044</v>
      </c>
      <c r="J18" s="35" t="s">
        <v>1027</v>
      </c>
      <c r="K18" s="35" t="s">
        <v>1045</v>
      </c>
    </row>
    <row r="19" customFormat="false" ht="13.5" hidden="false" customHeight="true" outlineLevel="0" collapsed="false">
      <c r="B19" s="36" t="s">
        <v>489</v>
      </c>
      <c r="C19" s="37" t="s">
        <v>50</v>
      </c>
      <c r="D19" s="37" t="n">
        <f aca="false">COUNTIF('Coffee Audit'!C2:C2000,B19)</f>
        <v>2</v>
      </c>
      <c r="E19" s="37" t="n">
        <f aca="false">SUMPRODUCT(('Coffee Audit'!C2:C2000=B19)*('Coffee Audit'!W2:W2000="⭐ GESHA"))</f>
        <v>0</v>
      </c>
      <c r="F19" s="37" t="str">
        <f aca="false">IFERROR(TEXT(AVERAGEIFS('Coffee Audit'!Q2:Q2000,'Coffee Audit'!C2:C2000,B19,'Coffee Audit'!Q2:Q2000,"&gt;0"),"S$0.00"),"—")</f>
        <v>0$0.00</v>
      </c>
      <c r="G19" s="37" t="s">
        <v>1046</v>
      </c>
      <c r="H19" s="37" t="s">
        <v>1047</v>
      </c>
      <c r="I19" s="37" t="s">
        <v>1048</v>
      </c>
      <c r="J19" s="37" t="s">
        <v>1049</v>
      </c>
      <c r="K19" s="37" t="s">
        <v>1050</v>
      </c>
    </row>
    <row r="20" customFormat="false" ht="13.5" hidden="false" customHeight="true" outlineLevel="0" collapsed="false">
      <c r="B20" s="34" t="s">
        <v>503</v>
      </c>
      <c r="C20" s="35" t="s">
        <v>50</v>
      </c>
      <c r="D20" s="35" t="n">
        <f aca="false">COUNTIF('Coffee Audit'!C2:C2000,B20)</f>
        <v>2</v>
      </c>
      <c r="E20" s="35" t="n">
        <f aca="false">SUMPRODUCT(('Coffee Audit'!C2:C2000=B20)*('Coffee Audit'!W2:W2000="⭐ GESHA"))</f>
        <v>1</v>
      </c>
      <c r="F20" s="35" t="str">
        <f aca="false">IFERROR(TEXT(AVERAGEIFS('Coffee Audit'!Q2:Q2000,'Coffee Audit'!C2:C2000,B20,'Coffee Audit'!Q2:Q2000,"&gt;0"),"S$0.00"),"—")</f>
        <v>0$0.00</v>
      </c>
      <c r="G20" s="35" t="s">
        <v>1051</v>
      </c>
      <c r="H20" s="35" t="s">
        <v>1052</v>
      </c>
      <c r="I20" s="35" t="s">
        <v>1053</v>
      </c>
      <c r="J20" s="35" t="s">
        <v>1027</v>
      </c>
      <c r="K20" s="35" t="s">
        <v>1054</v>
      </c>
    </row>
    <row r="21" customFormat="false" ht="13.5" hidden="false" customHeight="true" outlineLevel="0" collapsed="false">
      <c r="B21" s="32" t="s">
        <v>553</v>
      </c>
      <c r="C21" s="33" t="s">
        <v>50</v>
      </c>
      <c r="D21" s="33" t="n">
        <f aca="false">COUNTIF('Coffee Audit'!C2:C2000,B21)</f>
        <v>1</v>
      </c>
      <c r="E21" s="33" t="n">
        <f aca="false">SUMPRODUCT(('Coffee Audit'!C2:C2000=B21)*('Coffee Audit'!W2:W2000="⭐ GESHA"))</f>
        <v>1</v>
      </c>
      <c r="F21" s="33" t="str">
        <f aca="false">IFERROR(TEXT(AVERAGEIFS('Coffee Audit'!Q2:Q2000,'Coffee Audit'!C2:C2000,B21,'Coffee Audit'!Q2:Q2000,"&gt;0"),"S$0.00"),"—")</f>
        <v>0$0.00</v>
      </c>
      <c r="G21" s="33" t="s">
        <v>1055</v>
      </c>
      <c r="H21" s="33" t="s">
        <v>1056</v>
      </c>
      <c r="I21" s="33" t="s">
        <v>1057</v>
      </c>
      <c r="J21" s="33" t="s">
        <v>1027</v>
      </c>
      <c r="K21" s="33"/>
    </row>
    <row r="22" customFormat="false" ht="13.5" hidden="false" customHeight="true" outlineLevel="0" collapsed="false">
      <c r="B22" s="34" t="s">
        <v>567</v>
      </c>
      <c r="C22" s="35" t="s">
        <v>50</v>
      </c>
      <c r="D22" s="35" t="n">
        <f aca="false">COUNTIF('Coffee Audit'!C2:C2000,B22)</f>
        <v>1</v>
      </c>
      <c r="E22" s="35" t="n">
        <f aca="false">SUMPRODUCT(('Coffee Audit'!C2:C2000=B22)*('Coffee Audit'!W2:W2000="⭐ GESHA"))</f>
        <v>1</v>
      </c>
      <c r="F22" s="35" t="str">
        <f aca="false">IFERROR(TEXT(AVERAGEIFS('Coffee Audit'!Q2:Q2000,'Coffee Audit'!C2:C2000,B22,'Coffee Audit'!Q2:Q2000,"&gt;0"),"S$0.00"),"—")</f>
        <v>0$0.00</v>
      </c>
      <c r="G22" s="35" t="s">
        <v>1058</v>
      </c>
      <c r="H22" s="35" t="s">
        <v>653</v>
      </c>
      <c r="I22" s="35" t="s">
        <v>1059</v>
      </c>
      <c r="J22" s="35" t="s">
        <v>1027</v>
      </c>
      <c r="K22" s="35" t="s">
        <v>1060</v>
      </c>
    </row>
    <row r="23" customFormat="false" ht="13.5" hidden="false" customHeight="true" outlineLevel="0" collapsed="false">
      <c r="B23" s="32" t="s">
        <v>108</v>
      </c>
      <c r="C23" s="33" t="s">
        <v>50</v>
      </c>
      <c r="D23" s="33" t="n">
        <f aca="false">COUNTIF('Coffee Audit'!C2:C2000,B23)</f>
        <v>1</v>
      </c>
      <c r="E23" s="33" t="n">
        <f aca="false">SUMPRODUCT(('Coffee Audit'!C2:C2000=B23)*('Coffee Audit'!W2:W2000="⭐ GESHA"))</f>
        <v>0</v>
      </c>
      <c r="F23" s="33" t="str">
        <f aca="false">IFERROR(TEXT(AVERAGEIFS('Coffee Audit'!Q2:Q2000,'Coffee Audit'!C2:C2000,B23,'Coffee Audit'!Q2:Q2000,"&gt;0"),"S$0.00"),"—")</f>
        <v>—</v>
      </c>
      <c r="G23" s="33" t="s">
        <v>1061</v>
      </c>
      <c r="H23" s="33" t="s">
        <v>1062</v>
      </c>
      <c r="I23" s="33" t="s">
        <v>1063</v>
      </c>
      <c r="J23" s="33" t="s">
        <v>1027</v>
      </c>
      <c r="K23" s="33" t="s">
        <v>1064</v>
      </c>
    </row>
    <row r="24" customFormat="false" ht="13.5" hidden="false" customHeight="true" outlineLevel="0" collapsed="false">
      <c r="B24" s="34" t="s">
        <v>395</v>
      </c>
      <c r="C24" s="35" t="s">
        <v>50</v>
      </c>
      <c r="D24" s="35" t="n">
        <f aca="false">COUNTIF('Coffee Audit'!C2:C2000,B24)</f>
        <v>2</v>
      </c>
      <c r="E24" s="35" t="n">
        <f aca="false">SUMPRODUCT(('Coffee Audit'!C2:C2000=B24)*('Coffee Audit'!W2:W2000="⭐ GESHA"))</f>
        <v>0</v>
      </c>
      <c r="F24" s="35" t="str">
        <f aca="false">IFERROR(TEXT(AVERAGEIFS('Coffee Audit'!Q2:Q2000,'Coffee Audit'!C2:C2000,B24,'Coffee Audit'!Q2:Q2000,"&gt;0"),"S$0.00"),"—")</f>
        <v>0$0.00</v>
      </c>
      <c r="G24" s="35" t="s">
        <v>1065</v>
      </c>
      <c r="H24" s="35" t="s">
        <v>1062</v>
      </c>
      <c r="I24" s="35" t="s">
        <v>1063</v>
      </c>
      <c r="J24" s="35" t="s">
        <v>1027</v>
      </c>
      <c r="K24" s="35" t="s">
        <v>1066</v>
      </c>
    </row>
    <row r="25" customFormat="false" ht="13.5" hidden="false" customHeight="true" outlineLevel="0" collapsed="false">
      <c r="B25" s="32" t="s">
        <v>356</v>
      </c>
      <c r="C25" s="33" t="s">
        <v>50</v>
      </c>
      <c r="D25" s="33" t="n">
        <f aca="false">COUNTIF('Coffee Audit'!C2:C2000,B25)</f>
        <v>2</v>
      </c>
      <c r="E25" s="33" t="n">
        <f aca="false">SUMPRODUCT(('Coffee Audit'!C2:C2000=B25)*('Coffee Audit'!W2:W2000="⭐ GESHA"))</f>
        <v>1</v>
      </c>
      <c r="F25" s="33" t="str">
        <f aca="false">IFERROR(TEXT(AVERAGEIFS('Coffee Audit'!Q2:Q2000,'Coffee Audit'!C2:C2000,B25,'Coffee Audit'!Q2:Q2000,"&gt;0"),"S$0.00"),"—")</f>
        <v>0$0.00</v>
      </c>
      <c r="G25" s="33" t="s">
        <v>1067</v>
      </c>
      <c r="H25" s="33" t="s">
        <v>1068</v>
      </c>
      <c r="I25" s="33" t="s">
        <v>1069</v>
      </c>
      <c r="J25" s="33" t="s">
        <v>1027</v>
      </c>
      <c r="K25" s="33" t="s">
        <v>1070</v>
      </c>
    </row>
    <row r="26" customFormat="false" ht="13.5" hidden="false" customHeight="true" outlineLevel="0" collapsed="false">
      <c r="B26" s="34" t="s">
        <v>168</v>
      </c>
      <c r="C26" s="35" t="s">
        <v>50</v>
      </c>
      <c r="D26" s="35" t="n">
        <f aca="false">COUNTIF('Coffee Audit'!C2:C2000,B26)</f>
        <v>2</v>
      </c>
      <c r="E26" s="35" t="n">
        <f aca="false">SUMPRODUCT(('Coffee Audit'!C2:C2000=B26)*('Coffee Audit'!W2:W2000="⭐ GESHA"))</f>
        <v>0</v>
      </c>
      <c r="F26" s="35" t="str">
        <f aca="false">IFERROR(TEXT(AVERAGEIFS('Coffee Audit'!Q2:Q2000,'Coffee Audit'!C2:C2000,B26,'Coffee Audit'!Q2:Q2000,"&gt;0"),"S$0.00"),"—")</f>
        <v>0$0.00</v>
      </c>
      <c r="G26" s="35" t="s">
        <v>1071</v>
      </c>
      <c r="H26" s="35" t="s">
        <v>653</v>
      </c>
      <c r="I26" s="35" t="s">
        <v>1072</v>
      </c>
      <c r="J26" s="35" t="s">
        <v>1027</v>
      </c>
      <c r="K26" s="35" t="s">
        <v>1073</v>
      </c>
    </row>
    <row r="27" customFormat="false" ht="13.5" hidden="false" customHeight="true" outlineLevel="0" collapsed="false">
      <c r="B27" s="32" t="s">
        <v>314</v>
      </c>
      <c r="C27" s="33" t="s">
        <v>50</v>
      </c>
      <c r="D27" s="33" t="n">
        <f aca="false">COUNTIF('Coffee Audit'!C2:C2000,B27)</f>
        <v>1</v>
      </c>
      <c r="E27" s="33" t="n">
        <f aca="false">SUMPRODUCT(('Coffee Audit'!C2:C2000=B27)*('Coffee Audit'!W2:W2000="⭐ GESHA"))</f>
        <v>1</v>
      </c>
      <c r="F27" s="33" t="str">
        <f aca="false">IFERROR(TEXT(AVERAGEIFS('Coffee Audit'!Q2:Q2000,'Coffee Audit'!C2:C2000,B27,'Coffee Audit'!Q2:Q2000,"&gt;0"),"S$0.00"),"—")</f>
        <v>0$0.00</v>
      </c>
      <c r="G27" s="33" t="s">
        <v>1074</v>
      </c>
      <c r="H27" s="33" t="s">
        <v>1075</v>
      </c>
      <c r="I27" s="33" t="s">
        <v>653</v>
      </c>
      <c r="J27" s="33" t="s">
        <v>1027</v>
      </c>
      <c r="K27" s="33" t="s">
        <v>1076</v>
      </c>
    </row>
    <row r="28" customFormat="false" ht="13.5" hidden="false" customHeight="true" outlineLevel="0" collapsed="false">
      <c r="B28" s="34" t="s">
        <v>98</v>
      </c>
      <c r="C28" s="35" t="s">
        <v>50</v>
      </c>
      <c r="D28" s="35" t="n">
        <f aca="false">COUNTIF('Coffee Audit'!C2:C2000,B28)</f>
        <v>2</v>
      </c>
      <c r="E28" s="35" t="n">
        <f aca="false">SUMPRODUCT(('Coffee Audit'!C2:C2000=B28)*('Coffee Audit'!W2:W2000="⭐ GESHA"))</f>
        <v>0</v>
      </c>
      <c r="F28" s="35" t="str">
        <f aca="false">IFERROR(TEXT(AVERAGEIFS('Coffee Audit'!Q2:Q2000,'Coffee Audit'!C2:C2000,B28,'Coffee Audit'!Q2:Q2000,"&gt;0"),"S$0.00"),"—")</f>
        <v>0$0.00</v>
      </c>
      <c r="G28" s="35" t="s">
        <v>1077</v>
      </c>
      <c r="H28" s="35" t="s">
        <v>1078</v>
      </c>
      <c r="I28" s="35" t="s">
        <v>653</v>
      </c>
      <c r="J28" s="35" t="s">
        <v>1027</v>
      </c>
      <c r="K28" s="35" t="s">
        <v>1079</v>
      </c>
    </row>
    <row r="29" customFormat="false" ht="13.5" hidden="false" customHeight="true" outlineLevel="0" collapsed="false">
      <c r="B29" s="32" t="s">
        <v>124</v>
      </c>
      <c r="C29" s="33" t="s">
        <v>50</v>
      </c>
      <c r="D29" s="33" t="n">
        <f aca="false">COUNTIF('Coffee Audit'!C2:C2000,B29)</f>
        <v>3</v>
      </c>
      <c r="E29" s="33" t="n">
        <f aca="false">SUMPRODUCT(('Coffee Audit'!C2:C2000=B29)*('Coffee Audit'!W2:W2000="⭐ GESHA"))</f>
        <v>0</v>
      </c>
      <c r="F29" s="33" t="str">
        <f aca="false">IFERROR(TEXT(AVERAGEIFS('Coffee Audit'!Q2:Q2000,'Coffee Audit'!C2:C2000,B29,'Coffee Audit'!Q2:Q2000,"&gt;0"),"S$0.00"),"—")</f>
        <v>—</v>
      </c>
      <c r="G29" s="33" t="s">
        <v>1080</v>
      </c>
      <c r="H29" s="33" t="s">
        <v>1081</v>
      </c>
      <c r="I29" s="33" t="s">
        <v>653</v>
      </c>
      <c r="J29" s="33" t="s">
        <v>1027</v>
      </c>
      <c r="K29" s="33" t="s">
        <v>1082</v>
      </c>
    </row>
    <row r="30" customFormat="false" ht="13.5" hidden="false" customHeight="true" outlineLevel="0" collapsed="false">
      <c r="B30" s="34" t="s">
        <v>1083</v>
      </c>
      <c r="C30" s="35" t="s">
        <v>50</v>
      </c>
      <c r="D30" s="35" t="n">
        <f aca="false">COUNTIF('Coffee Audit'!C2:C2000,B30)</f>
        <v>0</v>
      </c>
      <c r="E30" s="35" t="n">
        <f aca="false">SUMPRODUCT(('Coffee Audit'!C2:C2000=B30)*('Coffee Audit'!W2:W2000="⭐ GESHA"))</f>
        <v>0</v>
      </c>
      <c r="F30" s="35" t="str">
        <f aca="false">IFERROR(TEXT(AVERAGEIFS('Coffee Audit'!Q2:Q2000,'Coffee Audit'!C2:C2000,B30,'Coffee Audit'!Q2:Q2000,"&gt;0"),"S$0.00"),"—")</f>
        <v>—</v>
      </c>
      <c r="G30" s="35" t="s">
        <v>1084</v>
      </c>
      <c r="H30" s="35" t="s">
        <v>1085</v>
      </c>
      <c r="I30" s="35" t="s">
        <v>1086</v>
      </c>
      <c r="J30" s="35" t="s">
        <v>1027</v>
      </c>
      <c r="K30" s="35"/>
    </row>
    <row r="31" customFormat="false" ht="13.5" hidden="false" customHeight="true" outlineLevel="0" collapsed="false">
      <c r="B31" s="32" t="s">
        <v>524</v>
      </c>
      <c r="C31" s="33" t="s">
        <v>50</v>
      </c>
      <c r="D31" s="33" t="n">
        <f aca="false">COUNTIF('Coffee Audit'!C2:C2000,B31)</f>
        <v>1</v>
      </c>
      <c r="E31" s="33" t="n">
        <f aca="false">SUMPRODUCT(('Coffee Audit'!C2:C2000=B31)*('Coffee Audit'!W2:W2000="⭐ GESHA"))</f>
        <v>1</v>
      </c>
      <c r="F31" s="33" t="str">
        <f aca="false">IFERROR(TEXT(AVERAGEIFS('Coffee Audit'!Q2:Q2000,'Coffee Audit'!C2:C2000,B31,'Coffee Audit'!Q2:Q2000,"&gt;0"),"S$0.00"),"—")</f>
        <v>0$0.00</v>
      </c>
      <c r="G31" s="33" t="s">
        <v>1087</v>
      </c>
      <c r="H31" s="33" t="s">
        <v>1088</v>
      </c>
      <c r="I31" s="33" t="s">
        <v>1089</v>
      </c>
      <c r="J31" s="33" t="s">
        <v>1027</v>
      </c>
      <c r="K31" s="33" t="s">
        <v>1090</v>
      </c>
    </row>
    <row r="32" customFormat="false" ht="13.5" hidden="false" customHeight="true" outlineLevel="0" collapsed="false">
      <c r="B32" s="34" t="s">
        <v>295</v>
      </c>
      <c r="C32" s="35" t="s">
        <v>50</v>
      </c>
      <c r="D32" s="35" t="n">
        <f aca="false">COUNTIF('Coffee Audit'!C2:C2000,B32)</f>
        <v>1</v>
      </c>
      <c r="E32" s="35" t="n">
        <f aca="false">SUMPRODUCT(('Coffee Audit'!C2:C2000=B32)*('Coffee Audit'!W2:W2000="⭐ GESHA"))</f>
        <v>0</v>
      </c>
      <c r="F32" s="35" t="str">
        <f aca="false">IFERROR(TEXT(AVERAGEIFS('Coffee Audit'!Q2:Q2000,'Coffee Audit'!C2:C2000,B32,'Coffee Audit'!Q2:Q2000,"&gt;0"),"S$0.00"),"—")</f>
        <v>0$0.00</v>
      </c>
      <c r="G32" s="35" t="s">
        <v>1091</v>
      </c>
      <c r="H32" s="35" t="s">
        <v>1092</v>
      </c>
      <c r="I32" s="35" t="s">
        <v>1093</v>
      </c>
      <c r="J32" s="35" t="s">
        <v>1027</v>
      </c>
      <c r="K32" s="35" t="s">
        <v>1094</v>
      </c>
    </row>
    <row r="33" customFormat="false" ht="13.5" hidden="false" customHeight="true" outlineLevel="0" collapsed="false">
      <c r="B33" s="32" t="s">
        <v>263</v>
      </c>
      <c r="C33" s="33" t="s">
        <v>50</v>
      </c>
      <c r="D33" s="33" t="n">
        <f aca="false">COUNTIF('Coffee Audit'!C2:C2000,B33)</f>
        <v>1</v>
      </c>
      <c r="E33" s="33" t="n">
        <f aca="false">SUMPRODUCT(('Coffee Audit'!C2:C2000=B33)*('Coffee Audit'!W2:W2000="⭐ GESHA"))</f>
        <v>0</v>
      </c>
      <c r="F33" s="33" t="str">
        <f aca="false">IFERROR(TEXT(AVERAGEIFS('Coffee Audit'!Q2:Q2000,'Coffee Audit'!C2:C2000,B33,'Coffee Audit'!Q2:Q2000,"&gt;0"),"S$0.00"),"—")</f>
        <v>—</v>
      </c>
      <c r="G33" s="33" t="s">
        <v>1095</v>
      </c>
      <c r="H33" s="33" t="s">
        <v>1092</v>
      </c>
      <c r="I33" s="33" t="s">
        <v>1093</v>
      </c>
      <c r="J33" s="33" t="s">
        <v>1027</v>
      </c>
      <c r="K33" s="33" t="s">
        <v>1096</v>
      </c>
    </row>
    <row r="34" customFormat="false" ht="13.5" hidden="false" customHeight="true" outlineLevel="0" collapsed="false">
      <c r="B34" s="34" t="s">
        <v>180</v>
      </c>
      <c r="C34" s="35" t="s">
        <v>50</v>
      </c>
      <c r="D34" s="35" t="n">
        <f aca="false">COUNTIF('Coffee Audit'!C2:C2000,B34)</f>
        <v>1</v>
      </c>
      <c r="E34" s="35" t="n">
        <f aca="false">SUMPRODUCT(('Coffee Audit'!C2:C2000=B34)*('Coffee Audit'!W2:W2000="⭐ GESHA"))</f>
        <v>1</v>
      </c>
      <c r="F34" s="35" t="str">
        <f aca="false">IFERROR(TEXT(AVERAGEIFS('Coffee Audit'!Q2:Q2000,'Coffee Audit'!C2:C2000,B34,'Coffee Audit'!Q2:Q2000,"&gt;0"),"S$0.00"),"—")</f>
        <v>0$0.00</v>
      </c>
      <c r="G34" s="35" t="s">
        <v>1097</v>
      </c>
      <c r="H34" s="35" t="s">
        <v>1098</v>
      </c>
      <c r="I34" s="35" t="s">
        <v>1099</v>
      </c>
      <c r="J34" s="35" t="s">
        <v>1027</v>
      </c>
      <c r="K34" s="35" t="s">
        <v>1100</v>
      </c>
    </row>
    <row r="35" customFormat="false" ht="13.5" hidden="false" customHeight="true" outlineLevel="0" collapsed="false">
      <c r="B35" s="32" t="s">
        <v>144</v>
      </c>
      <c r="C35" s="33" t="s">
        <v>50</v>
      </c>
      <c r="D35" s="33" t="n">
        <f aca="false">COUNTIF('Coffee Audit'!C2:C2000,B35)</f>
        <v>2</v>
      </c>
      <c r="E35" s="33" t="n">
        <f aca="false">SUMPRODUCT(('Coffee Audit'!C2:C2000=B35)*('Coffee Audit'!W2:W2000="⭐ GESHA"))</f>
        <v>0</v>
      </c>
      <c r="F35" s="33" t="str">
        <f aca="false">IFERROR(TEXT(AVERAGEIFS('Coffee Audit'!Q2:Q2000,'Coffee Audit'!C2:C2000,B35,'Coffee Audit'!Q2:Q2000,"&gt;0"),"S$0.00"),"—")</f>
        <v>0$0.00</v>
      </c>
      <c r="G35" s="33" t="s">
        <v>1101</v>
      </c>
      <c r="H35" s="33" t="s">
        <v>653</v>
      </c>
      <c r="I35" s="33" t="s">
        <v>1102</v>
      </c>
      <c r="J35" s="33" t="s">
        <v>1027</v>
      </c>
      <c r="K35" s="33" t="s">
        <v>1103</v>
      </c>
    </row>
    <row r="36" customFormat="false" ht="13.5" hidden="false" customHeight="true" outlineLevel="0" collapsed="false">
      <c r="B36" s="34" t="s">
        <v>273</v>
      </c>
      <c r="C36" s="35" t="s">
        <v>50</v>
      </c>
      <c r="D36" s="35" t="n">
        <f aca="false">COUNTIF('Coffee Audit'!C2:C2000,B36)</f>
        <v>2</v>
      </c>
      <c r="E36" s="35" t="n">
        <f aca="false">SUMPRODUCT(('Coffee Audit'!C2:C2000=B36)*('Coffee Audit'!W2:W2000="⭐ GESHA"))</f>
        <v>0</v>
      </c>
      <c r="F36" s="35" t="str">
        <f aca="false">IFERROR(TEXT(AVERAGEIFS('Coffee Audit'!Q2:Q2000,'Coffee Audit'!C2:C2000,B36,'Coffee Audit'!Q2:Q2000,"&gt;0"),"S$0.00"),"—")</f>
        <v>24$0.00</v>
      </c>
      <c r="G36" s="35" t="s">
        <v>1104</v>
      </c>
      <c r="H36" s="35" t="s">
        <v>1105</v>
      </c>
      <c r="I36" s="35" t="s">
        <v>1106</v>
      </c>
      <c r="J36" s="35" t="s">
        <v>1027</v>
      </c>
      <c r="K36" s="35" t="s">
        <v>1107</v>
      </c>
    </row>
    <row r="37" customFormat="false" ht="13.5" hidden="false" customHeight="true" outlineLevel="0" collapsed="false">
      <c r="B37" s="32" t="s">
        <v>370</v>
      </c>
      <c r="C37" s="33" t="s">
        <v>50</v>
      </c>
      <c r="D37" s="33" t="n">
        <f aca="false">COUNTIF('Coffee Audit'!C2:C2000,B37)</f>
        <v>1</v>
      </c>
      <c r="E37" s="33" t="n">
        <f aca="false">SUMPRODUCT(('Coffee Audit'!C2:C2000=B37)*('Coffee Audit'!W2:W2000="⭐ GESHA"))</f>
        <v>0</v>
      </c>
      <c r="F37" s="33" t="str">
        <f aca="false">IFERROR(TEXT(AVERAGEIFS('Coffee Audit'!Q2:Q2000,'Coffee Audit'!C2:C2000,B37,'Coffee Audit'!Q2:Q2000,"&gt;0"),"S$0.00"),"—")</f>
        <v>0$0.00</v>
      </c>
      <c r="G37" s="33" t="s">
        <v>1108</v>
      </c>
      <c r="H37" s="33" t="s">
        <v>1109</v>
      </c>
      <c r="I37" s="33" t="s">
        <v>653</v>
      </c>
      <c r="J37" s="33" t="s">
        <v>1027</v>
      </c>
      <c r="K37" s="33" t="s">
        <v>1110</v>
      </c>
    </row>
    <row r="38" customFormat="false" ht="13.5" hidden="false" customHeight="true" outlineLevel="0" collapsed="false">
      <c r="B38" s="34" t="s">
        <v>452</v>
      </c>
      <c r="C38" s="35" t="s">
        <v>50</v>
      </c>
      <c r="D38" s="35" t="n">
        <f aca="false">COUNTIF('Coffee Audit'!C2:C2000,B38)</f>
        <v>1</v>
      </c>
      <c r="E38" s="35" t="n">
        <f aca="false">SUMPRODUCT(('Coffee Audit'!C2:C2000=B38)*('Coffee Audit'!W2:W2000="⭐ GESHA"))</f>
        <v>0</v>
      </c>
      <c r="F38" s="35" t="str">
        <f aca="false">IFERROR(TEXT(AVERAGEIFS('Coffee Audit'!Q2:Q2000,'Coffee Audit'!C2:C2000,B38,'Coffee Audit'!Q2:Q2000,"&gt;0"),"S$0.00"),"—")</f>
        <v>0$0.00</v>
      </c>
      <c r="G38" s="35" t="s">
        <v>1111</v>
      </c>
      <c r="H38" s="35" t="s">
        <v>1112</v>
      </c>
      <c r="I38" s="35" t="s">
        <v>653</v>
      </c>
      <c r="J38" s="35" t="s">
        <v>1027</v>
      </c>
      <c r="K38" s="35" t="s">
        <v>1113</v>
      </c>
    </row>
    <row r="39" customFormat="false" ht="13.5" hidden="false" customHeight="true" outlineLevel="0" collapsed="false">
      <c r="B39" s="32" t="s">
        <v>407</v>
      </c>
      <c r="C39" s="33" t="s">
        <v>50</v>
      </c>
      <c r="D39" s="33" t="n">
        <f aca="false">COUNTIF('Coffee Audit'!C2:C2000,B39)</f>
        <v>1</v>
      </c>
      <c r="E39" s="33" t="n">
        <f aca="false">SUMPRODUCT(('Coffee Audit'!C2:C2000=B39)*('Coffee Audit'!W2:W2000="⭐ GESHA"))</f>
        <v>0</v>
      </c>
      <c r="F39" s="33" t="str">
        <f aca="false">IFERROR(TEXT(AVERAGEIFS('Coffee Audit'!Q2:Q2000,'Coffee Audit'!C2:C2000,B39,'Coffee Audit'!Q2:Q2000,"&gt;0"),"S$0.00"),"—")</f>
        <v>0$0.00</v>
      </c>
      <c r="G39" s="33" t="s">
        <v>1114</v>
      </c>
      <c r="H39" s="33" t="s">
        <v>653</v>
      </c>
      <c r="I39" s="33" t="s">
        <v>653</v>
      </c>
      <c r="J39" s="33" t="s">
        <v>1027</v>
      </c>
      <c r="K39" s="33" t="s">
        <v>1115</v>
      </c>
    </row>
    <row r="40" customFormat="false" ht="13.5" hidden="false" customHeight="true" outlineLevel="0" collapsed="false">
      <c r="B40" s="38" t="s">
        <v>285</v>
      </c>
      <c r="C40" s="39" t="s">
        <v>50</v>
      </c>
      <c r="D40" s="39" t="n">
        <f aca="false">COUNTIF('Coffee Audit'!C2:C2000,B40)</f>
        <v>1</v>
      </c>
      <c r="E40" s="39" t="n">
        <f aca="false">SUMPRODUCT(('Coffee Audit'!C2:C2000=B40)*('Coffee Audit'!W2:W2000="⭐ GESHA"))</f>
        <v>0</v>
      </c>
      <c r="F40" s="39" t="str">
        <f aca="false">IFERROR(TEXT(AVERAGEIFS('Coffee Audit'!Q2:Q2000,'Coffee Audit'!C2:C2000,B40,'Coffee Audit'!Q2:Q2000,"&gt;0"),"S$0.00"),"—")</f>
        <v>0$0.00</v>
      </c>
      <c r="G40" s="39" t="s">
        <v>1116</v>
      </c>
      <c r="H40" s="39" t="s">
        <v>653</v>
      </c>
      <c r="I40" s="39" t="s">
        <v>653</v>
      </c>
      <c r="J40" s="39" t="s">
        <v>1117</v>
      </c>
      <c r="K40" s="39" t="s">
        <v>1118</v>
      </c>
    </row>
    <row r="41" customFormat="false" ht="13.5" hidden="false" customHeight="true" outlineLevel="0" collapsed="false">
      <c r="B41" s="38" t="s">
        <v>83</v>
      </c>
      <c r="C41" s="39" t="s">
        <v>50</v>
      </c>
      <c r="D41" s="39" t="n">
        <f aca="false">COUNTIF('Coffee Audit'!C2:C2000,B41)</f>
        <v>2</v>
      </c>
      <c r="E41" s="39" t="n">
        <f aca="false">SUMPRODUCT(('Coffee Audit'!C2:C2000=B41)*('Coffee Audit'!W2:W2000="⭐ GESHA"))</f>
        <v>0</v>
      </c>
      <c r="F41" s="39" t="str">
        <f aca="false">IFERROR(TEXT(AVERAGEIFS('Coffee Audit'!Q2:Q2000,'Coffee Audit'!C2:C2000,B41,'Coffee Audit'!Q2:Q2000,"&gt;0"),"S$0.00"),"—")</f>
        <v>—</v>
      </c>
      <c r="G41" s="39" t="s">
        <v>1119</v>
      </c>
      <c r="H41" s="39" t="s">
        <v>653</v>
      </c>
      <c r="I41" s="39" t="s">
        <v>653</v>
      </c>
      <c r="J41" s="39" t="s">
        <v>1117</v>
      </c>
      <c r="K41" s="39" t="s">
        <v>1120</v>
      </c>
    </row>
    <row r="42" customFormat="false" ht="13.5" hidden="false" customHeight="true" outlineLevel="0" collapsed="false">
      <c r="B42" s="32" t="s">
        <v>24</v>
      </c>
      <c r="C42" s="33" t="s">
        <v>23</v>
      </c>
      <c r="D42" s="33" t="n">
        <f aca="false">COUNTIF('Coffee Audit'!C2:C2000,B42)</f>
        <v>3</v>
      </c>
      <c r="E42" s="33" t="n">
        <f aca="false">SUMPRODUCT(('Coffee Audit'!C2:C2000=B42)*('Coffee Audit'!W2:W2000="⭐ GESHA"))</f>
        <v>0</v>
      </c>
      <c r="F42" s="33" t="str">
        <f aca="false">IFERROR(TEXT(AVERAGEIFS('Coffee Audit'!Q2:Q2000,'Coffee Audit'!C2:C2000,B42,'Coffee Audit'!Q2:Q2000,"&gt;0"),"S$0.00"),"—")</f>
        <v>—</v>
      </c>
      <c r="G42" s="33" t="s">
        <v>1121</v>
      </c>
      <c r="H42" s="33" t="s">
        <v>1122</v>
      </c>
      <c r="I42" s="33" t="s">
        <v>1123</v>
      </c>
      <c r="J42" s="33" t="s">
        <v>1124</v>
      </c>
      <c r="K42" s="33" t="s">
        <v>1125</v>
      </c>
    </row>
    <row r="43" customFormat="false" ht="13.5" hidden="false" customHeight="true" outlineLevel="0" collapsed="false">
      <c r="B43" s="32" t="s">
        <v>67</v>
      </c>
      <c r="C43" s="33" t="s">
        <v>66</v>
      </c>
      <c r="D43" s="33" t="n">
        <f aca="false">COUNTIF('Coffee Audit'!C2:C2000,B43)</f>
        <v>1</v>
      </c>
      <c r="E43" s="33" t="n">
        <f aca="false">SUMPRODUCT(('Coffee Audit'!C2:C2000=B43)*('Coffee Audit'!W2:W2000="⭐ GESHA"))</f>
        <v>0</v>
      </c>
      <c r="F43" s="33" t="str">
        <f aca="false">IFERROR(TEXT(AVERAGEIFS('Coffee Audit'!Q2:Q2000,'Coffee Audit'!C2:C2000,B43,'Coffee Audit'!Q2:Q2000,"&gt;0"),"S$0.00"),"—")</f>
        <v>—</v>
      </c>
      <c r="G43" s="33" t="s">
        <v>1126</v>
      </c>
      <c r="H43" s="33" t="s">
        <v>1127</v>
      </c>
      <c r="I43" s="33" t="s">
        <v>1128</v>
      </c>
      <c r="J43" s="33" t="s">
        <v>1124</v>
      </c>
      <c r="K43" s="33" t="s">
        <v>1129</v>
      </c>
    </row>
    <row r="44" customFormat="false" ht="13.5" hidden="false" customHeight="true" outlineLevel="0" collapsed="false">
      <c r="B44" s="32" t="s">
        <v>76</v>
      </c>
      <c r="C44" s="33" t="s">
        <v>66</v>
      </c>
      <c r="D44" s="33" t="n">
        <f aca="false">COUNTIF('Coffee Audit'!C2:C2000,B44)</f>
        <v>1</v>
      </c>
      <c r="E44" s="33" t="n">
        <f aca="false">SUMPRODUCT(('Coffee Audit'!C2:C2000=B44)*('Coffee Audit'!W2:W2000="⭐ GESHA"))</f>
        <v>0</v>
      </c>
      <c r="F44" s="33" t="str">
        <f aca="false">IFERROR(TEXT(AVERAGEIFS('Coffee Audit'!Q2:Q2000,'Coffee Audit'!C2:C2000,B44,'Coffee Audit'!Q2:Q2000,"&gt;0"),"S$0.00"),"—")</f>
        <v>—</v>
      </c>
      <c r="G44" s="33" t="s">
        <v>1130</v>
      </c>
      <c r="H44" s="33" t="s">
        <v>1131</v>
      </c>
      <c r="I44" s="33" t="s">
        <v>653</v>
      </c>
      <c r="J44" s="33" t="s">
        <v>1124</v>
      </c>
      <c r="K44" s="33" t="s">
        <v>1129</v>
      </c>
    </row>
    <row r="45" customFormat="false" ht="13.5" hidden="false" customHeight="true" outlineLevel="0" collapsed="false">
      <c r="B45" s="36" t="s">
        <v>215</v>
      </c>
      <c r="C45" s="37" t="s">
        <v>214</v>
      </c>
      <c r="D45" s="37" t="n">
        <f aca="false">COUNTIF('Coffee Audit'!C2:C2000,B45)</f>
        <v>1</v>
      </c>
      <c r="E45" s="37" t="n">
        <f aca="false">SUMPRODUCT(('Coffee Audit'!C2:C2000=B45)*('Coffee Audit'!W2:W2000="⭐ GESHA"))</f>
        <v>0</v>
      </c>
      <c r="F45" s="37" t="str">
        <f aca="false">IFERROR(TEXT(AVERAGEIFS('Coffee Audit'!Q2:Q2000,'Coffee Audit'!C2:C2000,B45,'Coffee Audit'!Q2:Q2000,"&gt;0"),"S$0.00"),"—")</f>
        <v>12$0.00</v>
      </c>
      <c r="G45" s="37" t="s">
        <v>1132</v>
      </c>
      <c r="H45" s="37" t="s">
        <v>653</v>
      </c>
      <c r="I45" s="37" t="s">
        <v>653</v>
      </c>
      <c r="J45" s="37" t="s">
        <v>1049</v>
      </c>
      <c r="K45" s="37" t="s">
        <v>1133</v>
      </c>
    </row>
    <row r="46" customFormat="false" ht="7.5" hidden="false" customHeight="true" outlineLevel="0" collapsed="false"/>
    <row r="47" customFormat="false" ht="15.75" hidden="false" customHeight="true" outlineLevel="0" collapsed="false">
      <c r="B47" s="9" t="s">
        <v>1134</v>
      </c>
      <c r="C47" s="9"/>
      <c r="D47" s="9"/>
      <c r="E47" s="9"/>
      <c r="F47" s="9"/>
      <c r="G47" s="9"/>
      <c r="H47" s="9"/>
      <c r="I47" s="9"/>
      <c r="J47" s="9"/>
      <c r="K47" s="9"/>
      <c r="L47" s="9"/>
    </row>
    <row r="48" customFormat="false" ht="15.75" hidden="false" customHeight="true" outlineLevel="0" collapsed="false">
      <c r="B48" s="13" t="s">
        <v>1135</v>
      </c>
      <c r="C48" s="13" t="s">
        <v>1136</v>
      </c>
      <c r="D48" s="13" t="s">
        <v>1137</v>
      </c>
    </row>
    <row r="49" customFormat="false" ht="12.75" hidden="false" customHeight="true" outlineLevel="0" collapsed="false">
      <c r="B49" s="23" t="s">
        <v>1049</v>
      </c>
      <c r="C49" s="24" t="s">
        <v>1138</v>
      </c>
      <c r="D49" s="24" t="s">
        <v>1139</v>
      </c>
    </row>
    <row r="50" customFormat="false" ht="12.75" hidden="false" customHeight="true" outlineLevel="0" collapsed="false">
      <c r="B50" s="17" t="s">
        <v>1027</v>
      </c>
      <c r="C50" s="16" t="s">
        <v>1140</v>
      </c>
      <c r="D50" s="16" t="s">
        <v>1141</v>
      </c>
    </row>
    <row r="51" customFormat="false" ht="12.75" hidden="false" customHeight="true" outlineLevel="0" collapsed="false">
      <c r="B51" s="15" t="s">
        <v>1124</v>
      </c>
      <c r="C51" s="14" t="s">
        <v>1142</v>
      </c>
      <c r="D51" s="14" t="s">
        <v>1143</v>
      </c>
    </row>
    <row r="52" customFormat="false" ht="12.75" hidden="false" customHeight="true" outlineLevel="0" collapsed="false">
      <c r="B52" s="27" t="s">
        <v>1117</v>
      </c>
      <c r="C52" s="28" t="s">
        <v>1144</v>
      </c>
      <c r="D52" s="28" t="s">
        <v>1145</v>
      </c>
    </row>
  </sheetData>
  <mergeCells count="5">
    <mergeCell ref="B1:L1"/>
    <mergeCell ref="B2:L2"/>
    <mergeCell ref="B4:L4"/>
    <mergeCell ref="B11:L11"/>
    <mergeCell ref="B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7" t="s">
        <v>1146</v>
      </c>
      <c r="C1" s="7"/>
      <c r="D1" s="7"/>
      <c r="E1" s="7"/>
      <c r="F1" s="7"/>
      <c r="G1" s="7"/>
      <c r="H1" s="7"/>
      <c r="I1" s="7"/>
      <c r="J1" s="7"/>
    </row>
    <row r="2" customFormat="false" ht="13.5" hidden="false" customHeight="true" outlineLevel="0" collapsed="false">
      <c r="B2" s="8" t="s">
        <v>1147</v>
      </c>
      <c r="C2" s="8"/>
      <c r="D2" s="8"/>
      <c r="E2" s="8"/>
      <c r="F2" s="8"/>
      <c r="G2" s="8"/>
      <c r="H2" s="8"/>
      <c r="I2" s="8"/>
      <c r="J2" s="8"/>
    </row>
    <row r="3" customFormat="false" ht="6" hidden="false" customHeight="true" outlineLevel="0" collapsed="false"/>
    <row r="4" customFormat="false" ht="15.75" hidden="false" customHeight="true" outlineLevel="0" collapsed="false">
      <c r="B4" s="9" t="s">
        <v>1148</v>
      </c>
      <c r="C4" s="9"/>
      <c r="D4" s="9"/>
      <c r="E4" s="9"/>
      <c r="F4" s="9"/>
      <c r="G4" s="9"/>
      <c r="H4" s="9"/>
      <c r="I4" s="9"/>
      <c r="J4" s="9"/>
    </row>
    <row r="5" customFormat="false" ht="15.75" hidden="false" customHeight="true" outlineLevel="0" collapsed="false">
      <c r="B5" s="13" t="s">
        <v>1149</v>
      </c>
      <c r="C5" s="13" t="s">
        <v>1136</v>
      </c>
    </row>
    <row r="6" customFormat="false" ht="12.75" hidden="false" customHeight="true" outlineLevel="0" collapsed="false">
      <c r="B6" s="40"/>
      <c r="C6" s="41" t="s">
        <v>1150</v>
      </c>
    </row>
    <row r="7" customFormat="false" ht="12.75" hidden="false" customHeight="true" outlineLevel="0" collapsed="false">
      <c r="B7" s="42"/>
      <c r="C7" s="41" t="s">
        <v>1151</v>
      </c>
    </row>
    <row r="8" customFormat="false" ht="12.75" hidden="false" customHeight="true" outlineLevel="0" collapsed="false">
      <c r="B8" s="43"/>
      <c r="C8" s="41" t="s">
        <v>1152</v>
      </c>
    </row>
    <row r="9" customFormat="false" ht="12.75" hidden="false" customHeight="true" outlineLevel="0" collapsed="false">
      <c r="B9" s="44"/>
      <c r="C9" s="41" t="s">
        <v>1153</v>
      </c>
    </row>
    <row r="10" customFormat="false" ht="7.5" hidden="false" customHeight="true" outlineLevel="0" collapsed="false"/>
    <row r="11" customFormat="false" ht="15.75" hidden="false" customHeight="true" outlineLevel="0" collapsed="false">
      <c r="B11" s="9" t="s">
        <v>1154</v>
      </c>
      <c r="C11" s="9"/>
      <c r="D11" s="9"/>
      <c r="E11" s="9"/>
      <c r="F11" s="9"/>
      <c r="G11" s="9"/>
      <c r="H11" s="9"/>
      <c r="I11" s="9"/>
      <c r="J11" s="9"/>
    </row>
    <row r="12" customFormat="false" ht="19.5" hidden="false" customHeight="true" outlineLevel="0" collapsed="false">
      <c r="B12" s="30" t="s">
        <v>1155</v>
      </c>
      <c r="C12" s="30"/>
      <c r="D12" s="30"/>
      <c r="E12" s="30"/>
      <c r="F12" s="30"/>
      <c r="G12" s="30"/>
      <c r="H12" s="30"/>
      <c r="I12" s="30"/>
    </row>
    <row r="13" customFormat="false" ht="19.5" hidden="false" customHeight="true" outlineLevel="0" collapsed="false">
      <c r="B13" s="31" t="s">
        <v>1156</v>
      </c>
      <c r="C13" s="31"/>
      <c r="D13" s="31"/>
      <c r="E13" s="31"/>
      <c r="F13" s="31"/>
      <c r="G13" s="31"/>
      <c r="H13" s="31"/>
      <c r="I13" s="31"/>
    </row>
    <row r="14" customFormat="false" ht="19.5" hidden="false" customHeight="true" outlineLevel="0" collapsed="false">
      <c r="B14" s="30" t="s">
        <v>1157</v>
      </c>
      <c r="C14" s="30"/>
      <c r="D14" s="30"/>
      <c r="E14" s="30"/>
      <c r="F14" s="30"/>
      <c r="G14" s="30"/>
      <c r="H14" s="30"/>
      <c r="I14" s="30"/>
    </row>
    <row r="15" customFormat="false" ht="19.5" hidden="false" customHeight="true" outlineLevel="0" collapsed="false">
      <c r="B15" s="31" t="s">
        <v>1158</v>
      </c>
      <c r="C15" s="31"/>
      <c r="D15" s="31"/>
      <c r="E15" s="31"/>
      <c r="F15" s="31"/>
      <c r="G15" s="31"/>
      <c r="H15" s="31"/>
      <c r="I15" s="31"/>
    </row>
    <row r="16" customFormat="false" ht="19.5" hidden="false" customHeight="true" outlineLevel="0" collapsed="false">
      <c r="B16" s="30" t="s">
        <v>1159</v>
      </c>
      <c r="C16" s="30"/>
      <c r="D16" s="30"/>
      <c r="E16" s="30"/>
      <c r="F16" s="30"/>
      <c r="G16" s="30"/>
      <c r="H16" s="30"/>
      <c r="I16" s="30"/>
    </row>
    <row r="17" customFormat="false" ht="19.5" hidden="false" customHeight="true" outlineLevel="0" collapsed="false">
      <c r="B17" s="31" t="s">
        <v>1160</v>
      </c>
      <c r="C17" s="31"/>
      <c r="D17" s="31"/>
      <c r="E17" s="31"/>
      <c r="F17" s="31"/>
      <c r="G17" s="31"/>
      <c r="H17" s="31"/>
      <c r="I17" s="31"/>
    </row>
    <row r="18" customFormat="false" ht="19.5" hidden="false" customHeight="true" outlineLevel="0" collapsed="false">
      <c r="B18" s="30" t="s">
        <v>1161</v>
      </c>
      <c r="C18" s="30"/>
      <c r="D18" s="30"/>
      <c r="E18" s="30"/>
      <c r="F18" s="30"/>
      <c r="G18" s="30"/>
      <c r="H18" s="30"/>
      <c r="I18" s="30"/>
    </row>
    <row r="19" customFormat="false" ht="7.5" hidden="false" customHeight="true" outlineLevel="0" collapsed="false"/>
    <row r="20" customFormat="false" ht="15.75" hidden="false" customHeight="true" outlineLevel="0" collapsed="false">
      <c r="B20" s="9" t="s">
        <v>1162</v>
      </c>
      <c r="C20" s="9"/>
      <c r="D20" s="9"/>
      <c r="E20" s="9"/>
      <c r="F20" s="9"/>
      <c r="G20" s="9"/>
      <c r="H20" s="9"/>
      <c r="I20" s="9"/>
      <c r="J20" s="9"/>
    </row>
    <row r="21" customFormat="false" ht="18" hidden="false" customHeight="true" outlineLevel="0" collapsed="false">
      <c r="B21" s="45" t="s">
        <v>1163</v>
      </c>
      <c r="C21" s="45"/>
      <c r="D21" s="45"/>
      <c r="E21" s="45"/>
      <c r="F21" s="45"/>
      <c r="G21" s="45"/>
      <c r="H21" s="45"/>
      <c r="I21" s="45"/>
    </row>
    <row r="22" customFormat="false" ht="18" hidden="false" customHeight="true" outlineLevel="0" collapsed="false">
      <c r="B22" s="46" t="s">
        <v>1164</v>
      </c>
      <c r="C22" s="46"/>
      <c r="D22" s="46"/>
      <c r="E22" s="46"/>
      <c r="F22" s="46"/>
      <c r="G22" s="46"/>
      <c r="H22" s="46"/>
      <c r="I22" s="46"/>
    </row>
    <row r="23" customFormat="false" ht="18" hidden="false" customHeight="true" outlineLevel="0" collapsed="false">
      <c r="B23" s="45" t="s">
        <v>1165</v>
      </c>
      <c r="C23" s="45"/>
      <c r="D23" s="45"/>
      <c r="E23" s="45"/>
      <c r="F23" s="45"/>
      <c r="G23" s="45"/>
      <c r="H23" s="45"/>
      <c r="I23" s="45"/>
    </row>
    <row r="24" customFormat="false" ht="18" hidden="false" customHeight="true" outlineLevel="0" collapsed="false">
      <c r="B24" s="46" t="s">
        <v>1166</v>
      </c>
      <c r="C24" s="46"/>
      <c r="D24" s="46"/>
      <c r="E24" s="46"/>
      <c r="F24" s="46"/>
      <c r="G24" s="46"/>
      <c r="H24" s="46"/>
      <c r="I24" s="46"/>
    </row>
    <row r="25" customFormat="false" ht="18" hidden="false" customHeight="true" outlineLevel="0" collapsed="false">
      <c r="B25" s="45" t="s">
        <v>1167</v>
      </c>
      <c r="C25" s="45"/>
      <c r="D25" s="45"/>
      <c r="E25" s="45"/>
      <c r="F25" s="45"/>
      <c r="G25" s="45"/>
      <c r="H25" s="45"/>
      <c r="I25" s="45"/>
    </row>
    <row r="26" customFormat="false" ht="18" hidden="false" customHeight="true" outlineLevel="0" collapsed="false">
      <c r="B26" s="46" t="s">
        <v>1168</v>
      </c>
      <c r="C26" s="46"/>
      <c r="D26" s="46"/>
      <c r="E26" s="46"/>
      <c r="F26" s="46"/>
      <c r="G26" s="46"/>
      <c r="H26" s="46"/>
      <c r="I26" s="46"/>
    </row>
    <row r="27" customFormat="false" ht="18" hidden="false" customHeight="true" outlineLevel="0" collapsed="false">
      <c r="B27" s="45" t="s">
        <v>1169</v>
      </c>
      <c r="C27" s="45"/>
      <c r="D27" s="45"/>
      <c r="E27" s="45"/>
      <c r="F27" s="45"/>
      <c r="G27" s="45"/>
      <c r="H27" s="45"/>
      <c r="I27" s="45"/>
    </row>
    <row r="28" customFormat="false" ht="18" hidden="false" customHeight="true" outlineLevel="0" collapsed="false">
      <c r="B28" s="46" t="s">
        <v>1170</v>
      </c>
      <c r="C28" s="46"/>
      <c r="D28" s="46"/>
      <c r="E28" s="46"/>
      <c r="F28" s="46"/>
      <c r="G28" s="46"/>
      <c r="H28" s="46"/>
      <c r="I28" s="46"/>
    </row>
    <row r="29" customFormat="false" ht="18" hidden="false" customHeight="true" outlineLevel="0" collapsed="false">
      <c r="B29" s="45" t="s">
        <v>1171</v>
      </c>
      <c r="C29" s="45"/>
      <c r="D29" s="45"/>
      <c r="E29" s="45"/>
      <c r="F29" s="45"/>
      <c r="G29" s="45"/>
      <c r="H29" s="45"/>
      <c r="I29" s="45"/>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6"/>
  </cols>
  <sheetData>
    <row r="2" customFormat="false" ht="15" hidden="false" customHeight="true" outlineLevel="0" collapsed="false">
      <c r="A2" s="47" t="s">
        <v>1172</v>
      </c>
    </row>
    <row r="3" customFormat="false" ht="15" hidden="false" customHeight="true" outlineLevel="0" collapsed="false">
      <c r="A3" s="47" t="s">
        <v>1173</v>
      </c>
      <c r="B3" s="48" t="n">
        <f aca="false">COUNTA('Coffee Audit'!A2:A2000)</f>
        <v>59</v>
      </c>
    </row>
    <row r="4" customFormat="false" ht="15" hidden="false" customHeight="true" outlineLevel="0" collapsed="false">
      <c r="A4" s="47" t="s">
        <v>1174</v>
      </c>
      <c r="B4" s="48" t="n">
        <v>15</v>
      </c>
    </row>
    <row r="5" customFormat="false" ht="15" hidden="false" customHeight="true" outlineLevel="0" collapsed="false">
      <c r="A5" s="47" t="s">
        <v>1175</v>
      </c>
      <c r="B5" s="48" t="n">
        <v>8</v>
      </c>
    </row>
    <row r="6" customFormat="false" ht="15" hidden="false" customHeight="true" outlineLevel="0" collapsed="false">
      <c r="A6" s="47" t="s">
        <v>1176</v>
      </c>
      <c r="B6" s="48" t="n">
        <v>5</v>
      </c>
    </row>
    <row r="7" customFormat="false" ht="15" hidden="false" customHeight="true" outlineLevel="0" collapsed="false">
      <c r="A7" s="47" t="s">
        <v>1177</v>
      </c>
      <c r="B7" s="48" t="n">
        <f aca="false">SUMPRODUCT(('Coffee Audit'!B2:B2000&lt;&gt;"")/COUNTIF('Coffee Audit'!B2:B2000,'Coffee Audit'!B2:B2000&amp;""))</f>
        <v>4</v>
      </c>
    </row>
    <row r="8" customFormat="false" ht="15" hidden="false" customHeight="true" outlineLevel="0" collapsed="false">
      <c r="A8" s="47" t="s">
        <v>1178</v>
      </c>
      <c r="B8" s="48" t="n">
        <f aca="false">SUMPRODUCT(('Coffee Audit'!C2:C2000&lt;&gt;"")/COUNTIF('Coffee Audit'!C2:C2000,'Coffee Audit'!C2:C2000&amp;""))</f>
        <v>33</v>
      </c>
    </row>
    <row r="9" customFormat="false" ht="15" hidden="false" customHeight="true" outlineLevel="0" collapsed="false">
      <c r="A9" s="47" t="s">
        <v>1179</v>
      </c>
      <c r="B9" s="48" t="str">
        <f aca="false">TEXT(MIN('Coffee Audit'!A2:A2000),"YYYY-MM-DD")&amp;"  →  "&amp;TEXT(MAX('Coffee Audit'!A2:A2000),"YYYY-MM-DD")</f>
        <v>2026-01-03  →  2026-07-10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2026-07-11T00:13:56Z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