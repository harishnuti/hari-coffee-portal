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ffee Audit" sheetId="1" state="visible" r:id="rId1"/>
    <sheet xmlns:r="http://schemas.openxmlformats.org/officeDocument/2006/relationships" name="☕ Dashboard" sheetId="2" state="visible" r:id="rId2"/>
    <sheet xmlns:r="http://schemas.openxmlformats.org/officeDocument/2006/relationships" name="🧬 Palate DNA" sheetId="3" state="visible" r:id="rId3"/>
    <sheet xmlns:r="http://schemas.openxmlformats.org/officeDocument/2006/relationships" name="🌍 Origin &amp; Terroir" sheetId="4" state="visible" r:id="rId4"/>
    <sheet xmlns:r="http://schemas.openxmlformats.org/officeDocument/2006/relationships" name="⚙️ Hardware &amp; Extraction" sheetId="5" state="visible" r:id="rId5"/>
    <sheet xmlns:r="http://schemas.openxmlformats.org/officeDocument/2006/relationships" name="💰 Price &amp; Value" sheetId="6" state="visible" r:id="rId6"/>
    <sheet xmlns:r="http://schemas.openxmlformats.org/officeDocument/2006/relationships" name="📅 Archive Timeline" sheetId="7" state="visible" r:id="rId7"/>
    <sheet xmlns:r="http://schemas.openxmlformats.org/officeDocument/2006/relationships" name="🏙️ Café Directory" sheetId="8" state="visible" r:id="rId8"/>
    <sheet xmlns:r="http://schemas.openxmlformats.org/officeDocument/2006/relationships" name="Legend" sheetId="9" state="visible" r:id="rId9"/>
    <sheet xmlns:r="http://schemas.openxmlformats.org/officeDocument/2006/relationships" name="Stats" sheetId="10" state="visible" r:id="rId10"/>
  </sheets>
  <definedNames/>
  <calcPr calcId="124519" fullCalcOnLoad="1"/>
</workbook>
</file>

<file path=xl/styles.xml><?xml version="1.0" encoding="utf-8"?>
<styleSheet xmlns="http://schemas.openxmlformats.org/spreadsheetml/2006/main">
  <numFmts count="1">
    <numFmt numFmtId="164" formatCode="YYYY-MM-DD"/>
  </numFmts>
  <fonts count="19">
    <font>
      <name val="Calibri"/>
      <family val="2"/>
      <color theme="1"/>
      <sz val="11"/>
      <scheme val="minor"/>
    </font>
    <font>
      <name val="Arial"/>
      <b val="1"/>
      <color rgb="FFF2E8D5"/>
      <sz val="9"/>
    </font>
    <font>
      <name val="Arial"/>
      <color rgb="FF2D1F0F"/>
      <sz val="9"/>
    </font>
    <font>
      <name val="Arial"/>
      <b val="1"/>
      <color rgb="FF6A1B9A"/>
      <sz val="9"/>
    </font>
    <font>
      <name val="Arial"/>
      <b val="1"/>
      <color rgb="FFF2E8D5"/>
      <sz val="16"/>
    </font>
    <font>
      <name val="Arial"/>
      <i val="1"/>
      <color rgb="FFC9902A"/>
      <sz val="9"/>
    </font>
    <font>
      <name val="Arial"/>
      <b val="1"/>
      <color rgb="FFF2E8D5"/>
      <sz val="11"/>
    </font>
    <font>
      <name val="Arial"/>
      <b val="1"/>
      <color rgb="FF8A6E45"/>
      <sz val="8"/>
    </font>
    <font>
      <name val="Arial"/>
      <b val="1"/>
      <color rgb="FFC9902A"/>
      <sz val="18"/>
    </font>
    <font>
      <name val="Arial"/>
      <i val="1"/>
      <color rgb="FF2D1F0F"/>
      <sz val="10"/>
    </font>
    <font>
      <name val="Arial"/>
      <b val="1"/>
      <color rgb="FF2D1F0F"/>
      <sz val="9"/>
    </font>
    <font>
      <name val="Arial"/>
      <i val="1"/>
      <color rgb="FF8A6E45"/>
      <sz val="8"/>
    </font>
    <font>
      <name val="Arial"/>
      <i val="1"/>
      <color rgb="FF6A1B9A"/>
      <sz val="8"/>
    </font>
    <font>
      <name val="Arial"/>
      <b val="1"/>
      <color rgb="FFC9902A"/>
      <sz val="9"/>
    </font>
    <font>
      <name val="Arial"/>
      <i val="1"/>
      <color rgb="FF2D1F0F"/>
      <sz val="9"/>
    </font>
    <font>
      <name val="Arial"/>
      <color rgb="FF2D1F0F"/>
      <sz val="8"/>
    </font>
    <font>
      <name val="Arial"/>
      <b val="1"/>
      <color rgb="FF2D1F0F"/>
      <sz val="12"/>
    </font>
    <font>
      <name val="Arial"/>
      <color rgb="FF2D1F0F"/>
      <sz val="10"/>
    </font>
    <font>
      <name val="Arial"/>
      <b val="1"/>
      <color rgb="FF2D1F0F"/>
      <sz val="10"/>
    </font>
  </fonts>
  <fills count="14">
    <fill>
      <patternFill/>
    </fill>
    <fill>
      <patternFill patternType="gray125"/>
    </fill>
    <fill>
      <patternFill patternType="solid">
        <fgColor rgb="FF2D1F0F"/>
      </patternFill>
    </fill>
    <fill>
      <patternFill patternType="solid">
        <fgColor rgb="FF4A3520"/>
      </patternFill>
    </fill>
    <fill>
      <patternFill patternType="solid">
        <fgColor rgb="FFFDF8EE"/>
      </patternFill>
    </fill>
    <fill>
      <patternFill patternType="solid">
        <fgColor rgb="FF6B4E2E"/>
      </patternFill>
    </fill>
    <fill>
      <patternFill patternType="solid">
        <fgColor rgb="FFFFFFFF"/>
      </patternFill>
    </fill>
    <fill>
      <patternFill patternType="solid">
        <fgColor rgb="FFEDE0FF"/>
      </patternFill>
    </fill>
    <fill>
      <patternFill patternType="solid">
        <fgColor rgb="FFFFE0E0"/>
      </patternFill>
    </fill>
    <fill>
      <patternFill patternType="solid">
        <fgColor rgb="FFE8F5E9"/>
      </patternFill>
    </fill>
    <fill>
      <patternFill patternType="solid">
        <fgColor rgb="FFE3F2FD"/>
      </patternFill>
    </fill>
    <fill>
      <patternFill patternType="solid">
        <fgColor rgb="FFFFF9C4"/>
      </patternFill>
    </fill>
    <fill>
      <patternFill patternType="solid">
        <fgColor rgb="FFFFF3E0"/>
      </patternFill>
    </fill>
    <fill>
      <patternFill patternType="solid">
        <fgColor rgb="FFD4EDDA"/>
      </patternFill>
    </fill>
  </fills>
  <borders count="2">
    <border>
      <left/>
      <right/>
      <top/>
      <bottom/>
      <diagonal/>
    </border>
    <border>
      <left style="thin">
        <color rgb="FFB8A88A"/>
      </left>
      <right style="thin">
        <color rgb="FFB8A88A"/>
      </right>
      <top style="thin">
        <color rgb="FFB8A88A"/>
      </top>
      <bottom style="thin">
        <color rgb="FFB8A88A"/>
      </bottom>
    </border>
  </borders>
  <cellStyleXfs count="1">
    <xf numFmtId="0" fontId="0" fillId="0" borderId="0"/>
  </cellStyleXfs>
  <cellXfs count="64">
    <xf numFmtId="0" fontId="0" fillId="0" borderId="0" pivotButton="0" quotePrefix="0" xfId="0"/>
    <xf numFmtId="0" fontId="1" fillId="2" borderId="1" applyAlignment="1" pivotButton="0" quotePrefix="0" xfId="0">
      <alignment horizontal="center" vertical="center" wrapText="1"/>
    </xf>
    <xf numFmtId="164" fontId="2"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horizontal="center" vertical="center" wrapText="1"/>
    </xf>
    <xf numFmtId="2" fontId="2" fillId="0" borderId="1" applyAlignment="1" pivotButton="0" quotePrefix="0" xfId="0">
      <alignment vertical="top" wrapText="1"/>
    </xf>
    <xf numFmtId="0" fontId="0" fillId="2" borderId="0" pivotButton="0" quotePrefix="0" xfId="0"/>
    <xf numFmtId="0" fontId="4" fillId="2" borderId="0" pivotButton="0" quotePrefix="0" xfId="0"/>
    <xf numFmtId="0" fontId="5" fillId="2" borderId="0" pivotButton="0" quotePrefix="0" xfId="0"/>
    <xf numFmtId="0" fontId="6" fillId="3" borderId="0" pivotButton="0" quotePrefix="0" xfId="0"/>
    <xf numFmtId="0" fontId="0" fillId="3" borderId="0" pivotButton="0" quotePrefix="0" xfId="0"/>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2" fontId="8" fillId="4" borderId="1" applyAlignment="1" pivotButton="0" quotePrefix="0" xfId="0">
      <alignment horizontal="center" vertical="center" wrapText="1"/>
    </xf>
    <xf numFmtId="0" fontId="9" fillId="4" borderId="0" applyAlignment="1" pivotButton="0" quotePrefix="0" xfId="0">
      <alignment vertical="top" wrapText="1"/>
    </xf>
    <xf numFmtId="0" fontId="1" fillId="5" borderId="1" applyAlignment="1" pivotButton="0" quotePrefix="0" xfId="0">
      <alignment horizontal="center" vertical="center" wrapText="1"/>
    </xf>
    <xf numFmtId="0" fontId="10" fillId="6" borderId="1" applyAlignment="1" pivotButton="0" quotePrefix="0" xfId="0">
      <alignment vertical="top" wrapText="1"/>
    </xf>
    <xf numFmtId="0" fontId="2" fillId="6" borderId="1" applyAlignment="1" pivotButton="0" quotePrefix="0" xfId="0">
      <alignment vertical="top" wrapText="1"/>
    </xf>
    <xf numFmtId="0" fontId="10" fillId="4" borderId="1" applyAlignment="1" pivotButton="0" quotePrefix="0" xfId="0">
      <alignment vertical="top" wrapText="1"/>
    </xf>
    <xf numFmtId="0" fontId="2" fillId="4" borderId="1" applyAlignment="1" pivotButton="0" quotePrefix="0" xfId="0">
      <alignment vertical="top" wrapText="1"/>
    </xf>
    <xf numFmtId="0" fontId="10" fillId="6" borderId="1" pivotButton="0" quotePrefix="0" xfId="0"/>
    <xf numFmtId="0" fontId="2" fillId="6" borderId="1" pivotButton="0" quotePrefix="0" xfId="0"/>
    <xf numFmtId="9" fontId="0" fillId="6" borderId="1" pivotButton="0" quotePrefix="0" xfId="0"/>
    <xf numFmtId="0" fontId="10" fillId="4" borderId="1" pivotButton="0" quotePrefix="0" xfId="0"/>
    <xf numFmtId="0" fontId="2" fillId="4" borderId="1" pivotButton="0" quotePrefix="0" xfId="0"/>
    <xf numFmtId="9" fontId="0" fillId="4" borderId="1" pivotButton="0" quotePrefix="0" xfId="0"/>
    <xf numFmtId="0" fontId="11" fillId="0" borderId="0" pivotButton="0" quotePrefix="0" xfId="0"/>
    <xf numFmtId="0" fontId="10" fillId="7" borderId="1" pivotButton="0" quotePrefix="0" xfId="0"/>
    <xf numFmtId="0" fontId="2" fillId="7" borderId="1" pivotButton="0" quotePrefix="0" xfId="0"/>
    <xf numFmtId="0" fontId="12" fillId="0" borderId="0" pivotButton="0" quotePrefix="0" xfId="0"/>
    <xf numFmtId="0" fontId="10" fillId="8" borderId="1" pivotButton="0" quotePrefix="0" xfId="0"/>
    <xf numFmtId="0" fontId="2" fillId="8" borderId="1" pivotButton="0" quotePrefix="0" xfId="0"/>
    <xf numFmtId="0" fontId="10" fillId="9" borderId="1" pivotButton="0" quotePrefix="0" xfId="0"/>
    <xf numFmtId="0" fontId="2" fillId="9" borderId="1" pivotButton="0" quotePrefix="0" xfId="0"/>
    <xf numFmtId="0" fontId="2" fillId="4" borderId="0" applyAlignment="1" pivotButton="0" quotePrefix="0" xfId="0">
      <alignment vertical="top" wrapText="1"/>
    </xf>
    <xf numFmtId="0" fontId="1" fillId="5" borderId="0" pivotButton="0" quotePrefix="0" xfId="0"/>
    <xf numFmtId="0" fontId="10" fillId="0" borderId="0" pivotButton="0" quotePrefix="0" xfId="0"/>
    <xf numFmtId="0" fontId="2" fillId="0" borderId="1" applyAlignment="1" pivotButton="0" quotePrefix="0" xfId="0">
      <alignment horizontal="center" vertical="center" wrapText="1"/>
    </xf>
    <xf numFmtId="0" fontId="1" fillId="5" borderId="1" pivotButton="0" quotePrefix="0" xfId="0"/>
    <xf numFmtId="0" fontId="10" fillId="0" borderId="1" pivotButton="0" quotePrefix="0" xfId="0"/>
    <xf numFmtId="0" fontId="13" fillId="0" borderId="0" pivotButton="0" quotePrefix="0" xfId="0"/>
    <xf numFmtId="0" fontId="14" fillId="4" borderId="0" applyAlignment="1" pivotButton="0" quotePrefix="0" xfId="0">
      <alignment vertical="top" wrapText="1"/>
    </xf>
    <xf numFmtId="0" fontId="15" fillId="4" borderId="1" applyAlignment="1" pivotButton="0" quotePrefix="0" xfId="0">
      <alignment vertical="top" wrapText="1"/>
    </xf>
    <xf numFmtId="0" fontId="15" fillId="6" borderId="1" applyAlignment="1" pivotButton="0" quotePrefix="0" xfId="0">
      <alignment vertical="top" wrapText="1"/>
    </xf>
    <xf numFmtId="0" fontId="0" fillId="10" borderId="1" pivotButton="0" quotePrefix="0" xfId="0"/>
    <xf numFmtId="0" fontId="2" fillId="0" borderId="0" pivotButton="0" quotePrefix="0" xfId="0"/>
    <xf numFmtId="0" fontId="0" fillId="11" borderId="1" pivotButton="0" quotePrefix="0" xfId="0"/>
    <xf numFmtId="0" fontId="0" fillId="7" borderId="1" pivotButton="0" quotePrefix="0" xfId="0"/>
    <xf numFmtId="0" fontId="0" fillId="2" borderId="1" pivotButton="0" quotePrefix="0" xfId="0"/>
    <xf numFmtId="0" fontId="14" fillId="0" borderId="0" applyAlignment="1" pivotButton="0" quotePrefix="0" xfId="0">
      <alignment vertical="top" wrapText="1"/>
    </xf>
    <xf numFmtId="0" fontId="16" fillId="0" borderId="0" pivotButton="0" quotePrefix="0" xfId="0"/>
    <xf numFmtId="0" fontId="17" fillId="0" borderId="0" pivotButton="0" quotePrefix="0" xfId="0"/>
    <xf numFmtId="0" fontId="18" fillId="0" borderId="0" pivotButton="0" quotePrefix="0" xfId="0"/>
    <xf numFmtId="164" fontId="2" fillId="0" borderId="1" applyAlignment="1" pivotButton="0" quotePrefix="0" xfId="0">
      <alignment vertical="top" wrapText="1"/>
    </xf>
    <xf numFmtId="0" fontId="10" fillId="11" borderId="1" applyAlignment="1" pivotButton="0" quotePrefix="0" xfId="0">
      <alignment vertical="top" wrapText="1"/>
    </xf>
    <xf numFmtId="0" fontId="2" fillId="11" borderId="1" applyAlignment="1" pivotButton="0" quotePrefix="0" xfId="0">
      <alignment vertical="top" wrapText="1"/>
    </xf>
    <xf numFmtId="0" fontId="10" fillId="12" borderId="1" applyAlignment="1" pivotButton="0" quotePrefix="0" xfId="0">
      <alignment vertical="top" wrapText="1"/>
    </xf>
    <xf numFmtId="0" fontId="2" fillId="12" borderId="1" applyAlignment="1" pivotButton="0" quotePrefix="0" xfId="0">
      <alignment vertical="top" wrapText="1"/>
    </xf>
    <xf numFmtId="0" fontId="10" fillId="9" borderId="1" applyAlignment="1" pivotButton="0" quotePrefix="0" xfId="0">
      <alignment vertical="top" wrapText="1"/>
    </xf>
    <xf numFmtId="0" fontId="2" fillId="9" borderId="1" applyAlignment="1" pivotButton="0" quotePrefix="0" xfId="0">
      <alignment vertical="top" wrapText="1"/>
    </xf>
    <xf numFmtId="0" fontId="10" fillId="13" borderId="1" pivotButton="0" quotePrefix="0" xfId="0"/>
    <xf numFmtId="0" fontId="2" fillId="13" borderId="1" applyAlignment="1" pivotButton="0" quotePrefix="0" xfId="0">
      <alignment vertical="top" wrapText="1"/>
    </xf>
    <xf numFmtId="0" fontId="10" fillId="11" borderId="1" pivotButton="0" quotePrefix="0" xfId="0"/>
    <xf numFmtId="0" fontId="2" fillId="8" borderId="1" applyAlignment="1" pivotButton="0" quotePrefix="0" xfId="0">
      <alignment vertical="top" wrapText="1"/>
    </xf>
  </cellXfs>
  <cellStyles count="1">
    <cellStyle name="Normal" xfId="0" builtinId="0" hidden="0"/>
  </cellStyles>
  <dxfs count="3">
    <dxf>
      <fill>
        <patternFill patternType="solid">
          <fgColor rgb="FFEDE0FF"/>
        </patternFill>
      </fill>
    </dxf>
    <dxf>
      <fill>
        <patternFill patternType="solid">
          <fgColor rgb="FFE3F2FD"/>
        </patternFill>
      </fill>
    </dxf>
    <dxf>
      <fill>
        <patternFill patternType="solid">
          <fgColor rgb="FFFFF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Process exposure</a:t>
            </a:r>
          </a:p>
        </rich>
      </tx>
    </title>
    <plotArea>
      <pieChart>
        <varyColors val="1"/>
        <ser>
          <idx val="0"/>
          <order val="0"/>
          <spPr>
            <a:ln xmlns:a="http://schemas.openxmlformats.org/drawingml/2006/main">
              <a:prstDash val="solid"/>
            </a:ln>
          </spPr>
          <cat>
            <numRef>
              <f>'🧬 Palate DNA'!$B$6:$B$13</f>
            </numRef>
          </cat>
          <val>
            <numRef>
              <f>'🧬 Palate DNA'!$C$6:$C$13</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Entries by origin</a:t>
            </a:r>
          </a:p>
        </rich>
      </tx>
    </title>
    <plotArea>
      <barChart>
        <barDir val="bar"/>
        <grouping val="clustered"/>
        <ser>
          <idx val="0"/>
          <order val="0"/>
          <spPr>
            <a:ln xmlns:a="http://schemas.openxmlformats.org/drawingml/2006/main">
              <a:prstDash val="solid"/>
            </a:ln>
          </spPr>
          <cat>
            <numRef>
              <f>'🌍 Origin &amp; Terroir'!$B$6:$B$20</f>
            </numRef>
          </cat>
          <val>
            <numRef>
              <f>'🌍 Origin &amp; Terroir'!$C$6:$C$20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Price band distribution (SGD)</a:t>
            </a:r>
          </a:p>
        </rich>
      </tx>
    </title>
    <plotArea>
      <barChart>
        <barDir val="col"/>
        <grouping val="clustered"/>
        <ser>
          <idx val="0"/>
          <order val="0"/>
          <spPr>
            <a:ln xmlns:a="http://schemas.openxmlformats.org/drawingml/2006/main">
              <a:prstDash val="solid"/>
            </a:ln>
          </spPr>
          <cat>
            <numRef>
              <f>'💰 Price &amp; Value'!$B$11:$B$15</f>
            </numRef>
          </cat>
          <val>
            <numRef>
              <f>'💰 Price &amp; Value'!$C$11:$C$15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Archive momentum — entries per month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Timeline'!$C$7</f>
            </numRef>
          </val>
        </ser>
        <ser>
          <idx val="1"/>
          <order val="1"/>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Timeline'!$D$7</f>
            </numRef>
          </val>
        </ser>
        <ser>
          <idx val="2"/>
          <order val="2"/>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Timeline'!$E$7</f>
            </numRef>
          </val>
        </ser>
        <ser>
          <idx val="3"/>
          <order val="3"/>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Timeline'!$F$7</f>
            </numRef>
          </val>
        </ser>
        <ser>
          <idx val="4"/>
          <order val="4"/>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Timeline'!$G$7</f>
            </numRef>
          </val>
        </ser>
        <ser>
          <idx val="5"/>
          <order val="5"/>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Timeline'!$H$7</f>
            </numRef>
          </val>
        </ser>
        <ser>
          <idx val="6"/>
          <order val="6"/>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Timeline'!$I$7</f>
            </numRef>
          </val>
        </ser>
        <ser>
          <idx val="7"/>
          <order val="7"/>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Timeline'!$J$7</f>
            </numRef>
          </val>
        </ser>
        <ser>
          <idx val="8"/>
          <order val="8"/>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Timeline'!$K$7</f>
            </numRef>
          </val>
        </ser>
        <ser>
          <idx val="9"/>
          <order val="9"/>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Timeline'!$L$7</f>
            </numRef>
          </val>
        </ser>
        <ser>
          <idx val="10"/>
          <order val="10"/>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Timeline'!$M$7</f>
            </numRef>
          </val>
        </ser>
        <ser>
          <idx val="11"/>
          <order val="11"/>
          <spPr>
            <a:ln xmlns:a="http://schemas.openxmlformats.org/drawingml/2006/main">
              <a:prstDash val="solid"/>
            </a:ln>
          </spPr>
          <marker>
            <symbol val="none"/>
            <spPr>
              <a:ln xmlns:a="http://schemas.openxmlformats.org/drawingml/2006/main">
                <a:prstDash val="solid"/>
              </a:ln>
            </spPr>
          </marker>
          <cat>
            <numRef>
              <f>'📅 Archive Timeline'!$C$6:$N$6</f>
            </numRef>
          </cat>
          <val>
            <numRef>
              <f>'📅 Archive Timeline'!$N$7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5</col>
      <colOff>0</colOff>
      <row>4</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5</col>
      <colOff>0</colOff>
      <row>4</row>
      <rowOff>0</rowOff>
    </from>
    <ext cx="468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5</col>
      <colOff>0</colOff>
      <row>9</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col>
      <colOff>0</colOff>
      <row>8</row>
      <rowOff>0</rowOff>
    </from>
    <ext cx="79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W6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2" customWidth="1" min="2" max="2"/>
    <col width="22" customWidth="1" min="3" max="3"/>
    <col width="26" customWidth="1" min="4" max="4"/>
    <col width="20" customWidth="1" min="5" max="5"/>
    <col width="16" customWidth="1" min="6" max="6"/>
    <col width="16" customWidth="1" min="7" max="7"/>
    <col width="20" customWidth="1" min="8" max="8"/>
    <col width="12" customWidth="1" min="9" max="9"/>
    <col width="24" customWidth="1" min="10" max="10"/>
    <col width="8" customWidth="1" min="11" max="11"/>
    <col width="8" customWidth="1" min="12" max="12"/>
    <col width="8" customWidth="1" min="13" max="13"/>
    <col width="13" customWidth="1" min="14" max="14"/>
    <col width="20" customWidth="1" min="15" max="15"/>
    <col width="26" customWidth="1" min="16" max="16"/>
    <col width="9" customWidth="1" min="17" max="17"/>
    <col width="26" customWidth="1" min="18" max="18"/>
    <col width="50" customWidth="1" min="19" max="19"/>
    <col width="50" customWidth="1" min="20" max="20"/>
    <col width="40" customWidth="1" min="21" max="21"/>
    <col width="26" customWidth="1" min="22" max="22"/>
    <col width="12" customWidth="1" min="23" max="23"/>
  </cols>
  <sheetData>
    <row r="1">
      <c r="A1" s="1" t="inlineStr">
        <is>
          <t>Date</t>
        </is>
      </c>
      <c r="B1" s="1" t="inlineStr">
        <is>
          <t>City</t>
        </is>
      </c>
      <c r="C1" s="1" t="inlineStr">
        <is>
          <t>Cafe_Name</t>
        </is>
      </c>
      <c r="D1" s="1" t="inlineStr">
        <is>
          <t>Coffee_Name</t>
        </is>
      </c>
      <c r="E1" s="1" t="inlineStr">
        <is>
          <t>Producer_Farm</t>
        </is>
      </c>
      <c r="F1" s="1" t="inlineStr">
        <is>
          <t>Origin</t>
        </is>
      </c>
      <c r="G1" s="1" t="inlineStr">
        <is>
          <t>Varietal</t>
        </is>
      </c>
      <c r="H1" s="1" t="inlineStr">
        <is>
          <t>Process</t>
        </is>
      </c>
      <c r="I1" s="1" t="inlineStr">
        <is>
          <t>Roast_Level</t>
        </is>
      </c>
      <c r="J1" s="1" t="inlineStr">
        <is>
          <t>Brew_Method</t>
        </is>
      </c>
      <c r="K1" s="1" t="inlineStr">
        <is>
          <t>Dose_g</t>
        </is>
      </c>
      <c r="L1" s="1" t="inlineStr">
        <is>
          <t>Yield_g</t>
        </is>
      </c>
      <c r="M1" s="1" t="inlineStr">
        <is>
          <t>Ratio</t>
        </is>
      </c>
      <c r="N1" s="1" t="inlineStr">
        <is>
          <t>Water_Temp_C</t>
        </is>
      </c>
      <c r="O1" s="1" t="inlineStr">
        <is>
          <t>Bloom</t>
        </is>
      </c>
      <c r="P1" s="1" t="inlineStr">
        <is>
          <t>Grinder</t>
        </is>
      </c>
      <c r="Q1" s="1" t="inlineStr">
        <is>
          <t>Price_SGD</t>
        </is>
      </c>
      <c r="R1" s="1" t="inlineStr">
        <is>
          <t>Official_Notes</t>
        </is>
      </c>
      <c r="S1" s="1" t="inlineStr">
        <is>
          <t>Your_Verdict</t>
        </is>
      </c>
      <c r="T1" s="1" t="inlineStr">
        <is>
          <t>Technical_Enrichment</t>
        </is>
      </c>
      <c r="U1" s="1" t="inlineStr">
        <is>
          <t>Visit_Context</t>
        </is>
      </c>
      <c r="V1" s="1" t="inlineStr">
        <is>
          <t>Source</t>
        </is>
      </c>
      <c r="W1" s="1" t="inlineStr">
        <is>
          <t>Gesha_Alert</t>
        </is>
      </c>
    </row>
    <row r="2">
      <c r="A2" s="53" t="n">
        <v>46025</v>
      </c>
      <c r="B2" s="3" t="inlineStr">
        <is>
          <t>Ubud, Bali</t>
        </is>
      </c>
      <c r="C2" s="3" t="inlineStr">
        <is>
          <t>Seniman Coffee Studio</t>
        </is>
      </c>
      <c r="D2" s="3" t="inlineStr">
        <is>
          <t>Bali Karana Kintamanis</t>
        </is>
      </c>
      <c r="E2" s="3" t="inlineStr">
        <is>
          <t>Unknown</t>
        </is>
      </c>
      <c r="F2" s="3" t="inlineStr">
        <is>
          <t>Kintamani, Bali</t>
        </is>
      </c>
      <c r="G2" s="3" t="inlineStr">
        <is>
          <t>Unknown</t>
        </is>
      </c>
      <c r="H2" s="3" t="inlineStr">
        <is>
          <t>Natural</t>
        </is>
      </c>
      <c r="I2" s="3" t="inlineStr">
        <is>
          <t>Light</t>
        </is>
      </c>
      <c r="J2" s="3" t="inlineStr">
        <is>
          <t>Filter</t>
        </is>
      </c>
      <c r="K2" s="3" t="inlineStr">
        <is>
          <t>Unknown</t>
        </is>
      </c>
      <c r="L2" s="3" t="inlineStr">
        <is>
          <t>Unknown</t>
        </is>
      </c>
      <c r="M2" s="3" t="inlineStr">
        <is>
          <t>Unknown</t>
        </is>
      </c>
      <c r="N2" s="3" t="inlineStr">
        <is>
          <t>Unknown</t>
        </is>
      </c>
      <c r="O2" s="3" t="inlineStr">
        <is>
          <t>Unknown</t>
        </is>
      </c>
      <c r="P2" s="3" t="inlineStr">
        <is>
          <t>Unknown</t>
        </is>
      </c>
      <c r="Q2" s="3" t="inlineStr">
        <is>
          <t>Unknown</t>
        </is>
      </c>
      <c r="R2" s="3" t="inlineStr">
        <is>
          <t>Clean citrus; floral</t>
        </is>
      </c>
      <c r="S2" s="3" t="inlineStr">
        <is>
          <t>Excellent clarity for a natural process; clean citrus and floral notes.</t>
        </is>
      </c>
      <c r="T2" s="3" t="inlineStr">
        <is>
          <t>Natural processing contributed mild fruit-forward esters with relatively clean finish; foundational exposure to local Indonesian origins.</t>
        </is>
      </c>
      <c r="U2" s="3" t="inlineStr">
        <is>
          <t>Bali family trip</t>
        </is>
      </c>
      <c r="V2" s="3" t="inlineStr">
        <is>
          <t>Merged (Gemini + ChatGPT)</t>
        </is>
      </c>
      <c r="W2" s="4">
        <f>IF(OR(ISNUMBER(SEARCH("gesha",G2)),ISNUMBER(SEARCH("geisha",G2))),"⭐ GESHA","")</f>
        <v/>
      </c>
    </row>
    <row r="3">
      <c r="A3" s="53" t="n">
        <v>46026</v>
      </c>
      <c r="B3" s="3" t="inlineStr">
        <is>
          <t>Ubud, Bali</t>
        </is>
      </c>
      <c r="C3" s="3" t="inlineStr">
        <is>
          <t>Seniman Coffee Studio</t>
        </is>
      </c>
      <c r="D3" s="3" t="inlineStr">
        <is>
          <t>Sulawesi Toraja</t>
        </is>
      </c>
      <c r="E3" s="3" t="inlineStr">
        <is>
          <t>Unknown</t>
        </is>
      </c>
      <c r="F3" s="3" t="inlineStr">
        <is>
          <t>Sulawesi, Indonesia</t>
        </is>
      </c>
      <c r="G3" s="3" t="inlineStr">
        <is>
          <t>Unknown</t>
        </is>
      </c>
      <c r="H3" s="3" t="inlineStr">
        <is>
          <t>Wet-Hulled</t>
        </is>
      </c>
      <c r="I3" s="3" t="inlineStr">
        <is>
          <t>Medium</t>
        </is>
      </c>
      <c r="J3" s="3" t="inlineStr">
        <is>
          <t>Pour-over</t>
        </is>
      </c>
      <c r="K3" s="3" t="inlineStr">
        <is>
          <t>Unknown</t>
        </is>
      </c>
      <c r="L3" s="3" t="inlineStr">
        <is>
          <t>Unknown</t>
        </is>
      </c>
      <c r="M3" s="3" t="inlineStr">
        <is>
          <t>Unknown</t>
        </is>
      </c>
      <c r="N3" s="3" t="inlineStr">
        <is>
          <t>Unknown</t>
        </is>
      </c>
      <c r="O3" s="3" t="inlineStr">
        <is>
          <t>Unknown</t>
        </is>
      </c>
      <c r="P3" s="3" t="inlineStr">
        <is>
          <t>Unknown</t>
        </is>
      </c>
      <c r="Q3" s="3" t="inlineStr">
        <is>
          <t>Unknown</t>
        </is>
      </c>
      <c r="R3" s="3" t="inlineStr">
        <is>
          <t>Cocoa; earthy structures</t>
        </is>
      </c>
      <c r="S3" s="3" t="inlineStr">
        <is>
          <t>Heavy body with rich cocoa and earthy notes; low acidity; dense mouthfeel.</t>
        </is>
      </c>
      <c r="T3" s="3" t="inlineStr">
        <is>
          <t>Classic Giling Basah wet-hulled process emphasized earthy compounds and syrupy mouthfeel; structural density confirmed.</t>
        </is>
      </c>
      <c r="U3" s="3" t="inlineStr">
        <is>
          <t>Bali family trip</t>
        </is>
      </c>
      <c r="V3" s="3" t="inlineStr">
        <is>
          <t>Merged (Gemini + ChatGPT)</t>
        </is>
      </c>
      <c r="W3" s="4">
        <f>IF(OR(ISNUMBER(SEARCH("gesha",G3)),ISNUMBER(SEARCH("geisha",G3))),"⭐ GESHA","")</f>
        <v/>
      </c>
    </row>
    <row r="4">
      <c r="A4" s="53" t="n">
        <v>46026</v>
      </c>
      <c r="B4" s="3" t="inlineStr">
        <is>
          <t>Ubud, Bali</t>
        </is>
      </c>
      <c r="C4" s="3" t="inlineStr">
        <is>
          <t>Seniman Coffee Studio</t>
        </is>
      </c>
      <c r="D4" s="3" t="inlineStr">
        <is>
          <t>House Blend</t>
        </is>
      </c>
      <c r="E4" s="3" t="inlineStr">
        <is>
          <t>Unknown</t>
        </is>
      </c>
      <c r="F4" s="3" t="inlineStr">
        <is>
          <t>Unknown</t>
        </is>
      </c>
      <c r="G4" s="3" t="inlineStr">
        <is>
          <t>Unknown</t>
        </is>
      </c>
      <c r="H4" s="3" t="inlineStr">
        <is>
          <t>Unknown</t>
        </is>
      </c>
      <c r="I4" s="3" t="inlineStr">
        <is>
          <t>Espresso Roast</t>
        </is>
      </c>
      <c r="J4" s="3" t="inlineStr">
        <is>
          <t>Piccolo</t>
        </is>
      </c>
      <c r="K4" s="3" t="inlineStr">
        <is>
          <t>Unknown</t>
        </is>
      </c>
      <c r="L4" s="3" t="inlineStr">
        <is>
          <t>Unknown</t>
        </is>
      </c>
      <c r="M4" s="3" t="inlineStr">
        <is>
          <t>Unknown</t>
        </is>
      </c>
      <c r="N4" s="3" t="inlineStr">
        <is>
          <t>Unknown</t>
        </is>
      </c>
      <c r="O4" s="3" t="inlineStr">
        <is>
          <t>Unknown</t>
        </is>
      </c>
      <c r="P4" s="3" t="inlineStr">
        <is>
          <t>Unknown</t>
        </is>
      </c>
      <c r="Q4" s="3" t="inlineStr">
        <is>
          <t>Unknown</t>
        </is>
      </c>
      <c r="R4" s="3" t="inlineStr">
        <is>
          <t>Balanced</t>
        </is>
      </c>
      <c r="S4" s="3" t="inlineStr">
        <is>
          <t>Great milk integration; standard espresso + milk calibration.</t>
        </is>
      </c>
      <c r="T4" s="3" t="inlineStr">
        <is>
          <t>Baseline milk pairing; milk fats softened acidity and amplified sweetness and body.</t>
        </is>
      </c>
      <c r="U4" s="3" t="inlineStr">
        <is>
          <t>Bali family trip</t>
        </is>
      </c>
      <c r="V4" s="3" t="inlineStr">
        <is>
          <t>Merged (Gemini + ChatGPT)</t>
        </is>
      </c>
      <c r="W4" s="4">
        <f>IF(OR(ISNUMBER(SEARCH("gesha",G4)),ISNUMBER(SEARCH("geisha",G4))),"⭐ GESHA","")</f>
        <v/>
      </c>
    </row>
    <row r="5">
      <c r="A5" s="53" t="n">
        <v>46063</v>
      </c>
      <c r="B5" s="3" t="inlineStr">
        <is>
          <t>Singapore</t>
        </is>
      </c>
      <c r="C5" s="3" t="inlineStr">
        <is>
          <t>Kyuukei Coffee</t>
        </is>
      </c>
      <c r="D5" s="3" t="inlineStr">
        <is>
          <t>Kenya Kiamugumo AA</t>
        </is>
      </c>
      <c r="E5" s="3" t="inlineStr">
        <is>
          <t>New Ngariama Farmer's Cooperative Society</t>
        </is>
      </c>
      <c r="F5" s="3" t="inlineStr">
        <is>
          <t>Kiamugumo, Murang'a County, Kenya</t>
        </is>
      </c>
      <c r="G5" s="3" t="inlineStr">
        <is>
          <t>SL28 / SL34</t>
        </is>
      </c>
      <c r="H5" s="3" t="inlineStr">
        <is>
          <t>Washed</t>
        </is>
      </c>
      <c r="I5" s="3" t="inlineStr">
        <is>
          <t>Unknown</t>
        </is>
      </c>
      <c r="J5" s="3" t="inlineStr">
        <is>
          <t>Pour-over (Flat-Bottom)</t>
        </is>
      </c>
      <c r="K5" s="3" t="n">
        <v>15</v>
      </c>
      <c r="L5" s="3" t="n">
        <v>240</v>
      </c>
      <c r="M5" s="3" t="inlineStr">
        <is>
          <t>1:16</t>
        </is>
      </c>
      <c r="N5" s="3" t="inlineStr">
        <is>
          <t>93</t>
        </is>
      </c>
      <c r="O5" s="3" t="inlineStr">
        <is>
          <t>Unknown</t>
        </is>
      </c>
      <c r="P5" s="3" t="inlineStr">
        <is>
          <t>120mm Hybrid Burr</t>
        </is>
      </c>
      <c r="Q5" s="5" t="n">
        <v>8</v>
      </c>
      <c r="R5" s="3" t="inlineStr">
        <is>
          <t>Blackcurrant, Lemon, Citrus Zest, Mineral Finish</t>
        </is>
      </c>
      <c r="S5" s="3" t="inlineStr">
        <is>
          <t>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is>
      </c>
      <c r="T5" s="3" t="inlineStr">
        <is>
          <t>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is>
      </c>
      <c r="U5" s="3" t="inlineStr">
        <is>
          <t>Solo visit — early archive period, first Kyūkei filter audit</t>
        </is>
      </c>
      <c r="V5" s="3" t="inlineStr">
        <is>
          <t>Direct observation + infographic + Google review (10 Feb 2026)</t>
        </is>
      </c>
      <c r="W5" s="4">
        <f>IF(OR(ISNUMBER(SEARCH("gesha",G5)),ISNUMBER(SEARCH("geisha",G5))),"⭐ GESHA","")</f>
        <v/>
      </c>
    </row>
    <row r="6">
      <c r="A6" s="53" t="n">
        <v>46082</v>
      </c>
      <c r="B6" s="3" t="inlineStr">
        <is>
          <t>Mumbai</t>
        </is>
      </c>
      <c r="C6" s="3" t="inlineStr">
        <is>
          <t>Subko Coffee Roasters</t>
        </is>
      </c>
      <c r="D6" s="3" t="inlineStr">
        <is>
          <t>Project Pearl Ratnagiri</t>
        </is>
      </c>
      <c r="E6" s="3" t="inlineStr">
        <is>
          <t>Ratnagiri Estate</t>
        </is>
      </c>
      <c r="F6" s="3" t="inlineStr">
        <is>
          <t>India</t>
        </is>
      </c>
      <c r="G6" s="3" t="inlineStr">
        <is>
          <t>Unknown</t>
        </is>
      </c>
      <c r="H6" s="3" t="inlineStr">
        <is>
          <t>Anaerobic Natural</t>
        </is>
      </c>
      <c r="I6" s="3" t="inlineStr">
        <is>
          <t>Light (Agtron 89)</t>
        </is>
      </c>
      <c r="J6" s="3" t="inlineStr">
        <is>
          <t>Filter</t>
        </is>
      </c>
      <c r="K6" s="3" t="inlineStr">
        <is>
          <t>Unknown</t>
        </is>
      </c>
      <c r="L6" s="3" t="inlineStr">
        <is>
          <t>Unknown</t>
        </is>
      </c>
      <c r="M6" s="3" t="inlineStr">
        <is>
          <t>Unknown</t>
        </is>
      </c>
      <c r="N6" s="3" t="inlineStr">
        <is>
          <t>Unknown</t>
        </is>
      </c>
      <c r="O6" s="3" t="inlineStr">
        <is>
          <t>Unknown</t>
        </is>
      </c>
      <c r="P6" s="3" t="inlineStr">
        <is>
          <t>Unknown</t>
        </is>
      </c>
      <c r="Q6" s="3" t="inlineStr">
        <is>
          <t>Unknown</t>
        </is>
      </c>
      <c r="R6" s="3" t="inlineStr">
        <is>
          <t>Unknown</t>
        </is>
      </c>
      <c r="S6" s="3" t="inlineStr">
        <is>
          <t>Clean and balanced; interesting but restrained anaerobic expression.</t>
        </is>
      </c>
      <c r="T6" s="3" t="inlineStr">
        <is>
          <t>Very light roast (Agtron 89) suppressed ester development despite anaerobic process; muted expected fermented intensity.</t>
        </is>
      </c>
      <c r="U6" s="3" t="inlineStr">
        <is>
          <t>Mumbai café exploration</t>
        </is>
      </c>
      <c r="V6" s="3" t="inlineStr">
        <is>
          <t>Merged (Gemini + ChatGPT)</t>
        </is>
      </c>
      <c r="W6" s="4">
        <f>IF(OR(ISNUMBER(SEARCH("gesha",G6)),ISNUMBER(SEARCH("geisha",G6))),"⭐ GESHA","")</f>
        <v/>
      </c>
    </row>
    <row r="7">
      <c r="A7" s="53" t="n">
        <v>46089</v>
      </c>
      <c r="B7" s="3" t="inlineStr">
        <is>
          <t>Mumbai</t>
        </is>
      </c>
      <c r="C7" s="3" t="inlineStr">
        <is>
          <t>Grey Soul Coffee Roasters</t>
        </is>
      </c>
      <c r="D7" s="3" t="inlineStr">
        <is>
          <t>Raspberry in Loop - Zoya Estate</t>
        </is>
      </c>
      <c r="E7" s="3" t="inlineStr">
        <is>
          <t>Zoya Estate</t>
        </is>
      </c>
      <c r="F7" s="3" t="inlineStr">
        <is>
          <t>India</t>
        </is>
      </c>
      <c r="G7" s="3" t="inlineStr">
        <is>
          <t>Unknown</t>
        </is>
      </c>
      <c r="H7" s="3" t="inlineStr">
        <is>
          <t>Multi-stage Anaerobic</t>
        </is>
      </c>
      <c r="I7" s="3" t="inlineStr">
        <is>
          <t>Medium</t>
        </is>
      </c>
      <c r="J7" s="3" t="inlineStr">
        <is>
          <t>Filter</t>
        </is>
      </c>
      <c r="K7" s="3" t="inlineStr">
        <is>
          <t>Unknown</t>
        </is>
      </c>
      <c r="L7" s="3" t="inlineStr">
        <is>
          <t>Unknown</t>
        </is>
      </c>
      <c r="M7" s="3" t="inlineStr">
        <is>
          <t>Unknown</t>
        </is>
      </c>
      <c r="N7" s="3" t="inlineStr">
        <is>
          <t>Unknown</t>
        </is>
      </c>
      <c r="O7" s="3" t="inlineStr">
        <is>
          <t>Unknown</t>
        </is>
      </c>
      <c r="P7" s="3" t="inlineStr">
        <is>
          <t>Unknown</t>
        </is>
      </c>
      <c r="Q7" s="3" t="inlineStr">
        <is>
          <t>Unknown</t>
        </is>
      </c>
      <c r="R7" s="3" t="inlineStr">
        <is>
          <t>Chocolate</t>
        </is>
      </c>
      <c r="S7" s="3" t="inlineStr">
        <is>
          <t>Heavy body; over-smoothed expression muted brightness and terroir.</t>
        </is>
      </c>
      <c r="T7" s="3" t="inlineStr">
        <is>
          <t>Higher development in medium roast reduced aggressive fruit acidity; heavy multi-stage fermentation suppressed terroir expression.</t>
        </is>
      </c>
      <c r="U7" s="3" t="inlineStr">
        <is>
          <t>Mumbai café exploration</t>
        </is>
      </c>
      <c r="V7" s="3" t="inlineStr">
        <is>
          <t>Merged (Gemini + ChatGPT)</t>
        </is>
      </c>
      <c r="W7" s="4">
        <f>IF(OR(ISNUMBER(SEARCH("gesha",G7)),ISNUMBER(SEARCH("geisha",G7))),"⭐ GESHA","")</f>
        <v/>
      </c>
    </row>
    <row r="8">
      <c r="A8" s="53" t="n">
        <v>46099</v>
      </c>
      <c r="B8" s="3" t="inlineStr">
        <is>
          <t>Singapore</t>
        </is>
      </c>
      <c r="C8" s="3" t="inlineStr">
        <is>
          <t>Narrative Coffee Stand</t>
        </is>
      </c>
      <c r="D8" s="3" t="inlineStr">
        <is>
          <t>Finca La Siberia</t>
        </is>
      </c>
      <c r="E8" s="3" t="inlineStr">
        <is>
          <t>Unknown</t>
        </is>
      </c>
      <c r="F8" s="3" t="inlineStr">
        <is>
          <t>El Salvador</t>
        </is>
      </c>
      <c r="G8" s="3" t="inlineStr">
        <is>
          <t>Pacamara</t>
        </is>
      </c>
      <c r="H8" s="3" t="inlineStr">
        <is>
          <t>Natural</t>
        </is>
      </c>
      <c r="I8" s="3" t="inlineStr">
        <is>
          <t>Light</t>
        </is>
      </c>
      <c r="J8" s="3" t="inlineStr">
        <is>
          <t>Pour-over</t>
        </is>
      </c>
      <c r="K8" s="3" t="inlineStr">
        <is>
          <t>Unknown</t>
        </is>
      </c>
      <c r="L8" s="3" t="inlineStr">
        <is>
          <t>Unknown</t>
        </is>
      </c>
      <c r="M8" s="3" t="inlineStr">
        <is>
          <t>Unknown</t>
        </is>
      </c>
      <c r="N8" s="3" t="inlineStr">
        <is>
          <t>Unknown</t>
        </is>
      </c>
      <c r="O8" s="3" t="inlineStr">
        <is>
          <t>Unknown</t>
        </is>
      </c>
      <c r="P8" s="3" t="inlineStr">
        <is>
          <t>Unknown</t>
        </is>
      </c>
      <c r="Q8" s="3" t="inlineStr">
        <is>
          <t>Unknown</t>
        </is>
      </c>
      <c r="R8" s="3" t="inlineStr">
        <is>
          <t>Unknown</t>
        </is>
      </c>
      <c r="S8" s="3" t="inlineStr">
        <is>
          <t>Stewed apples; Apricot; Pu'er tea — Aanya's first specialty filter experience.</t>
        </is>
      </c>
      <c r="T8" s="3" t="inlineStr">
        <is>
          <t>Natural Pacamara generated beginner-friendly fruit esters and approachable sweetness; large Pacamara bean size aided even extraction.</t>
        </is>
      </c>
      <c r="U8" s="3" t="inlineStr">
        <is>
          <t>Father-daughter coffee exploration</t>
        </is>
      </c>
      <c r="V8" s="3" t="inlineStr">
        <is>
          <t>ChatGPT only</t>
        </is>
      </c>
      <c r="W8" s="4">
        <f>IF(OR(ISNUMBER(SEARCH("gesha",G8)),ISNUMBER(SEARCH("geisha",G8))),"⭐ GESHA","")</f>
        <v/>
      </c>
    </row>
    <row r="9">
      <c r="A9" s="53" t="n">
        <v>46099</v>
      </c>
      <c r="B9" s="3" t="inlineStr">
        <is>
          <t>Singapore</t>
        </is>
      </c>
      <c r="C9" s="3" t="inlineStr">
        <is>
          <t>Narrative Coffee Stand</t>
        </is>
      </c>
      <c r="D9" s="3" t="inlineStr">
        <is>
          <t>El Puente</t>
        </is>
      </c>
      <c r="E9" s="3" t="inlineStr">
        <is>
          <t>Unknown</t>
        </is>
      </c>
      <c r="F9" s="3" t="inlineStr">
        <is>
          <t>Honduras</t>
        </is>
      </c>
      <c r="G9" s="3" t="inlineStr">
        <is>
          <t>Catuai</t>
        </is>
      </c>
      <c r="H9" s="3" t="inlineStr">
        <is>
          <t>Washed</t>
        </is>
      </c>
      <c r="I9" s="3" t="inlineStr">
        <is>
          <t>Medium-Light</t>
        </is>
      </c>
      <c r="J9" s="3" t="inlineStr">
        <is>
          <t>Espresso</t>
        </is>
      </c>
      <c r="K9" s="3" t="inlineStr">
        <is>
          <t>Unknown</t>
        </is>
      </c>
      <c r="L9" s="3" t="inlineStr">
        <is>
          <t>Unknown</t>
        </is>
      </c>
      <c r="M9" s="3" t="inlineStr">
        <is>
          <t>Unknown</t>
        </is>
      </c>
      <c r="N9" s="3" t="inlineStr">
        <is>
          <t>Unknown</t>
        </is>
      </c>
      <c r="O9" s="3" t="inlineStr">
        <is>
          <t>Unknown</t>
        </is>
      </c>
      <c r="P9" s="3" t="inlineStr">
        <is>
          <t>Unknown</t>
        </is>
      </c>
      <c r="Q9" s="3" t="inlineStr">
        <is>
          <t>Unknown</t>
        </is>
      </c>
      <c r="R9" s="3" t="inlineStr">
        <is>
          <t>Unknown</t>
        </is>
      </c>
      <c r="S9" s="3" t="inlineStr">
        <is>
          <t>Black cherry; Apricot; Pecan — ordered for espresso contrast.</t>
        </is>
      </c>
      <c r="T9" s="3" t="inlineStr">
        <is>
          <t>Washed Central American espresso balanced nutty sweetness and fruit acidity; Catuai's consistent cell structure aided uniform extraction.</t>
        </is>
      </c>
      <c r="U9" s="3" t="inlineStr">
        <is>
          <t>Father-daughter coffee exploration</t>
        </is>
      </c>
      <c r="V9" s="3" t="inlineStr">
        <is>
          <t>ChatGPT only</t>
        </is>
      </c>
      <c r="W9" s="4">
        <f>IF(OR(ISNUMBER(SEARCH("gesha",G9)),ISNUMBER(SEARCH("geisha",G9))),"⭐ GESHA","")</f>
        <v/>
      </c>
    </row>
    <row r="10">
      <c r="A10" s="53" t="n">
        <v>46099</v>
      </c>
      <c r="B10" s="3" t="inlineStr">
        <is>
          <t>Singapore</t>
        </is>
      </c>
      <c r="C10" s="3" t="inlineStr">
        <is>
          <t>ASK Coffee Roastery</t>
        </is>
      </c>
      <c r="D10" s="3" t="inlineStr">
        <is>
          <t>Honduras Masaguara (S13)</t>
        </is>
      </c>
      <c r="E10" s="3" t="inlineStr">
        <is>
          <t>Unknown</t>
        </is>
      </c>
      <c r="F10" s="3" t="inlineStr">
        <is>
          <t>Honduras</t>
        </is>
      </c>
      <c r="G10" s="3" t="inlineStr">
        <is>
          <t>Catuai / Caturra</t>
        </is>
      </c>
      <c r="H10" s="3" t="inlineStr">
        <is>
          <t>Washed Co-Ferment</t>
        </is>
      </c>
      <c r="I10" s="3" t="inlineStr">
        <is>
          <t>Light</t>
        </is>
      </c>
      <c r="J10" s="3" t="inlineStr">
        <is>
          <t>Pour-over</t>
        </is>
      </c>
      <c r="K10" s="3" t="inlineStr">
        <is>
          <t>Unknown</t>
        </is>
      </c>
      <c r="L10" s="3" t="inlineStr">
        <is>
          <t>Unknown</t>
        </is>
      </c>
      <c r="M10" s="3" t="inlineStr">
        <is>
          <t>Unknown</t>
        </is>
      </c>
      <c r="N10" s="3" t="inlineStr">
        <is>
          <t>Unknown</t>
        </is>
      </c>
      <c r="O10" s="3" t="inlineStr">
        <is>
          <t>Unknown</t>
        </is>
      </c>
      <c r="P10" s="3" t="inlineStr">
        <is>
          <t>Unknown</t>
        </is>
      </c>
      <c r="Q10" s="5" t="n">
        <v>15</v>
      </c>
      <c r="R10" s="3" t="inlineStr">
        <is>
          <t>Lychee; Brandy; Honeydew; Milk Chocolate</t>
        </is>
      </c>
      <c r="S10" s="3" t="inlineStr">
        <is>
          <t>Premium but memorable; highly complex tropical profile.</t>
        </is>
      </c>
      <c r="T10" s="3" t="inlineStr">
        <is>
          <t>Co-fermentation amplified tropical ester complexity; co-ferment substrates introduced lychee lactones and brandy-like ethyl esters.</t>
        </is>
      </c>
      <c r="U10" s="3" t="inlineStr">
        <is>
          <t>Father-daughter coffee exploration</t>
        </is>
      </c>
      <c r="V10" s="3" t="inlineStr">
        <is>
          <t>ChatGPT only</t>
        </is>
      </c>
      <c r="W10" s="4">
        <f>IF(OR(ISNUMBER(SEARCH("gesha",G10)),ISNUMBER(SEARCH("geisha",G10))),"⭐ GESHA","")</f>
        <v/>
      </c>
    </row>
    <row r="11">
      <c r="A11" s="53" t="n">
        <v>46099</v>
      </c>
      <c r="B11" s="3" t="inlineStr">
        <is>
          <t>Singapore</t>
        </is>
      </c>
      <c r="C11" s="3" t="inlineStr">
        <is>
          <t>ASK Coffee Roastery</t>
        </is>
      </c>
      <c r="D11" s="3" t="inlineStr">
        <is>
          <t>House Blend</t>
        </is>
      </c>
      <c r="E11" s="3" t="inlineStr">
        <is>
          <t>Unknown</t>
        </is>
      </c>
      <c r="F11" s="3" t="inlineStr">
        <is>
          <t>Unknown</t>
        </is>
      </c>
      <c r="G11" s="3" t="inlineStr">
        <is>
          <t>Unknown</t>
        </is>
      </c>
      <c r="H11" s="3" t="inlineStr">
        <is>
          <t>Unknown</t>
        </is>
      </c>
      <c r="I11" s="3" t="inlineStr">
        <is>
          <t>Unknown</t>
        </is>
      </c>
      <c r="J11" s="3" t="inlineStr">
        <is>
          <t>Magic (Ristretto Milk)</t>
        </is>
      </c>
      <c r="K11" s="3" t="inlineStr">
        <is>
          <t>Unknown</t>
        </is>
      </c>
      <c r="L11" s="3" t="inlineStr">
        <is>
          <t>Unknown</t>
        </is>
      </c>
      <c r="M11" s="3" t="inlineStr">
        <is>
          <t>Unknown</t>
        </is>
      </c>
      <c r="N11" s="3" t="inlineStr">
        <is>
          <t>Unknown</t>
        </is>
      </c>
      <c r="O11" s="3" t="inlineStr">
        <is>
          <t>Unknown</t>
        </is>
      </c>
      <c r="P11" s="3" t="inlineStr">
        <is>
          <t>Unknown</t>
        </is>
      </c>
      <c r="Q11" s="3" t="inlineStr">
        <is>
          <t>Unknown</t>
        </is>
      </c>
      <c r="R11" s="3" t="inlineStr">
        <is>
          <t>Unknown</t>
        </is>
      </c>
      <c r="S11" s="3" t="inlineStr">
        <is>
          <t>Contrast milk calibration; excellent concentrated cocoa expression.</t>
        </is>
      </c>
      <c r="T11" s="3" t="inlineStr">
        <is>
          <t>Ristretto milk extraction increased sweetness density and concentrated cocoa compounds through reduced water content.</t>
        </is>
      </c>
      <c r="U11" s="3" t="inlineStr">
        <is>
          <t>Father-daughter coffee exploration</t>
        </is>
      </c>
      <c r="V11" s="3" t="inlineStr">
        <is>
          <t>ChatGPT only</t>
        </is>
      </c>
      <c r="W11" s="4">
        <f>IF(OR(ISNUMBER(SEARCH("gesha",G11)),ISNUMBER(SEARCH("geisha",G11))),"⭐ GESHA","")</f>
        <v/>
      </c>
    </row>
    <row r="12">
      <c r="A12" s="53" t="n">
        <v>46103</v>
      </c>
      <c r="B12" s="3" t="inlineStr">
        <is>
          <t>Singapore</t>
        </is>
      </c>
      <c r="C12" s="3" t="inlineStr">
        <is>
          <t>Apartment (Selegie Rd)</t>
        </is>
      </c>
      <c r="D12" s="3" t="inlineStr">
        <is>
          <t>Colombia Don Gallego - Wush Wush</t>
        </is>
      </c>
      <c r="E12" s="3" t="inlineStr">
        <is>
          <t>Don Gallego</t>
        </is>
      </c>
      <c r="F12" s="3" t="inlineStr">
        <is>
          <t>Colombia</t>
        </is>
      </c>
      <c r="G12" s="3" t="inlineStr">
        <is>
          <t>Wush Wush</t>
        </is>
      </c>
      <c r="H12" s="3" t="inlineStr">
        <is>
          <t>Washed</t>
        </is>
      </c>
      <c r="I12" s="3" t="inlineStr">
        <is>
          <t>Light</t>
        </is>
      </c>
      <c r="J12" s="3" t="inlineStr">
        <is>
          <t>Pour-over (Flat-Bottom)</t>
        </is>
      </c>
      <c r="K12" s="3" t="inlineStr">
        <is>
          <t>Unknown</t>
        </is>
      </c>
      <c r="L12" s="3" t="inlineStr">
        <is>
          <t>Unknown</t>
        </is>
      </c>
      <c r="M12" s="3" t="inlineStr">
        <is>
          <t>1:17</t>
        </is>
      </c>
      <c r="N12" s="3" t="inlineStr">
        <is>
          <t>Unknown</t>
        </is>
      </c>
      <c r="O12" s="3" t="inlineStr">
        <is>
          <t>Unknown</t>
        </is>
      </c>
      <c r="P12" s="3" t="inlineStr">
        <is>
          <t>Unknown</t>
        </is>
      </c>
      <c r="Q12" s="3" t="inlineStr">
        <is>
          <t>Unknown</t>
        </is>
      </c>
      <c r="R12" s="3" t="inlineStr">
        <is>
          <t>Tea-like</t>
        </is>
      </c>
      <c r="S12" s="3" t="inlineStr">
        <is>
          <t>Incredible tea-like clarity; transparent floral expression.</t>
        </is>
      </c>
      <c r="T12" s="3" t="inlineStr">
        <is>
          <t>Lean 1:17 ratio maximized aromatic separation; Wush Wush's Ethiopian-lineage genetics produced delicate phenolic and floral complexity.</t>
        </is>
      </c>
      <c r="U12" s="3" t="inlineStr">
        <is>
          <t>Solo specialty calibration</t>
        </is>
      </c>
      <c r="V12" s="3" t="inlineStr">
        <is>
          <t>Merged (Gemini + ChatGPT)</t>
        </is>
      </c>
      <c r="W12" s="4">
        <f>IF(OR(ISNUMBER(SEARCH("gesha",G12)),ISNUMBER(SEARCH("geisha",G12))),"⭐ GESHA","")</f>
        <v/>
      </c>
    </row>
    <row r="13">
      <c r="A13" s="53" t="n">
        <v>46105</v>
      </c>
      <c r="B13" s="3" t="inlineStr">
        <is>
          <t>Singapore</t>
        </is>
      </c>
      <c r="C13" s="3" t="inlineStr">
        <is>
          <t>Kyuukei Coffee</t>
        </is>
      </c>
      <c r="D13" s="3" t="inlineStr">
        <is>
          <t>Kenya Ndiaini AA</t>
        </is>
      </c>
      <c r="E13" s="3" t="inlineStr">
        <is>
          <t>Unknown</t>
        </is>
      </c>
      <c r="F13" s="3" t="inlineStr">
        <is>
          <t>Kenya</t>
        </is>
      </c>
      <c r="G13" s="3" t="inlineStr">
        <is>
          <t>SL28 / SL34 / Ruiru 11</t>
        </is>
      </c>
      <c r="H13" s="3" t="inlineStr">
        <is>
          <t>Washed</t>
        </is>
      </c>
      <c r="I13" s="3" t="inlineStr">
        <is>
          <t>Unknown</t>
        </is>
      </c>
      <c r="J13" s="3" t="inlineStr">
        <is>
          <t>Pour-over</t>
        </is>
      </c>
      <c r="K13" s="3" t="inlineStr">
        <is>
          <t>Unknown</t>
        </is>
      </c>
      <c r="L13" s="3" t="inlineStr">
        <is>
          <t>Unknown</t>
        </is>
      </c>
      <c r="M13" s="3" t="inlineStr">
        <is>
          <t>Unknown</t>
        </is>
      </c>
      <c r="N13" s="3" t="inlineStr">
        <is>
          <t>Unknown</t>
        </is>
      </c>
      <c r="O13" s="3" t="inlineStr">
        <is>
          <t>Unknown</t>
        </is>
      </c>
      <c r="P13" s="3" t="inlineStr">
        <is>
          <t>Unknown</t>
        </is>
      </c>
      <c r="Q13" s="5" t="n">
        <v>9</v>
      </c>
      <c r="R13" s="3" t="inlineStr">
        <is>
          <t>Redcurrant; Elderflower; Lemon; Apricot</t>
        </is>
      </c>
      <c r="S13" s="3" t="inlineStr">
        <is>
          <t>Acidic and interesting; well balanced; high clarity.</t>
        </is>
      </c>
      <c r="T13" s="3" t="inlineStr">
        <is>
          <t>Ruiru 11 introduced structural body alongside classic SL28/SL34 brightness; further Kenyan terroir depth confirmed.</t>
        </is>
      </c>
      <c r="U13" s="3" t="inlineStr">
        <is>
          <t>Solo specialty calibration</t>
        </is>
      </c>
      <c r="V13" s="3" t="inlineStr">
        <is>
          <t>Merged (Gemini + ChatGPT)</t>
        </is>
      </c>
      <c r="W13" s="4">
        <f>IF(OR(ISNUMBER(SEARCH("gesha",G13)),ISNUMBER(SEARCH("geisha",G13))),"⭐ GESHA","")</f>
        <v/>
      </c>
    </row>
    <row r="14">
      <c r="A14" s="53" t="n">
        <v>46106</v>
      </c>
      <c r="B14" s="3" t="inlineStr">
        <is>
          <t>Singapore</t>
        </is>
      </c>
      <c r="C14" s="3" t="inlineStr">
        <is>
          <t>Agora Coffee</t>
        </is>
      </c>
      <c r="D14" s="3" t="inlineStr">
        <is>
          <t>Nicaragua Matagalpa - Finca La Virgen</t>
        </is>
      </c>
      <c r="E14" s="3" t="inlineStr">
        <is>
          <t>Finca La Virgen</t>
        </is>
      </c>
      <c r="F14" s="3" t="inlineStr">
        <is>
          <t>Nicaragua</t>
        </is>
      </c>
      <c r="G14" s="3" t="inlineStr">
        <is>
          <t>Unknown</t>
        </is>
      </c>
      <c r="H14" s="3" t="inlineStr">
        <is>
          <t>Fully Washed</t>
        </is>
      </c>
      <c r="I14" s="3" t="inlineStr">
        <is>
          <t>Espresso Roast</t>
        </is>
      </c>
      <c r="J14" s="3" t="inlineStr">
        <is>
          <t>Flat White</t>
        </is>
      </c>
      <c r="K14" s="3" t="inlineStr">
        <is>
          <t>Unknown</t>
        </is>
      </c>
      <c r="L14" s="3" t="inlineStr">
        <is>
          <t>Unknown</t>
        </is>
      </c>
      <c r="M14" s="3" t="inlineStr">
        <is>
          <t>Unknown</t>
        </is>
      </c>
      <c r="N14" s="3" t="inlineStr">
        <is>
          <t>Unknown</t>
        </is>
      </c>
      <c r="O14" s="3" t="inlineStr">
        <is>
          <t>Unknown</t>
        </is>
      </c>
      <c r="P14" s="3" t="inlineStr">
        <is>
          <t>Unknown</t>
        </is>
      </c>
      <c r="Q14" s="3" t="inlineStr">
        <is>
          <t>Unknown</t>
        </is>
      </c>
      <c r="R14" s="3" t="inlineStr">
        <is>
          <t>Caramel; Chocolate; Red Apple</t>
        </is>
      </c>
      <c r="S14" s="3" t="inlineStr">
        <is>
          <t>Solid milk beverage; clean apple acidity preserved in milk integration.</t>
        </is>
      </c>
      <c r="T14" s="3" t="inlineStr">
        <is>
          <t>Fully washed Central American profile preserved clean malic acidity in milk; espresso roast development amplified caramel Maillard notes.</t>
        </is>
      </c>
      <c r="U14" s="3" t="inlineStr">
        <is>
          <t>Solo specialty calibration</t>
        </is>
      </c>
      <c r="V14" s="3" t="inlineStr">
        <is>
          <t>Merged (Gemini + ChatGPT)</t>
        </is>
      </c>
      <c r="W14" s="4">
        <f>IF(OR(ISNUMBER(SEARCH("gesha",G14)),ISNUMBER(SEARCH("geisha",G14))),"⭐ GESHA","")</f>
        <v/>
      </c>
    </row>
    <row r="15">
      <c r="A15" s="53" t="n">
        <v>46108</v>
      </c>
      <c r="B15" s="3" t="inlineStr">
        <is>
          <t>Singapore</t>
        </is>
      </c>
      <c r="C15" s="3" t="inlineStr">
        <is>
          <t>Agora Coffee</t>
        </is>
      </c>
      <c r="D15" s="3" t="inlineStr">
        <is>
          <t>Ethiopia Yirgacheffe Beloya</t>
        </is>
      </c>
      <c r="E15" s="3" t="inlineStr">
        <is>
          <t>Beloya</t>
        </is>
      </c>
      <c r="F15" s="3" t="inlineStr">
        <is>
          <t>Yirgacheffe, Ethiopia</t>
        </is>
      </c>
      <c r="G15" s="3" t="inlineStr">
        <is>
          <t>Heirloom</t>
        </is>
      </c>
      <c r="H15" s="3" t="inlineStr">
        <is>
          <t>Natural</t>
        </is>
      </c>
      <c r="I15" s="3" t="inlineStr">
        <is>
          <t>Filter Roast</t>
        </is>
      </c>
      <c r="J15" s="3" t="inlineStr">
        <is>
          <t>V60</t>
        </is>
      </c>
      <c r="K15" s="3" t="n">
        <v>15</v>
      </c>
      <c r="L15" s="3" t="n">
        <v>220</v>
      </c>
      <c r="M15" s="3" t="inlineStr">
        <is>
          <t>1:14.6</t>
        </is>
      </c>
      <c r="N15" s="3" t="inlineStr">
        <is>
          <t>Unknown</t>
        </is>
      </c>
      <c r="O15" s="3" t="inlineStr">
        <is>
          <t>Unknown</t>
        </is>
      </c>
      <c r="P15" s="3" t="inlineStr">
        <is>
          <t>Mahlkönig EK43</t>
        </is>
      </c>
      <c r="Q15" s="3" t="inlineStr">
        <is>
          <t>Unknown</t>
        </is>
      </c>
      <c r="R15" s="3" t="inlineStr">
        <is>
          <t>Blackcurrant; Strawberry; White Floral</t>
        </is>
      </c>
      <c r="S15" s="3" t="inlineStr">
        <is>
          <t>Bright, floral, and distinct strawberry; classic natural Ethiopian profile.</t>
        </is>
      </c>
      <c r="T15" s="3" t="inlineStr">
        <is>
          <t>EK43 98mm flat burrs reduced fines and preserved clarity despite natural processing; 1:14.6 ratio retained fruity body.</t>
        </is>
      </c>
      <c r="U15" s="3" t="inlineStr">
        <is>
          <t>Solo specialty calibration</t>
        </is>
      </c>
      <c r="V15" s="3" t="inlineStr">
        <is>
          <t>Merged (Gemini + ChatGPT)</t>
        </is>
      </c>
      <c r="W15" s="4">
        <f>IF(OR(ISNUMBER(SEARCH("gesha",G15)),ISNUMBER(SEARCH("geisha",G15))),"⭐ GESHA","")</f>
        <v/>
      </c>
    </row>
    <row r="16">
      <c r="A16" s="53" t="n">
        <v>46109</v>
      </c>
      <c r="B16" s="3" t="inlineStr">
        <is>
          <t>Singapore</t>
        </is>
      </c>
      <c r="C16" s="3" t="inlineStr">
        <is>
          <t>Tiong Hoe Specialty Coffee</t>
        </is>
      </c>
      <c r="D16" s="3" t="inlineStr">
        <is>
          <t>Brazil Mogiana</t>
        </is>
      </c>
      <c r="E16" s="3" t="inlineStr">
        <is>
          <t>Unknown</t>
        </is>
      </c>
      <c r="F16" s="3" t="inlineStr">
        <is>
          <t>Mogiana, Brazil</t>
        </is>
      </c>
      <c r="G16" s="3" t="inlineStr">
        <is>
          <t>Unknown</t>
        </is>
      </c>
      <c r="H16" s="3" t="inlineStr">
        <is>
          <t>Natural</t>
        </is>
      </c>
      <c r="I16" s="3" t="inlineStr">
        <is>
          <t>Medium</t>
        </is>
      </c>
      <c r="J16" s="3" t="inlineStr">
        <is>
          <t>Pour-over</t>
        </is>
      </c>
      <c r="K16" s="3" t="n">
        <v>15</v>
      </c>
      <c r="L16" s="3" t="n">
        <v>225</v>
      </c>
      <c r="M16" s="3" t="inlineStr">
        <is>
          <t>1:15</t>
        </is>
      </c>
      <c r="N16" s="3" t="inlineStr">
        <is>
          <t>Unknown</t>
        </is>
      </c>
      <c r="O16" s="3" t="inlineStr">
        <is>
          <t>Unknown</t>
        </is>
      </c>
      <c r="P16" s="3" t="inlineStr">
        <is>
          <t>Unknown</t>
        </is>
      </c>
      <c r="Q16" s="5" t="n">
        <v>8</v>
      </c>
      <c r="R16" s="3" t="inlineStr">
        <is>
          <t>Red Dates; Chocolates; Honey</t>
        </is>
      </c>
      <c r="S16" s="3" t="inlineStr">
        <is>
          <t>Chocolate-heavy and satisfying; classic dense Brazilian profile.</t>
        </is>
      </c>
      <c r="T16" s="3" t="inlineStr">
        <is>
          <t>Tighter 1:15 ratio increased body and amplified Maillard-derived caramel sweetness; medium roast caramelized sugars without losing origin character.</t>
        </is>
      </c>
      <c r="U16" s="3" t="inlineStr">
        <is>
          <t>Solo specialty calibration</t>
        </is>
      </c>
      <c r="V16" s="3" t="inlineStr">
        <is>
          <t>Merged (Gemini + ChatGPT)</t>
        </is>
      </c>
      <c r="W16" s="4">
        <f>IF(OR(ISNUMBER(SEARCH("gesha",G16)),ISNUMBER(SEARCH("geisha",G16))),"⭐ GESHA","")</f>
        <v/>
      </c>
    </row>
    <row r="17">
      <c r="A17" s="53" t="n">
        <v>46109</v>
      </c>
      <c r="B17" s="3" t="inlineStr">
        <is>
          <t>Singapore</t>
        </is>
      </c>
      <c r="C17" s="3" t="inlineStr">
        <is>
          <t>Tiong Hoe Specialty Coffee</t>
        </is>
      </c>
      <c r="D17" s="3" t="inlineStr">
        <is>
          <t>Smoky Quartz Blend</t>
        </is>
      </c>
      <c r="E17" s="3" t="inlineStr">
        <is>
          <t>Unknown</t>
        </is>
      </c>
      <c r="F17" s="3" t="inlineStr">
        <is>
          <t>Brazil + India</t>
        </is>
      </c>
      <c r="G17" s="3" t="inlineStr">
        <is>
          <t>Unknown</t>
        </is>
      </c>
      <c r="H17" s="3" t="inlineStr">
        <is>
          <t>Unknown</t>
        </is>
      </c>
      <c r="I17" s="3" t="inlineStr">
        <is>
          <t>Unknown</t>
        </is>
      </c>
      <c r="J17" s="3" t="inlineStr">
        <is>
          <t>Piccolo Latte</t>
        </is>
      </c>
      <c r="K17" s="3" t="inlineStr">
        <is>
          <t>Unknown</t>
        </is>
      </c>
      <c r="L17" s="3" t="inlineStr">
        <is>
          <t>Unknown</t>
        </is>
      </c>
      <c r="M17" s="3" t="inlineStr">
        <is>
          <t>Unknown</t>
        </is>
      </c>
      <c r="N17" s="3" t="inlineStr">
        <is>
          <t>Unknown</t>
        </is>
      </c>
      <c r="O17" s="3" t="inlineStr">
        <is>
          <t>Unknown</t>
        </is>
      </c>
      <c r="P17" s="3" t="inlineStr">
        <is>
          <t>Unknown</t>
        </is>
      </c>
      <c r="Q17" s="5" t="n">
        <v>5.1</v>
      </c>
      <c r="R17" s="3" t="inlineStr">
        <is>
          <t>Dark Chocolates; Hazelnut; Smoky</t>
        </is>
      </c>
      <c r="S17" s="3" t="inlineStr">
        <is>
          <t>Strong milk side calibration; excellent concentrated cocoa expression.</t>
        </is>
      </c>
      <c r="T17" s="3" t="inlineStr">
        <is>
          <t>Low milk volume in piccolo format concentrated cocoa and hazelnut compounds; cross-origin blend leveraged Indian robusta structural density.</t>
        </is>
      </c>
      <c r="U17" s="3" t="inlineStr">
        <is>
          <t>Solo specialty calibration</t>
        </is>
      </c>
      <c r="V17" s="3" t="inlineStr">
        <is>
          <t>ChatGPT only</t>
        </is>
      </c>
      <c r="W17" s="4">
        <f>IF(OR(ISNUMBER(SEARCH("gesha",G17)),ISNUMBER(SEARCH("geisha",G17))),"⭐ GESHA","")</f>
        <v/>
      </c>
    </row>
    <row r="18">
      <c r="A18" s="53" t="n">
        <v>46110</v>
      </c>
      <c r="B18" s="3" t="inlineStr">
        <is>
          <t>Singapore</t>
        </is>
      </c>
      <c r="C18" s="3" t="inlineStr">
        <is>
          <t>Asylum Coffeehouse</t>
        </is>
      </c>
      <c r="D18" s="3" t="inlineStr">
        <is>
          <t>Peru Cajamarca Gesha (Iced)</t>
        </is>
      </c>
      <c r="E18" s="3" t="inlineStr">
        <is>
          <t>Wilder Garcia</t>
        </is>
      </c>
      <c r="F18" s="3" t="inlineStr">
        <is>
          <t>Cajamarca, Peru</t>
        </is>
      </c>
      <c r="G18" s="3" t="inlineStr">
        <is>
          <t>Gesha</t>
        </is>
      </c>
      <c r="H18" s="3" t="inlineStr">
        <is>
          <t>Washed</t>
        </is>
      </c>
      <c r="I18" s="3" t="inlineStr">
        <is>
          <t>Medium</t>
        </is>
      </c>
      <c r="J18" s="3" t="inlineStr">
        <is>
          <t>Iced Pour-over</t>
        </is>
      </c>
      <c r="K18" s="3" t="n">
        <v>15</v>
      </c>
      <c r="L18" s="3" t="n">
        <v>240</v>
      </c>
      <c r="M18" s="3" t="inlineStr">
        <is>
          <t>1:16</t>
        </is>
      </c>
      <c r="N18" s="3" t="inlineStr">
        <is>
          <t>92.5</t>
        </is>
      </c>
      <c r="O18" s="3" t="inlineStr">
        <is>
          <t>Unknown</t>
        </is>
      </c>
      <c r="P18" s="3" t="inlineStr">
        <is>
          <t>Option-O Lagom P64</t>
        </is>
      </c>
      <c r="Q18" s="5" t="n">
        <v>11</v>
      </c>
      <c r="R18" s="3" t="inlineStr">
        <is>
          <t>Jasmine; Caramel; Lime; Cacao Nibs</t>
        </is>
      </c>
      <c r="S18" s="3" t="inlineStr">
        <is>
          <t>Super floral and elegant; flash-chilled expression of Gesha purity.</t>
        </is>
      </c>
      <c r="T18" s="3" t="inlineStr">
        <is>
          <t>Flash-chilled extraction via Option-O Lagom P64 preserved volatile floral monoterpenes (linalool); cold dilution stabilized aromatic compounds.</t>
        </is>
      </c>
      <c r="U18" s="3" t="inlineStr">
        <is>
          <t>Solo specialty calibration</t>
        </is>
      </c>
      <c r="V18" s="3" t="inlineStr">
        <is>
          <t>ChatGPT only</t>
        </is>
      </c>
      <c r="W18" s="4">
        <f>IF(OR(ISNUMBER(SEARCH("gesha",G18)),ISNUMBER(SEARCH("geisha",G18))),"⭐ GESHA","")</f>
        <v/>
      </c>
    </row>
    <row r="19">
      <c r="A19" s="53" t="n">
        <v>46113</v>
      </c>
      <c r="B19" s="3" t="inlineStr">
        <is>
          <t>Singapore</t>
        </is>
      </c>
      <c r="C19" s="3" t="inlineStr">
        <is>
          <t>Maxi Coffee Bar</t>
        </is>
      </c>
      <c r="D19" s="3" t="inlineStr">
        <is>
          <t>La Laja</t>
        </is>
      </c>
      <c r="E19" s="3" t="inlineStr">
        <is>
          <t>James Fernandez</t>
        </is>
      </c>
      <c r="F19" s="3" t="inlineStr">
        <is>
          <t>Cauca, Colombia</t>
        </is>
      </c>
      <c r="G19" s="3" t="inlineStr">
        <is>
          <t>Sudan Rume</t>
        </is>
      </c>
      <c r="H19" s="3" t="inlineStr">
        <is>
          <t>Washed</t>
        </is>
      </c>
      <c r="I19" s="3" t="inlineStr">
        <is>
          <t>Light</t>
        </is>
      </c>
      <c r="J19" s="3" t="inlineStr">
        <is>
          <t>Pour-over (Flat-Bottom)</t>
        </is>
      </c>
      <c r="K19" s="3" t="n">
        <v>15</v>
      </c>
      <c r="L19" s="3" t="n">
        <v>230</v>
      </c>
      <c r="M19" s="3" t="inlineStr">
        <is>
          <t>1:15.3</t>
        </is>
      </c>
      <c r="N19" s="3" t="inlineStr">
        <is>
          <t>90-92</t>
        </is>
      </c>
      <c r="O19" s="3" t="inlineStr">
        <is>
          <t>Unknown</t>
        </is>
      </c>
      <c r="P19" s="3" t="inlineStr">
        <is>
          <t>FM Grinder 120mm Flat Burr / Timemore Sculptor 078</t>
        </is>
      </c>
      <c r="Q19" s="5" t="n">
        <v>9</v>
      </c>
      <c r="R19" s="3" t="inlineStr">
        <is>
          <t>Raspberry; Nectarine; Floral</t>
        </is>
      </c>
      <c r="S19" s="3" t="inlineStr">
        <is>
          <t>Nectarine and raspberry extremely clear; barista sophistication superb; technical milestone.</t>
        </is>
      </c>
      <c r="T19" s="3" t="inlineStr">
        <is>
          <t>120mm flat burr geometry maximized uniform particle distribution; flat-bottom brewer enhanced sweetness while preserving Sudan Rume's rare genetic clarity.</t>
        </is>
      </c>
      <c r="U19" s="3" t="inlineStr">
        <is>
          <t>CBD lunch calibration</t>
        </is>
      </c>
      <c r="V19" s="3" t="inlineStr">
        <is>
          <t>Merged (Gemini + ChatGPT)</t>
        </is>
      </c>
      <c r="W19" s="4">
        <f>IF(OR(ISNUMBER(SEARCH("gesha",G19)),ISNUMBER(SEARCH("geisha",G19))),"⭐ GESHA","")</f>
        <v/>
      </c>
    </row>
    <row r="20">
      <c r="A20" s="53" t="n">
        <v>46113</v>
      </c>
      <c r="B20" s="3" t="inlineStr">
        <is>
          <t>Singapore</t>
        </is>
      </c>
      <c r="C20" s="3" t="inlineStr">
        <is>
          <t>Lume Café</t>
        </is>
      </c>
      <c r="D20" s="3" t="inlineStr">
        <is>
          <t>Corpachi Panama Geisha</t>
        </is>
      </c>
      <c r="E20" s="3" t="inlineStr">
        <is>
          <t>Corpachi</t>
        </is>
      </c>
      <c r="F20" s="3" t="inlineStr">
        <is>
          <t>Boquerón, Chiriquí, Panama</t>
        </is>
      </c>
      <c r="G20" s="3" t="inlineStr">
        <is>
          <t>Geisha</t>
        </is>
      </c>
      <c r="H20" s="3" t="inlineStr">
        <is>
          <t>Red Honey</t>
        </is>
      </c>
      <c r="I20" s="3" t="inlineStr">
        <is>
          <t>Filter Roast</t>
        </is>
      </c>
      <c r="J20" s="3" t="inlineStr">
        <is>
          <t>V60</t>
        </is>
      </c>
      <c r="K20" s="3" t="inlineStr">
        <is>
          <t>Unknown</t>
        </is>
      </c>
      <c r="L20" s="3" t="inlineStr">
        <is>
          <t>Unknown</t>
        </is>
      </c>
      <c r="M20" s="3" t="inlineStr">
        <is>
          <t>1:15</t>
        </is>
      </c>
      <c r="N20" s="3" t="inlineStr">
        <is>
          <t>90 + 70</t>
        </is>
      </c>
      <c r="O20" s="3" t="inlineStr">
        <is>
          <t>Unknown</t>
        </is>
      </c>
      <c r="P20" s="3" t="inlineStr">
        <is>
          <t>Mahlkönig EK43</t>
        </is>
      </c>
      <c r="Q20" s="5" t="n">
        <v>12</v>
      </c>
      <c r="R20" s="3" t="inlineStr">
        <is>
          <t>Mandarin Candy; Jasmine; Apricot</t>
        </is>
      </c>
      <c r="S20" s="3" t="inlineStr">
        <is>
          <t>Clearly perceived apricot and structured sweetness.</t>
        </is>
      </c>
      <c r="T20" s="3" t="inlineStr">
        <is>
          <t>Dual-temperature extraction balanced aromatics and body in honey-process Geisha; red honey partial mucilage retention amplified structured sweetness.</t>
        </is>
      </c>
      <c r="U20" s="3" t="inlineStr">
        <is>
          <t>Rainy CBD lunch calibration</t>
        </is>
      </c>
      <c r="V20" s="3" t="inlineStr">
        <is>
          <t>ChatGPT only</t>
        </is>
      </c>
      <c r="W20" s="4">
        <f>IF(OR(ISNUMBER(SEARCH("gesha",G20)),ISNUMBER(SEARCH("geisha",G20))),"⭐ GESHA","")</f>
        <v/>
      </c>
    </row>
    <row r="21">
      <c r="A21" s="53" t="n">
        <v>46117</v>
      </c>
      <c r="B21" s="3" t="inlineStr">
        <is>
          <t>Singapore</t>
        </is>
      </c>
      <c r="C21" s="3" t="inlineStr">
        <is>
          <t>Asylum Coffeehouse</t>
        </is>
      </c>
      <c r="D21" s="3" t="inlineStr">
        <is>
          <t>Castillo Watermelon (Jairo Arcila)</t>
        </is>
      </c>
      <c r="E21" s="3" t="inlineStr">
        <is>
          <t>Jairo Arcila</t>
        </is>
      </c>
      <c r="F21" s="3" t="inlineStr">
        <is>
          <t>Armenia, Quindío, Colombia</t>
        </is>
      </c>
      <c r="G21" s="3" t="inlineStr">
        <is>
          <t>Castillo</t>
        </is>
      </c>
      <c r="H21" s="3" t="inlineStr">
        <is>
          <t>Washed Co-Ferment (Watermelon Anaerobic)</t>
        </is>
      </c>
      <c r="I21" s="3" t="inlineStr">
        <is>
          <t>Unknown</t>
        </is>
      </c>
      <c r="J21" s="3" t="inlineStr">
        <is>
          <t>Pour-over (V60)</t>
        </is>
      </c>
      <c r="K21" s="3" t="n">
        <v>15</v>
      </c>
      <c r="L21" s="3" t="n">
        <v>225</v>
      </c>
      <c r="M21" s="3" t="inlineStr">
        <is>
          <t>1:15</t>
        </is>
      </c>
      <c r="N21" s="3" t="inlineStr">
        <is>
          <t>90 + 70</t>
        </is>
      </c>
      <c r="O21" s="3" t="inlineStr">
        <is>
          <t>Unknown</t>
        </is>
      </c>
      <c r="P21" s="3" t="inlineStr">
        <is>
          <t>Mahlkönig EK43</t>
        </is>
      </c>
      <c r="Q21" s="5" t="n">
        <v>12.5</v>
      </c>
      <c r="R21" s="3" t="inlineStr">
        <is>
          <t>Watermelon; Mint; Lime; Chocolate</t>
        </is>
      </c>
      <c r="S21" s="3" t="inlineStr">
        <is>
          <t>Distinct fruit-forward expression; sweetness layered rather than sharp; experimental but controlled.</t>
        </is>
      </c>
      <c r="T21" s="3" t="inlineStr">
        <is>
          <t>Watermelon co-fermentation enhanced volatile ester complexity; dual-temperature extraction preserved layered aromatic architecture.</t>
        </is>
      </c>
      <c r="U21" s="3" t="inlineStr">
        <is>
          <t>Father-daughter coffee session</t>
        </is>
      </c>
      <c r="V21" s="3" t="inlineStr">
        <is>
          <t>Merged (Gemini + ChatGPT)</t>
        </is>
      </c>
      <c r="W21" s="4">
        <f>IF(OR(ISNUMBER(SEARCH("gesha",G21)),ISNUMBER(SEARCH("geisha",G21))),"⭐ GESHA","")</f>
        <v/>
      </c>
    </row>
    <row r="22">
      <c r="A22" s="53" t="n">
        <v>46117</v>
      </c>
      <c r="B22" s="3" t="inlineStr">
        <is>
          <t>Singapore</t>
        </is>
      </c>
      <c r="C22" s="3" t="inlineStr">
        <is>
          <t>Asylum Coffeehouse</t>
        </is>
      </c>
      <c r="D22" s="3" t="inlineStr">
        <is>
          <t>Peru Gesha (Wilder Garcia)</t>
        </is>
      </c>
      <c r="E22" s="3" t="inlineStr">
        <is>
          <t>Wilder Garcia</t>
        </is>
      </c>
      <c r="F22" s="3" t="inlineStr">
        <is>
          <t>Jaén, Peru</t>
        </is>
      </c>
      <c r="G22" s="3" t="inlineStr">
        <is>
          <t>Gesha</t>
        </is>
      </c>
      <c r="H22" s="3" t="inlineStr">
        <is>
          <t>Washed</t>
        </is>
      </c>
      <c r="I22" s="3" t="inlineStr">
        <is>
          <t>Filter Roast</t>
        </is>
      </c>
      <c r="J22" s="3" t="inlineStr">
        <is>
          <t>Pour-over (V60)</t>
        </is>
      </c>
      <c r="K22" s="3" t="n">
        <v>15</v>
      </c>
      <c r="L22" s="3" t="n">
        <v>225</v>
      </c>
      <c r="M22" s="3" t="inlineStr">
        <is>
          <t>1:15</t>
        </is>
      </c>
      <c r="N22" s="3" t="inlineStr">
        <is>
          <t>90 + 70</t>
        </is>
      </c>
      <c r="O22" s="3" t="inlineStr">
        <is>
          <t>Unknown</t>
        </is>
      </c>
      <c r="P22" s="3" t="inlineStr">
        <is>
          <t>Mahlkönig EK43</t>
        </is>
      </c>
      <c r="Q22" s="5" t="n">
        <v>12.5</v>
      </c>
      <c r="R22" s="3" t="inlineStr">
        <is>
          <t>Jasmine; Caramel; Lime; Cacao Nibs</t>
        </is>
      </c>
      <c r="S22" s="3" t="inlineStr">
        <is>
          <t>Clean, structured, high-clarity cup; apricot-like sweetness and excellent structure.</t>
        </is>
      </c>
      <c r="T22" s="3" t="inlineStr">
        <is>
          <t>Dual-temperature extraction engineered aromatic separation and body control; Gesha genetics delivered intrinsic phenolic complexity with minimal processing interference.</t>
        </is>
      </c>
      <c r="U22" s="3" t="inlineStr">
        <is>
          <t>Father-daughter coffee session</t>
        </is>
      </c>
      <c r="V22" s="3" t="inlineStr">
        <is>
          <t>Merged (Gemini + ChatGPT)</t>
        </is>
      </c>
      <c r="W22" s="4">
        <f>IF(OR(ISNUMBER(SEARCH("gesha",G22)),ISNUMBER(SEARCH("geisha",G22))),"⭐ GESHA","")</f>
        <v/>
      </c>
    </row>
    <row r="23">
      <c r="A23" s="53" t="n">
        <v>46120</v>
      </c>
      <c r="B23" s="3" t="inlineStr">
        <is>
          <t>Singapore</t>
        </is>
      </c>
      <c r="C23" s="3" t="inlineStr">
        <is>
          <t>Maxi Coffee Bar</t>
        </is>
      </c>
      <c r="D23" s="3" t="inlineStr">
        <is>
          <t>La Villa #1</t>
        </is>
      </c>
      <c r="E23" s="3" t="inlineStr">
        <is>
          <t>Eduard Gaviria</t>
        </is>
      </c>
      <c r="F23" s="3" t="inlineStr">
        <is>
          <t>Huila, Colombia</t>
        </is>
      </c>
      <c r="G23" s="3" t="inlineStr">
        <is>
          <t>Papayo</t>
        </is>
      </c>
      <c r="H23" s="3" t="inlineStr">
        <is>
          <t>Natural</t>
        </is>
      </c>
      <c r="I23" s="3" t="inlineStr">
        <is>
          <t>Unknown</t>
        </is>
      </c>
      <c r="J23" s="3" t="inlineStr">
        <is>
          <t>Pour-over (Flat-Bottom)</t>
        </is>
      </c>
      <c r="K23" s="3" t="n">
        <v>15</v>
      </c>
      <c r="L23" s="3" t="n">
        <v>225</v>
      </c>
      <c r="M23" s="3" t="inlineStr">
        <is>
          <t>1:15</t>
        </is>
      </c>
      <c r="N23" s="3" t="inlineStr">
        <is>
          <t>Unknown</t>
        </is>
      </c>
      <c r="O23" s="3" t="inlineStr">
        <is>
          <t>Unknown</t>
        </is>
      </c>
      <c r="P23" s="3" t="inlineStr">
        <is>
          <t>Timemore Sculptor 078</t>
        </is>
      </c>
      <c r="Q23" s="5" t="n">
        <v>9</v>
      </c>
      <c r="R23" s="3" t="inlineStr">
        <is>
          <t>Stewed Forest Berries; Grape; Black Forest Cake</t>
        </is>
      </c>
      <c r="S23" s="3" t="inlineStr">
        <is>
          <t>Dense fruit profile with rounded sweetness.</t>
        </is>
      </c>
      <c r="T23" s="3" t="inlineStr">
        <is>
          <t>Flat-bottom geometry and tight 1:15 ratio emphasized body; Papayo varietal's high sugar content amplified by natural processing into rich fruit-cake profile.</t>
        </is>
      </c>
      <c r="U23" s="3" t="inlineStr">
        <is>
          <t>Lunch catch-up with Yichen</t>
        </is>
      </c>
      <c r="V23" s="3" t="inlineStr">
        <is>
          <t>ChatGPT only</t>
        </is>
      </c>
      <c r="W23" s="4">
        <f>IF(OR(ISNUMBER(SEARCH("gesha",G23)),ISNUMBER(SEARCH("geisha",G23))),"⭐ GESHA","")</f>
        <v/>
      </c>
    </row>
    <row r="24">
      <c r="A24" s="53" t="n">
        <v>46130</v>
      </c>
      <c r="B24" s="3" t="inlineStr">
        <is>
          <t>Johor Bahru</t>
        </is>
      </c>
      <c r="C24" s="3" t="inlineStr">
        <is>
          <t>Clod Coffee Bar &amp; Roasters</t>
        </is>
      </c>
      <c r="D24" s="3" t="inlineStr">
        <is>
          <t>Hacienda La Florida</t>
        </is>
      </c>
      <c r="E24" s="3" t="inlineStr">
        <is>
          <t>Unknown</t>
        </is>
      </c>
      <c r="F24" s="3" t="inlineStr">
        <is>
          <t>Unknown</t>
        </is>
      </c>
      <c r="G24" s="3" t="inlineStr">
        <is>
          <t>Typica Mejorado</t>
        </is>
      </c>
      <c r="H24" s="3" t="inlineStr">
        <is>
          <t>Anaerobic Washed</t>
        </is>
      </c>
      <c r="I24" s="3" t="inlineStr">
        <is>
          <t>Unknown</t>
        </is>
      </c>
      <c r="J24" s="3" t="inlineStr">
        <is>
          <t>Origami (Conical)</t>
        </is>
      </c>
      <c r="K24" s="3" t="n">
        <v>18</v>
      </c>
      <c r="L24" s="3" t="n">
        <v>277</v>
      </c>
      <c r="M24" s="3" t="inlineStr">
        <is>
          <t>1:15.4</t>
        </is>
      </c>
      <c r="N24" s="3" t="inlineStr">
        <is>
          <t>Unknown</t>
        </is>
      </c>
      <c r="O24" s="3" t="inlineStr">
        <is>
          <t>42g / 30s (1:2.3)</t>
        </is>
      </c>
      <c r="P24" s="3" t="inlineStr">
        <is>
          <t>Mahlkönig EK Omnia</t>
        </is>
      </c>
      <c r="Q24" s="5" t="n">
        <v>11.08</v>
      </c>
      <c r="R24" s="3" t="inlineStr">
        <is>
          <t>Lemon verbena; Red plum; Citronella; Hibiscus</t>
        </is>
      </c>
      <c r="S24" s="3" t="inlineStr">
        <is>
          <t>Excellent. Lime when hot, distinct plum as it cooled.</t>
        </is>
      </c>
      <c r="T24" s="3" t="inlineStr">
        <is>
          <t>EK Omnia precision grind and Origami conical drove extreme clarity; thermal phase shift perfectly isolated citric-to-malic acid transition (lime → plum).</t>
        </is>
      </c>
      <c r="U24" s="3" t="inlineStr">
        <is>
          <t>Unknown</t>
        </is>
      </c>
      <c r="V24" s="3" t="inlineStr">
        <is>
          <t>Gemini only</t>
        </is>
      </c>
      <c r="W24" s="4">
        <f>IF(OR(ISNUMBER(SEARCH("gesha",G24)),ISNUMBER(SEARCH("geisha",G24))),"⭐ GESHA","")</f>
        <v/>
      </c>
    </row>
    <row r="25">
      <c r="A25" s="53" t="n">
        <v>46136</v>
      </c>
      <c r="B25" s="3" t="inlineStr">
        <is>
          <t>Singapore</t>
        </is>
      </c>
      <c r="C25" s="3" t="inlineStr">
        <is>
          <t>Agora Coffee</t>
        </is>
      </c>
      <c r="D25" s="3" t="inlineStr">
        <is>
          <t>Brazil Santuário Sul</t>
        </is>
      </c>
      <c r="E25" s="3" t="inlineStr">
        <is>
          <t>Unknown</t>
        </is>
      </c>
      <c r="F25" s="3" t="inlineStr">
        <is>
          <t>Carmo de Minas, Brazil</t>
        </is>
      </c>
      <c r="G25" s="3" t="inlineStr">
        <is>
          <t>Unknown</t>
        </is>
      </c>
      <c r="H25" s="3" t="inlineStr">
        <is>
          <t>Natural Fermentation</t>
        </is>
      </c>
      <c r="I25" s="3" t="inlineStr">
        <is>
          <t>Light-Medium</t>
        </is>
      </c>
      <c r="J25" s="3" t="inlineStr">
        <is>
          <t>V60</t>
        </is>
      </c>
      <c r="K25" s="3" t="n">
        <v>16</v>
      </c>
      <c r="L25" s="3" t="n">
        <v>224</v>
      </c>
      <c r="M25" s="3" t="inlineStr">
        <is>
          <t>1:14</t>
        </is>
      </c>
      <c r="N25" s="3" t="inlineStr">
        <is>
          <t>95</t>
        </is>
      </c>
      <c r="O25" s="3" t="inlineStr">
        <is>
          <t>Unknown</t>
        </is>
      </c>
      <c r="P25" s="3" t="inlineStr">
        <is>
          <t>Mahlkönig EK43</t>
        </is>
      </c>
      <c r="Q25" s="3" t="inlineStr">
        <is>
          <t>Unknown</t>
        </is>
      </c>
      <c r="R25" s="3" t="inlineStr">
        <is>
          <t>Blackcurrant; Black Cherry; Dark Chocolate</t>
        </is>
      </c>
      <c r="S25" s="3" t="inlineStr">
        <is>
          <t>Full body; prominent blackcurrant; clear chocolaty finish.</t>
        </is>
      </c>
      <c r="T25" s="3" t="inlineStr">
        <is>
          <t>Tight 1:14 ratio engineered maximum body; EK43 98mm burrs maintained clarity to keep fermented natural fruit clean and non-bitter.</t>
        </is>
      </c>
      <c r="U25" s="3" t="inlineStr">
        <is>
          <t>Midday specialty calibration</t>
        </is>
      </c>
      <c r="V25" s="3" t="inlineStr">
        <is>
          <t>Merged (Gemini + ChatGPT)</t>
        </is>
      </c>
      <c r="W25" s="4">
        <f>IF(OR(ISNUMBER(SEARCH("gesha",G25)),ISNUMBER(SEARCH("geisha",G25))),"⭐ GESHA","")</f>
        <v/>
      </c>
    </row>
    <row r="26">
      <c r="A26" s="53" t="n">
        <v>46148</v>
      </c>
      <c r="B26" s="3" t="inlineStr">
        <is>
          <t>Singapore</t>
        </is>
      </c>
      <c r="C26" s="3" t="inlineStr">
        <is>
          <t>Nylon Coffee Roasters</t>
        </is>
      </c>
      <c r="D26" s="3" t="inlineStr">
        <is>
          <t>Brazil FAF Organic</t>
        </is>
      </c>
      <c r="E26" s="3" t="inlineStr">
        <is>
          <t>Unknown</t>
        </is>
      </c>
      <c r="F26" s="3" t="inlineStr">
        <is>
          <t>Brazil</t>
        </is>
      </c>
      <c r="G26" s="3" t="inlineStr">
        <is>
          <t>Arara</t>
        </is>
      </c>
      <c r="H26" s="3" t="inlineStr">
        <is>
          <t>Natural</t>
        </is>
      </c>
      <c r="I26" s="3" t="inlineStr">
        <is>
          <t>Filter Roast</t>
        </is>
      </c>
      <c r="J26" s="3" t="inlineStr">
        <is>
          <t>xBloom (Flat-Bottom)</t>
        </is>
      </c>
      <c r="K26" s="3" t="inlineStr">
        <is>
          <t>Unknown</t>
        </is>
      </c>
      <c r="L26" s="3" t="inlineStr">
        <is>
          <t>Unknown</t>
        </is>
      </c>
      <c r="M26" s="3" t="inlineStr">
        <is>
          <t>1:17</t>
        </is>
      </c>
      <c r="N26" s="3" t="inlineStr">
        <is>
          <t>Unknown</t>
        </is>
      </c>
      <c r="O26" s="3" t="inlineStr">
        <is>
          <t>Unknown</t>
        </is>
      </c>
      <c r="P26" s="3" t="inlineStr">
        <is>
          <t>Mahlkönig EK Omnia</t>
        </is>
      </c>
      <c r="Q26" s="5" t="n">
        <v>7.5</v>
      </c>
      <c r="R26" s="3" t="inlineStr">
        <is>
          <t>Red Apple; Cherry; Raisin; Milk Chocolate</t>
        </is>
      </c>
      <c r="S26" s="3" t="inlineStr">
        <is>
          <t>Solid body with crisp green apple (malic) front, resolving into smooth milk chocolate finish.</t>
        </is>
      </c>
      <c r="T26" s="3" t="inlineStr">
        <is>
          <t>High-quality Arara natural processing yielded excellent structural body while maintaining crisp malic acidity; xBloom flat-bottom avoided heavy fermentation mud.</t>
        </is>
      </c>
      <c r="U26" s="3" t="inlineStr">
        <is>
          <t>Unknown</t>
        </is>
      </c>
      <c r="V26" s="3" t="inlineStr">
        <is>
          <t>Gemini only</t>
        </is>
      </c>
      <c r="W26" s="4">
        <f>IF(OR(ISNUMBER(SEARCH("gesha",G26)),ISNUMBER(SEARCH("geisha",G26))),"⭐ GESHA","")</f>
        <v/>
      </c>
    </row>
    <row r="27">
      <c r="A27" s="53" t="n">
        <v>46148</v>
      </c>
      <c r="B27" s="3" t="inlineStr">
        <is>
          <t>Singapore</t>
        </is>
      </c>
      <c r="C27" s="3" t="inlineStr">
        <is>
          <t>Nylon Coffee Roasters</t>
        </is>
      </c>
      <c r="D27" s="3" t="inlineStr">
        <is>
          <t>Brazil Serra dos Ciganos</t>
        </is>
      </c>
      <c r="E27" s="3" t="inlineStr">
        <is>
          <t>Unknown</t>
        </is>
      </c>
      <c r="F27" s="3" t="inlineStr">
        <is>
          <t>Brazil</t>
        </is>
      </c>
      <c r="G27" s="3" t="inlineStr">
        <is>
          <t>Catucai 24/137</t>
        </is>
      </c>
      <c r="H27" s="3" t="inlineStr">
        <is>
          <t>Natural</t>
        </is>
      </c>
      <c r="I27" s="3" t="inlineStr">
        <is>
          <t>Espresso Roast</t>
        </is>
      </c>
      <c r="J27" s="3" t="inlineStr">
        <is>
          <t>Flat White</t>
        </is>
      </c>
      <c r="K27" s="3" t="inlineStr">
        <is>
          <t>Unknown</t>
        </is>
      </c>
      <c r="L27" s="3" t="inlineStr">
        <is>
          <t>Unknown</t>
        </is>
      </c>
      <c r="M27" s="3" t="inlineStr">
        <is>
          <t>Unknown</t>
        </is>
      </c>
      <c r="N27" s="3" t="inlineStr">
        <is>
          <t>Unknown</t>
        </is>
      </c>
      <c r="O27" s="3" t="inlineStr">
        <is>
          <t>Unknown</t>
        </is>
      </c>
      <c r="P27" s="3" t="inlineStr">
        <is>
          <t>Unknown</t>
        </is>
      </c>
      <c r="Q27" s="3" t="inlineStr">
        <is>
          <t>Unknown</t>
        </is>
      </c>
      <c r="R27" s="3" t="inlineStr">
        <is>
          <t>Sultana; Dried Apricot; Praline; Roasted Hazelnut</t>
        </is>
      </c>
      <c r="S27" s="3" t="inlineStr">
        <is>
          <t>Good cup with pleasant lingering sweet aftertaste.</t>
        </is>
      </c>
      <c r="T27" s="3" t="inlineStr">
        <is>
          <t>Milk fats bound perfectly with natural processed espresso; Catucai 24/137 high-density bean structure created long, comforting finish.</t>
        </is>
      </c>
      <c r="U27" s="3" t="inlineStr">
        <is>
          <t>Unknown</t>
        </is>
      </c>
      <c r="V27" s="3" t="inlineStr">
        <is>
          <t>Gemini only</t>
        </is>
      </c>
      <c r="W27" s="4">
        <f>IF(OR(ISNUMBER(SEARCH("gesha",G27)),ISNUMBER(SEARCH("geisha",G27))),"⭐ GESHA","")</f>
        <v/>
      </c>
    </row>
    <row r="28">
      <c r="A28" s="53" t="n">
        <v>46149</v>
      </c>
      <c r="B28" s="3" t="inlineStr">
        <is>
          <t>Singapore</t>
        </is>
      </c>
      <c r="C28" s="3" t="inlineStr">
        <is>
          <t>Nylon Coffee Roasters</t>
        </is>
      </c>
      <c r="D28" s="3" t="inlineStr">
        <is>
          <t>Ethiopia Banko Gotiti</t>
        </is>
      </c>
      <c r="E28" s="3" t="inlineStr">
        <is>
          <t>Unknown</t>
        </is>
      </c>
      <c r="F28" s="3" t="inlineStr">
        <is>
          <t>Ethiopia</t>
        </is>
      </c>
      <c r="G28" s="3" t="inlineStr">
        <is>
          <t>Heirloom</t>
        </is>
      </c>
      <c r="H28" s="3" t="inlineStr">
        <is>
          <t>Washed</t>
        </is>
      </c>
      <c r="I28" s="3" t="inlineStr">
        <is>
          <t>Filter Roast</t>
        </is>
      </c>
      <c r="J28" s="3" t="inlineStr">
        <is>
          <t>xBloom (Flat-Bottom)</t>
        </is>
      </c>
      <c r="K28" s="3" t="inlineStr">
        <is>
          <t>Unknown</t>
        </is>
      </c>
      <c r="L28" s="3" t="inlineStr">
        <is>
          <t>Unknown</t>
        </is>
      </c>
      <c r="M28" s="3" t="inlineStr">
        <is>
          <t>1:17</t>
        </is>
      </c>
      <c r="N28" s="3" t="inlineStr">
        <is>
          <t>Unknown</t>
        </is>
      </c>
      <c r="O28" s="3" t="inlineStr">
        <is>
          <t>Unknown</t>
        </is>
      </c>
      <c r="P28" s="3" t="inlineStr">
        <is>
          <t>Mahlkönig EK Omnia</t>
        </is>
      </c>
      <c r="Q28" s="5" t="n">
        <v>8.5</v>
      </c>
      <c r="R28" s="3" t="inlineStr">
        <is>
          <t>Lemonade; Raspberry; Peach; Bergamot</t>
        </is>
      </c>
      <c r="S28" s="3" t="inlineStr">
        <is>
          <t>Lemon front, heavy melon mid-cup, fading into clean white tea finish.</t>
        </is>
      </c>
      <c r="T28" s="3" t="inlineStr">
        <is>
          <t>1:17 lean ratio isolated volatile citric acids; xBloom flat-bottom geometry stabilized mid-cup sugars before clean tannin-forward white tea finish.</t>
        </is>
      </c>
      <c r="U28" s="3" t="inlineStr">
        <is>
          <t>Unknown</t>
        </is>
      </c>
      <c r="V28" s="3" t="inlineStr">
        <is>
          <t>Gemini only</t>
        </is>
      </c>
      <c r="W28" s="4">
        <f>IF(OR(ISNUMBER(SEARCH("gesha",G28)),ISNUMBER(SEARCH("geisha",G28))),"⭐ GESHA","")</f>
        <v/>
      </c>
    </row>
    <row r="29">
      <c r="A29" s="53" t="n">
        <v>46149</v>
      </c>
      <c r="B29" s="3" t="inlineStr">
        <is>
          <t>Singapore</t>
        </is>
      </c>
      <c r="C29" s="3" t="inlineStr">
        <is>
          <t>Nylon Coffee Roasters</t>
        </is>
      </c>
      <c r="D29" s="3" t="inlineStr">
        <is>
          <t>Nicaragua Buena Vista</t>
        </is>
      </c>
      <c r="E29" s="3" t="inlineStr">
        <is>
          <t>Unknown</t>
        </is>
      </c>
      <c r="F29" s="3" t="inlineStr">
        <is>
          <t>Nicaragua</t>
        </is>
      </c>
      <c r="G29" s="3" t="inlineStr">
        <is>
          <t>Parainema</t>
        </is>
      </c>
      <c r="H29" s="3" t="inlineStr">
        <is>
          <t>Natural Anaerobic</t>
        </is>
      </c>
      <c r="I29" s="3" t="inlineStr">
        <is>
          <t>Espresso Roast</t>
        </is>
      </c>
      <c r="J29" s="3" t="inlineStr">
        <is>
          <t>Single Espresso</t>
        </is>
      </c>
      <c r="K29" s="3" t="inlineStr">
        <is>
          <t>Unknown</t>
        </is>
      </c>
      <c r="L29" s="3" t="inlineStr">
        <is>
          <t>Unknown</t>
        </is>
      </c>
      <c r="M29" s="3" t="inlineStr">
        <is>
          <t>~1:2</t>
        </is>
      </c>
      <c r="N29" s="3" t="inlineStr">
        <is>
          <t>Unknown</t>
        </is>
      </c>
      <c r="O29" s="3" t="inlineStr">
        <is>
          <t>Unknown</t>
        </is>
      </c>
      <c r="P29" s="3" t="inlineStr">
        <is>
          <t>Unknown</t>
        </is>
      </c>
      <c r="Q29" s="3" t="inlineStr">
        <is>
          <t>Unknown</t>
        </is>
      </c>
      <c r="R29" s="3" t="inlineStr">
        <is>
          <t>Chiku; Stewed Cherry; Dried Apricot; Brazil Nut</t>
        </is>
      </c>
      <c r="S29" s="3" t="inlineStr">
        <is>
          <t>Thick, syrupy body. Highly fermented, savory/not sweet, very long lingering finish.</t>
        </is>
      </c>
      <c r="T29" s="3" t="inlineStr">
        <is>
          <t>Anaerobic fermentation metabolized sugars into complex savory esters; 9-bar pressure emulsification drove heavy oil-based viscosity and extended aftertaste.</t>
        </is>
      </c>
      <c r="U29" s="3" t="inlineStr">
        <is>
          <t>Unknown</t>
        </is>
      </c>
      <c r="V29" s="3" t="inlineStr">
        <is>
          <t>Gemini only</t>
        </is>
      </c>
      <c r="W29" s="4">
        <f>IF(OR(ISNUMBER(SEARCH("gesha",G29)),ISNUMBER(SEARCH("geisha",G29))),"⭐ GESHA","")</f>
        <v/>
      </c>
    </row>
    <row r="30">
      <c r="A30" s="53" t="n">
        <v>46150</v>
      </c>
      <c r="B30" s="3" t="inlineStr">
        <is>
          <t>Singapore</t>
        </is>
      </c>
      <c r="C30" s="3" t="inlineStr">
        <is>
          <t>Alchemist (Raffles Place)</t>
        </is>
      </c>
      <c r="D30" s="3" t="inlineStr">
        <is>
          <t>El Morito</t>
        </is>
      </c>
      <c r="E30" s="3" t="inlineStr">
        <is>
          <t>Unknown</t>
        </is>
      </c>
      <c r="F30" s="3" t="inlineStr">
        <is>
          <t>Colombia</t>
        </is>
      </c>
      <c r="G30" s="3" t="inlineStr">
        <is>
          <t>Marshell</t>
        </is>
      </c>
      <c r="H30" s="3" t="inlineStr">
        <is>
          <t>Washed</t>
        </is>
      </c>
      <c r="I30" s="3" t="inlineStr">
        <is>
          <t>Filter Roast</t>
        </is>
      </c>
      <c r="J30" s="3" t="inlineStr">
        <is>
          <t>V60 Pour-over (Conical)</t>
        </is>
      </c>
      <c r="K30" s="3" t="n">
        <v>15</v>
      </c>
      <c r="L30" s="3" t="n">
        <v>240</v>
      </c>
      <c r="M30" s="3" t="inlineStr">
        <is>
          <t>1:16</t>
        </is>
      </c>
      <c r="N30" s="3" t="inlineStr">
        <is>
          <t>Unknown</t>
        </is>
      </c>
      <c r="O30" s="3" t="inlineStr">
        <is>
          <t>Unknown</t>
        </is>
      </c>
      <c r="P30" s="3" t="inlineStr">
        <is>
          <t>Mahlkönig EK43S (98mm Flat Burr)</t>
        </is>
      </c>
      <c r="Q30" s="3" t="inlineStr">
        <is>
          <t>Unknown</t>
        </is>
      </c>
      <c r="R30" s="3" t="inlineStr">
        <is>
          <t>Yellow Plum; Orange; Cane Sugar</t>
        </is>
      </c>
      <c r="S30" s="3" t="inlineStr">
        <is>
          <t>Simultaneous citric-malic acid overlap with integrated cane sugar — smooth and refreshing with excellent mid-palate juiciness. Confirmed: I love this bean.</t>
        </is>
      </c>
      <c r="T30" s="3" t="inlineStr">
        <is>
          <t>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is>
      </c>
      <c r="U30" s="3" t="inlineStr">
        <is>
          <t>Solo visit — Alchemist Raffles Place</t>
        </is>
      </c>
      <c r="V30" s="3" t="inlineStr">
        <is>
          <t>Master CSV (hari_coffee_audit_master_2026)</t>
        </is>
      </c>
      <c r="W30" s="4">
        <f>IF(OR(ISNUMBER(SEARCH("gesha",G30)),ISNUMBER(SEARCH("geisha",G30))),"⭐ GESHA","")</f>
        <v/>
      </c>
    </row>
    <row r="31">
      <c r="A31" s="53" t="n">
        <v>46154</v>
      </c>
      <c r="B31" s="3" t="inlineStr">
        <is>
          <t>Singapore</t>
        </is>
      </c>
      <c r="C31" s="3" t="inlineStr">
        <is>
          <t>Kurasu</t>
        </is>
      </c>
      <c r="D31" s="3" t="inlineStr">
        <is>
          <t>Indonesia Frinsa Estate</t>
        </is>
      </c>
      <c r="E31" s="3" t="inlineStr">
        <is>
          <t>Frinsa Estate</t>
        </is>
      </c>
      <c r="F31" s="3" t="inlineStr">
        <is>
          <t>West Java, Indonesia</t>
        </is>
      </c>
      <c r="G31" s="3" t="inlineStr">
        <is>
          <t>Local Varietals</t>
        </is>
      </c>
      <c r="H31" s="3" t="inlineStr">
        <is>
          <t>Extended Fermentation Honey</t>
        </is>
      </c>
      <c r="I31" s="3" t="inlineStr">
        <is>
          <t>Light</t>
        </is>
      </c>
      <c r="J31" s="3" t="inlineStr">
        <is>
          <t>Pour-over (Hario Alpha — Flat-Bottom)</t>
        </is>
      </c>
      <c r="K31" s="3" t="n">
        <v>15</v>
      </c>
      <c r="L31" s="3" t="n">
        <v>225</v>
      </c>
      <c r="M31" s="3" t="inlineStr">
        <is>
          <t>1:16</t>
        </is>
      </c>
      <c r="N31" s="3" t="inlineStr">
        <is>
          <t>80 → 95 → 80</t>
        </is>
      </c>
      <c r="O31" s="3" t="inlineStr">
        <is>
          <t>Unknown</t>
        </is>
      </c>
      <c r="P31" s="3" t="inlineStr">
        <is>
          <t>Mahlkönig EK43S (98mm Flat Burr)</t>
        </is>
      </c>
      <c r="Q31" s="5" t="n">
        <v>9.5</v>
      </c>
      <c r="R31" s="3" t="inlineStr">
        <is>
          <t>Floral aroma; Stewed Strawberries; Grapefruit; Brown Sugar; Black Tea</t>
        </is>
      </c>
      <c r="S31" s="3" t="inlineStr">
        <is>
          <t>Floral taste with a sweet coating on the tongue that gradually sticks and fades off cleanly — sugar and tea aftertaste. Well-executed Indonesian honey with unusual clarity for the origin.</t>
        </is>
      </c>
      <c r="T31" s="3" t="inlineStr">
        <is>
          <t>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is>
      </c>
      <c r="U31" s="3" t="inlineStr">
        <is>
          <t>Solo visit — Kurasu Singapore</t>
        </is>
      </c>
      <c r="V31" s="3" t="inlineStr">
        <is>
          <t>Master CSV (hari_coffee_audit_master_2026)</t>
        </is>
      </c>
      <c r="W31" s="4">
        <f>IF(OR(ISNUMBER(SEARCH("gesha",G31)),ISNUMBER(SEARCH("geisha",G31))),"⭐ GESHA","")</f>
        <v/>
      </c>
    </row>
    <row r="32">
      <c r="A32" s="53" t="n">
        <v>46155</v>
      </c>
      <c r="B32" s="3" t="inlineStr">
        <is>
          <t>Singapore</t>
        </is>
      </c>
      <c r="C32" s="3" t="inlineStr">
        <is>
          <t>The Community Coffee (Hamilton)</t>
        </is>
      </c>
      <c r="D32" s="3" t="inlineStr">
        <is>
          <t>Jose Mancia Honduras</t>
        </is>
      </c>
      <c r="E32" s="3" t="inlineStr">
        <is>
          <t>Jose Mancia</t>
        </is>
      </c>
      <c r="F32" s="3" t="inlineStr">
        <is>
          <t>Honduras</t>
        </is>
      </c>
      <c r="G32" s="3" t="inlineStr">
        <is>
          <t>Typica</t>
        </is>
      </c>
      <c r="H32" s="3" t="inlineStr">
        <is>
          <t>Natural</t>
        </is>
      </c>
      <c r="I32" s="3" t="inlineStr">
        <is>
          <t>Filter Roast</t>
        </is>
      </c>
      <c r="J32" s="3" t="inlineStr">
        <is>
          <t>Pour-over (Hario Switch — Immersion/Percolation)</t>
        </is>
      </c>
      <c r="K32" s="3" t="n">
        <v>15</v>
      </c>
      <c r="L32" s="3" t="n">
        <v>255</v>
      </c>
      <c r="M32" s="3" t="inlineStr">
        <is>
          <t>1:17</t>
        </is>
      </c>
      <c r="N32" s="3" t="inlineStr">
        <is>
          <t>Unknown</t>
        </is>
      </c>
      <c r="O32" s="3" t="inlineStr">
        <is>
          <t>Unknown</t>
        </is>
      </c>
      <c r="P32" s="3" t="inlineStr">
        <is>
          <t>Mahlkönig EK43 (98mm Flat Burr)</t>
        </is>
      </c>
      <c r="Q32" s="5" t="n">
        <v>9</v>
      </c>
      <c r="R32" s="3" t="inlineStr">
        <is>
          <t>Kiwi; Oolong Tea; Chocolate Truffle</t>
        </is>
      </c>
      <c r="S32" s="3" t="inlineStr">
        <is>
          <t>Pretty good. Kiwi and oolong tea style — full bodied. Short finish with slight hints of chocolate. Clean and approachable natural without heavy fermentation noise.</t>
        </is>
      </c>
      <c r="T32" s="3" t="inlineStr">
        <is>
          <t>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is>
      </c>
      <c r="U32" s="3" t="inlineStr">
        <is>
          <t>Solo visit — The Community Coffee Hamilton</t>
        </is>
      </c>
      <c r="V32" s="3" t="inlineStr">
        <is>
          <t>Master CSV (hari_coffee_audit_master_2026)</t>
        </is>
      </c>
      <c r="W32" s="4">
        <f>IF(OR(ISNUMBER(SEARCH("gesha",G32)),ISNUMBER(SEARCH("geisha",G32))),"⭐ GESHA","")</f>
        <v/>
      </c>
    </row>
    <row r="33">
      <c r="A33" s="53" t="n">
        <v>46157</v>
      </c>
      <c r="B33" s="3" t="inlineStr">
        <is>
          <t>Singapore</t>
        </is>
      </c>
      <c r="C33" s="3" t="inlineStr">
        <is>
          <t>Alchemist (Ocean Financial Centre)</t>
        </is>
      </c>
      <c r="D33" s="3" t="inlineStr">
        <is>
          <t>Ijen Laurina</t>
        </is>
      </c>
      <c r="E33" s="3" t="inlineStr">
        <is>
          <t>Ijen Plateau</t>
        </is>
      </c>
      <c r="F33" s="3" t="inlineStr">
        <is>
          <t>East Java, Indonesia</t>
        </is>
      </c>
      <c r="G33" s="3" t="inlineStr">
        <is>
          <t>Hybrid Laurina</t>
        </is>
      </c>
      <c r="H33" s="3" t="inlineStr">
        <is>
          <t>Anaerobic Natural</t>
        </is>
      </c>
      <c r="I33" s="3" t="inlineStr">
        <is>
          <t>Light</t>
        </is>
      </c>
      <c r="J33" s="3" t="inlineStr">
        <is>
          <t>V60 Pour-over (Conical)</t>
        </is>
      </c>
      <c r="K33" s="3" t="n">
        <v>15</v>
      </c>
      <c r="L33" s="3" t="n">
        <v>240</v>
      </c>
      <c r="M33" s="3" t="inlineStr">
        <is>
          <t>1:16</t>
        </is>
      </c>
      <c r="N33" s="3" t="inlineStr">
        <is>
          <t>90</t>
        </is>
      </c>
      <c r="O33" s="3" t="inlineStr">
        <is>
          <t>Unknown</t>
        </is>
      </c>
      <c r="P33" s="3" t="inlineStr">
        <is>
          <t>Mahlkönig EK43S (98mm Flat Burr)</t>
        </is>
      </c>
      <c r="Q33" s="5" t="n">
        <v>8.5</v>
      </c>
      <c r="R33" s="3" t="inlineStr">
        <is>
          <t>Hibiscus; Red Apple; Hawthorn</t>
        </is>
      </c>
      <c r="S33" s="3" t="inlineStr">
        <is>
          <t>Felt hibiscus hot. Mid temp showed apple paste. Cooled to a honeyed character. Full bodied. Textbook style flavours — definitely a good one. Clean progressive thermal arc.</t>
        </is>
      </c>
      <c r="T33" s="3" t="inlineStr">
        <is>
          <t>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is>
      </c>
      <c r="U33" s="3" t="inlineStr">
        <is>
          <t>Solo visit — Alchemist Ocean Financial Centre</t>
        </is>
      </c>
      <c r="V33" s="3" t="inlineStr">
        <is>
          <t>Master CSV (hari_coffee_audit_master_2026)</t>
        </is>
      </c>
      <c r="W33" s="4">
        <f>IF(OR(ISNUMBER(SEARCH("gesha",G33)),ISNUMBER(SEARCH("geisha",G33))),"⭐ GESHA","")</f>
        <v/>
      </c>
    </row>
    <row r="34">
      <c r="A34" s="53" t="n">
        <v>46158</v>
      </c>
      <c r="B34" s="3" t="inlineStr">
        <is>
          <t>Singapore</t>
        </is>
      </c>
      <c r="C34" s="3" t="inlineStr">
        <is>
          <t>Fluid Collective</t>
        </is>
      </c>
      <c r="D34" s="3" t="inlineStr">
        <is>
          <t>El Obraje</t>
        </is>
      </c>
      <c r="E34" s="3" t="inlineStr">
        <is>
          <t>El Obraje</t>
        </is>
      </c>
      <c r="F34" s="3" t="inlineStr">
        <is>
          <t>Huila, Colombia</t>
        </is>
      </c>
      <c r="G34" s="3" t="inlineStr">
        <is>
          <t>Gesha</t>
        </is>
      </c>
      <c r="H34" s="3" t="inlineStr">
        <is>
          <t>Washed</t>
        </is>
      </c>
      <c r="I34" s="3" t="inlineStr">
        <is>
          <t>Light</t>
        </is>
      </c>
      <c r="J34" s="3" t="inlineStr">
        <is>
          <t>Flatbed Dripper (Flat-Bottom)</t>
        </is>
      </c>
      <c r="K34" s="3" t="n">
        <v>15</v>
      </c>
      <c r="L34" s="3" t="n">
        <v>230</v>
      </c>
      <c r="M34" s="3" t="inlineStr">
        <is>
          <t>1:15.3</t>
        </is>
      </c>
      <c r="N34" s="3" t="inlineStr">
        <is>
          <t>92</t>
        </is>
      </c>
      <c r="O34" s="3" t="inlineStr">
        <is>
          <t>Unknown</t>
        </is>
      </c>
      <c r="P34" s="3" t="inlineStr">
        <is>
          <t>Option-O Lagom P64 (64mm Flat Burr)</t>
        </is>
      </c>
      <c r="Q34" s="5" t="n">
        <v>14</v>
      </c>
      <c r="R34" s="3" t="inlineStr">
        <is>
          <t>Mango; Orange Blossom; Nectarine; Honey</t>
        </is>
      </c>
      <c r="S34" s="3" t="inlineStr">
        <is>
          <t>Damn the taste so nice — the orange nectarine finishing with that honey is terrific. Love this one. So far my favourite. Honey sweetness lingers and taste changes as temperature cools. Best Gesha washed in archive at time of logging.</t>
        </is>
      </c>
      <c r="T34" s="3" t="inlineStr">
        <is>
          <t>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is>
      </c>
      <c r="U34" s="3" t="inlineStr">
        <is>
          <t>Solo visit — FLUID Singapore</t>
        </is>
      </c>
      <c r="V34" s="3" t="inlineStr">
        <is>
          <t>Master CSV (hari_coffee_audit_master_2026)</t>
        </is>
      </c>
      <c r="W34" s="4">
        <f>IF(OR(ISNUMBER(SEARCH("gesha",G34)),ISNUMBER(SEARCH("geisha",G34))),"⭐ GESHA","")</f>
        <v/>
      </c>
    </row>
    <row r="35">
      <c r="A35" s="53" t="n">
        <v>46161</v>
      </c>
      <c r="B35" s="3" t="inlineStr">
        <is>
          <t>Singapore</t>
        </is>
      </c>
      <c r="C35" s="3" t="inlineStr">
        <is>
          <t>Pocket by Flip (Flip Coffee Roasters)</t>
        </is>
      </c>
      <c r="D35" s="3" t="inlineStr">
        <is>
          <t>Ecuador La Papaya</t>
        </is>
      </c>
      <c r="E35" s="3" t="inlineStr">
        <is>
          <t>La Papaya Farm</t>
        </is>
      </c>
      <c r="F35" s="3" t="inlineStr">
        <is>
          <t>Loja, Ecuador</t>
        </is>
      </c>
      <c r="G35" s="3" t="inlineStr">
        <is>
          <t>Geisha</t>
        </is>
      </c>
      <c r="H35" s="3" t="inlineStr">
        <is>
          <t>Washed</t>
        </is>
      </c>
      <c r="I35" s="3" t="inlineStr">
        <is>
          <t>Light</t>
        </is>
      </c>
      <c r="J35" s="3" t="inlineStr">
        <is>
          <t>Filter Hot — Flat-Bottom (Hario Alpha)</t>
        </is>
      </c>
      <c r="K35" s="3" t="n">
        <v>15</v>
      </c>
      <c r="L35" s="3" t="n">
        <v>225</v>
      </c>
      <c r="M35" s="3" t="inlineStr">
        <is>
          <t>1:15</t>
        </is>
      </c>
      <c r="N35" s="3" t="inlineStr">
        <is>
          <t>92 → 75 → 92</t>
        </is>
      </c>
      <c r="O35" s="3" t="inlineStr">
        <is>
          <t>Unknown</t>
        </is>
      </c>
      <c r="P35" s="3" t="inlineStr">
        <is>
          <t>Mahlkönig CORE (54mm Flat Burr)</t>
        </is>
      </c>
      <c r="Q35" s="5" t="n">
        <v>18</v>
      </c>
      <c r="R35" s="3" t="inlineStr">
        <is>
          <t>Fresh Apricot; Rooibos; Lemon Thyme; Toffee Apple</t>
        </is>
      </c>
      <c r="S35" s="3" t="inlineStr">
        <is>
          <t>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is>
      </c>
      <c r="T35" s="3" t="inlineStr">
        <is>
          <t>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is>
      </c>
      <c r="U35" s="3" t="inlineStr">
        <is>
          <t>Solo visit — Pocket by Flip, 30 Stevens Road</t>
        </is>
      </c>
      <c r="V35" s="3" t="inlineStr">
        <is>
          <t>Master CSV (hari_coffee_audit_master_2026)</t>
        </is>
      </c>
      <c r="W35" s="4">
        <f>IF(OR(ISNUMBER(SEARCH("gesha",G35)),ISNUMBER(SEARCH("geisha",G35))),"⭐ GESHA","")</f>
        <v/>
      </c>
    </row>
    <row r="36">
      <c r="A36" s="53" t="n">
        <v>46168</v>
      </c>
      <c r="B36" s="3" t="inlineStr">
        <is>
          <t>Singapore</t>
        </is>
      </c>
      <c r="C36" s="3" t="inlineStr">
        <is>
          <t>Zerah Roasters</t>
        </is>
      </c>
      <c r="D36" s="3" t="inlineStr">
        <is>
          <t>El Diviso — Caturra Chiroso (Ester Bomb)</t>
        </is>
      </c>
      <c r="E36" s="3" t="inlineStr">
        <is>
          <t>El Diviso Farm</t>
        </is>
      </c>
      <c r="F36" s="3" t="inlineStr">
        <is>
          <t>Huila, Colombia</t>
        </is>
      </c>
      <c r="G36" s="3" t="inlineStr">
        <is>
          <t>Caturra Chiroso</t>
        </is>
      </c>
      <c r="H36" s="3" t="inlineStr">
        <is>
          <t>Yeast Anaerobic Natural</t>
        </is>
      </c>
      <c r="I36" s="3" t="inlineStr">
        <is>
          <t>Filter Roast</t>
        </is>
      </c>
      <c r="J36" s="3" t="inlineStr">
        <is>
          <t>Flat-Bottom Dripper</t>
        </is>
      </c>
      <c r="K36" s="3" t="n">
        <v>15</v>
      </c>
      <c r="L36" s="3" t="n">
        <v>240</v>
      </c>
      <c r="M36" s="3" t="inlineStr">
        <is>
          <t>1:16</t>
        </is>
      </c>
      <c r="N36" s="3" t="inlineStr">
        <is>
          <t>92</t>
        </is>
      </c>
      <c r="O36" s="3" t="inlineStr">
        <is>
          <t>38g / Unknown seconds</t>
        </is>
      </c>
      <c r="P36" s="3" t="inlineStr">
        <is>
          <t>DF64 Gen 2 (64mm Flat Burr — aftermarket upgrade)</t>
        </is>
      </c>
      <c r="Q36" s="5" t="n">
        <v>12</v>
      </c>
      <c r="R36" s="3" t="inlineStr">
        <is>
          <t>Passionfruit; Plum Wine; Mango</t>
        </is>
      </c>
      <c r="S36" s="3" t="inlineStr">
        <is>
          <t>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is>
      </c>
      <c r="T36" s="3" t="inlineStr">
        <is>
          <t>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is>
      </c>
      <c r="U36" s="3" t="inlineStr">
        <is>
          <t>Solo visit — Zerah Roasters, Singapore, 26 May 2026. Barista explained fermentation process, flat-bottom geometry rationale, 1:16 ratio decision in detail. Warm educational session on 2nd floor cosy space. Barista recommended Glyph Supply Co (Jurong).</t>
        </is>
      </c>
      <c r="V36" s="3" t="inlineStr">
        <is>
          <t>Infographic (Entry #025 Ester Bomb) + Google Maps review + Google review authored by Hari</t>
        </is>
      </c>
      <c r="W36" s="4">
        <f>IF(OR(ISNUMBER(SEARCH("gesha",G36)),ISNUMBER(SEARCH("geisha",G36))),"⭐ GESHA","")</f>
        <v/>
      </c>
    </row>
    <row r="37">
      <c r="A37" s="53" t="n">
        <v>46183</v>
      </c>
      <c r="B37" s="3" t="inlineStr">
        <is>
          <t>Singapore</t>
        </is>
      </c>
      <c r="C37" s="3" t="inlineStr">
        <is>
          <t>Nylon Coffee Roasters</t>
        </is>
      </c>
      <c r="D37" s="3" t="inlineStr">
        <is>
          <t>Colombia Juan Martin</t>
        </is>
      </c>
      <c r="E37" s="3" t="inlineStr">
        <is>
          <t>Banexport</t>
        </is>
      </c>
      <c r="F37" s="3" t="inlineStr">
        <is>
          <t>Colombia</t>
        </is>
      </c>
      <c r="G37" s="3" t="inlineStr">
        <is>
          <t>Red Striped Bourbon</t>
        </is>
      </c>
      <c r="H37" s="3" t="inlineStr">
        <is>
          <t>Washed</t>
        </is>
      </c>
      <c r="I37" s="3" t="inlineStr">
        <is>
          <t>Filter Roast</t>
        </is>
      </c>
      <c r="J37" s="3" t="inlineStr">
        <is>
          <t>xBloom (Flat-Bottom)</t>
        </is>
      </c>
      <c r="K37" s="3" t="inlineStr">
        <is>
          <t>Unknown</t>
        </is>
      </c>
      <c r="L37" s="3" t="inlineStr">
        <is>
          <t>Unknown</t>
        </is>
      </c>
      <c r="M37" s="3" t="inlineStr">
        <is>
          <t>1:17</t>
        </is>
      </c>
      <c r="N37" s="3" t="inlineStr">
        <is>
          <t>Unknown</t>
        </is>
      </c>
      <c r="O37" s="3" t="inlineStr">
        <is>
          <t>Unknown</t>
        </is>
      </c>
      <c r="P37" s="3" t="inlineStr">
        <is>
          <t>Mahlkönig EK Omnia (98mm Flat Burr)</t>
        </is>
      </c>
      <c r="Q37" s="5" t="n">
        <v>7.5</v>
      </c>
      <c r="R37" s="3" t="inlineStr">
        <is>
          <t>Berry, Red Plum, Nectarine, Orange Tea</t>
        </is>
      </c>
      <c r="S37" s="3" t="inlineStr">
        <is>
          <t>Orange-type aromatic afterfeel when hot — bright and encapsulating. Clearly fruity character throughout. Mellows cleanly as it cools; sugars emerge distinctly at mid-cool phase. Nice and light overall — 1:17 lean ratio working well on this varietal.</t>
        </is>
      </c>
      <c r="T37" s="3" t="inlineStr">
        <is>
          <t>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is>
      </c>
      <c r="U37" s="3" t="inlineStr">
        <is>
          <t>Solo visit — office lunch break, 13:15</t>
        </is>
      </c>
      <c r="V37" s="3" t="inlineStr">
        <is>
          <t>Direct observation + bag photo (retail stock)</t>
        </is>
      </c>
      <c r="W37" s="4">
        <f>IF(OR(ISNUMBER(SEARCH("gesha",G37)),ISNUMBER(SEARCH("geisha",G37))),"⭐ GESHA","")</f>
        <v/>
      </c>
    </row>
    <row r="38">
      <c r="A38" s="53" t="n">
        <v>46186</v>
      </c>
      <c r="B38" s="3" t="inlineStr">
        <is>
          <t>Singapore</t>
        </is>
      </c>
      <c r="C38" s="3" t="inlineStr">
        <is>
          <t>Kurasu</t>
        </is>
      </c>
      <c r="D38" s="3" t="inlineStr">
        <is>
          <t>Rwanda Nkara Soil Project Lot 1204</t>
        </is>
      </c>
      <c r="E38" s="3" t="inlineStr">
        <is>
          <t>Nkara Soil Project</t>
        </is>
      </c>
      <c r="F38" s="3" t="inlineStr">
        <is>
          <t>Rwanda</t>
        </is>
      </c>
      <c r="G38" s="3" t="inlineStr">
        <is>
          <t>Red Bourbon</t>
        </is>
      </c>
      <c r="H38" s="3" t="inlineStr">
        <is>
          <t>Fully Washed</t>
        </is>
      </c>
      <c r="I38" s="3" t="inlineStr">
        <is>
          <t>Filter Roast</t>
        </is>
      </c>
      <c r="J38" s="3" t="inlineStr">
        <is>
          <t>V60 Pour-over (Conical)</t>
        </is>
      </c>
      <c r="K38" s="3" t="inlineStr">
        <is>
          <t>Unknown</t>
        </is>
      </c>
      <c r="L38" s="3" t="inlineStr">
        <is>
          <t>Unknown</t>
        </is>
      </c>
      <c r="M38" s="3" t="inlineStr">
        <is>
          <t>Unknown</t>
        </is>
      </c>
      <c r="N38" s="3" t="inlineStr">
        <is>
          <t>Unknown</t>
        </is>
      </c>
      <c r="O38" s="3" t="inlineStr">
        <is>
          <t>Unknown</t>
        </is>
      </c>
      <c r="P38" s="3" t="inlineStr">
        <is>
          <t>Mahlkönig EK43 (98mm Flat Burr)</t>
        </is>
      </c>
      <c r="Q38" s="5" t="n">
        <v>9.27</v>
      </c>
      <c r="R38" s="3" t="inlineStr">
        <is>
          <t>Floral aroma, taste of mandarin orange, baked apple and grapefruit, brown sugar-like sweetness and accompanying aftertaste</t>
        </is>
      </c>
      <c r="S38" s="3" t="inlineStr">
        <is>
          <t>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is>
      </c>
      <c r="T38" s="3" t="inlineStr">
        <is>
          <t>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is>
      </c>
      <c r="U38" s="3" t="inlineStr">
        <is>
          <t>Solo visit — 13 Jun 2026</t>
        </is>
      </c>
      <c r="V38" s="3" t="inlineStr">
        <is>
          <t>Direct observation + bean card photo</t>
        </is>
      </c>
      <c r="W38" s="4">
        <f>IF(OR(ISNUMBER(SEARCH("gesha",G38)),ISNUMBER(SEARCH("geisha",G38))),"⭐ GESHA","")</f>
        <v/>
      </c>
    </row>
    <row r="39">
      <c r="A39" s="53" t="n">
        <v>46187</v>
      </c>
      <c r="B39" s="3" t="inlineStr">
        <is>
          <t>Singapore</t>
        </is>
      </c>
      <c r="C39" s="3" t="inlineStr">
        <is>
          <t>Keryi Coffee</t>
        </is>
      </c>
      <c r="D39" s="3" t="inlineStr">
        <is>
          <t>Colombia Finca La Esmaralda</t>
        </is>
      </c>
      <c r="E39" s="3" t="inlineStr">
        <is>
          <t>Finca La Esmaralda</t>
        </is>
      </c>
      <c r="F39" s="3" t="inlineStr">
        <is>
          <t>Colombia</t>
        </is>
      </c>
      <c r="G39" s="3" t="inlineStr">
        <is>
          <t>Gesha</t>
        </is>
      </c>
      <c r="H39" s="3" t="inlineStr">
        <is>
          <t>Honey</t>
        </is>
      </c>
      <c r="I39" s="3" t="inlineStr">
        <is>
          <t>Light Roast</t>
        </is>
      </c>
      <c r="J39" s="3" t="inlineStr">
        <is>
          <t>Hario Switch (Immersion/Percolation Hybrid)</t>
        </is>
      </c>
      <c r="K39" s="3" t="n">
        <v>15</v>
      </c>
      <c r="L39" s="3" t="n">
        <v>210</v>
      </c>
      <c r="M39" s="3" t="inlineStr">
        <is>
          <t>1:14</t>
        </is>
      </c>
      <c r="N39" s="3" t="inlineStr">
        <is>
          <t>91 → 78</t>
        </is>
      </c>
      <c r="O39" s="3" t="inlineStr">
        <is>
          <t>60g (~4:1)</t>
        </is>
      </c>
      <c r="P39" s="3" t="inlineStr">
        <is>
          <t>Ditting 98mm flat burr</t>
        </is>
      </c>
      <c r="Q39" s="5" t="n">
        <v>15</v>
      </c>
      <c r="R39" s="3" t="inlineStr">
        <is>
          <t>Citrus, white florals, lychee, sugar-cane sweetness</t>
        </is>
      </c>
      <c r="S39" s="3" t="inlineStr">
        <is>
          <t>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is>
      </c>
      <c r="T39" s="3" t="inlineStr">
        <is>
          <t>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is>
      </c>
      <c r="U39" s="3" t="inlineStr">
        <is>
          <t>Solo relaxation visit — Sunday 14 Jun 2026, 11 AM; barista-led brew interview (grinder/ratio/temp confirmed)</t>
        </is>
      </c>
      <c r="V39" s="3" t="inlineStr">
        <is>
          <t>Direct observation + menu photo + barista interview</t>
        </is>
      </c>
      <c r="W39" s="4">
        <f>IF(OR(ISNUMBER(SEARCH("gesha",G39)),ISNUMBER(SEARCH("geisha",G39))),"⭐ GESHA","")</f>
        <v/>
      </c>
    </row>
    <row r="40">
      <c r="A40" s="53" t="n">
        <v>46192</v>
      </c>
      <c r="B40" s="3" t="inlineStr">
        <is>
          <t>Singapore</t>
        </is>
      </c>
      <c r="C40" s="3" t="inlineStr">
        <is>
          <t>Corner Corner</t>
        </is>
      </c>
      <c r="D40" s="3" t="inlineStr">
        <is>
          <t>Malaysia My Liberica</t>
        </is>
      </c>
      <c r="E40" s="3" t="inlineStr">
        <is>
          <t>My Liberica (Jason Liew), Kulai, Johor</t>
        </is>
      </c>
      <c r="F40" s="3" t="inlineStr">
        <is>
          <t>Malaysia, Kulai, Johor</t>
        </is>
      </c>
      <c r="G40" s="3" t="inlineStr">
        <is>
          <t>Liberica (Coffea liberica)</t>
        </is>
      </c>
      <c r="H40" s="3" t="inlineStr">
        <is>
          <t>JH Natural (Jekyll &amp; Hyde controlled fermentation - proprietary My Liberica process)</t>
        </is>
      </c>
      <c r="I40" s="3" t="inlineStr">
        <is>
          <t>Light</t>
        </is>
      </c>
      <c r="J40" s="3" t="inlineStr">
        <is>
          <t>Pour Over (filter)</t>
        </is>
      </c>
      <c r="K40" s="3" t="n">
        <v>13</v>
      </c>
      <c r="L40" s="3" t="n">
        <v>190</v>
      </c>
      <c r="M40" s="3" t="inlineStr">
        <is>
          <t>1:14.6</t>
        </is>
      </c>
      <c r="N40" s="3" t="inlineStr">
        <is>
          <t>90-92 (steady throughout)</t>
        </is>
      </c>
      <c r="O40" s="3" t="inlineStr">
        <is>
          <t>Unknown</t>
        </is>
      </c>
      <c r="P40" s="3" t="inlineStr">
        <is>
          <t>Timemore (conical Gold burr, coarse)</t>
        </is>
      </c>
      <c r="Q40" s="5" t="n">
        <v>13</v>
      </c>
      <c r="R40" s="3" t="inlineStr">
        <is>
          <t>Root beer / Tropical fruit punch / Raspberry candy / Rambutan / Longan / Sarsi (roaster: One Half)</t>
        </is>
      </c>
      <c r="S40" s="3" t="inlineStr">
        <is>
          <t>Interesting and approachable - 'not so funky but different for sure'; picked out longan-type fruit. First non-arabica capture in the archive; landed as a positive novelty rather than rejected.</t>
        </is>
      </c>
      <c r="T40" s="3" t="inlineStr">
        <is>
          <t>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is>
      </c>
      <c r="U40" s="3" t="inlineStr">
        <is>
          <t>Roaster: One Half (light-roast filter program). Corner Corner is a vinyl-record listening bar/cafe; walls of LPs, warm low lighting, Japanese-style carafe-and-cup serve. Friday 19 June 2026, ~15:15. Rated awesome by Hari.</t>
        </is>
      </c>
      <c r="V40" s="3" t="inlineStr">
        <is>
          <t>Field audit (Claude)</t>
        </is>
      </c>
      <c r="W40" s="4">
        <f>IF(OR(ISNUMBER(SEARCH("gesha",G40)),ISNUMBER(SEARCH("geisha",G40))),"⭐ GESHA","")</f>
        <v/>
      </c>
    </row>
    <row r="41">
      <c r="A41" s="53" t="n">
        <v>46192</v>
      </c>
      <c r="B41" s="3" t="inlineStr">
        <is>
          <t>Singapore</t>
        </is>
      </c>
      <c r="C41" s="3" t="inlineStr">
        <is>
          <t>Equate</t>
        </is>
      </c>
      <c r="D41" s="3" t="inlineStr">
        <is>
          <t>Colombia Huila La Pradera</t>
        </is>
      </c>
      <c r="E41" s="3" t="inlineStr">
        <is>
          <t>La Pradera</t>
        </is>
      </c>
      <c r="F41" s="3" t="inlineStr">
        <is>
          <t>Colombia, Huila</t>
        </is>
      </c>
      <c r="G41" s="3" t="inlineStr">
        <is>
          <t>Gesha</t>
        </is>
      </c>
      <c r="H41" s="3" t="inlineStr">
        <is>
          <t>Washed</t>
        </is>
      </c>
      <c r="I41" s="3" t="inlineStr">
        <is>
          <t>Unknown</t>
        </is>
      </c>
      <c r="J41" s="3" t="inlineStr">
        <is>
          <t>Pour Over (Orea V4)</t>
        </is>
      </c>
      <c r="K41" s="3" t="n">
        <v>15</v>
      </c>
      <c r="L41" s="3" t="n">
        <v>210</v>
      </c>
      <c r="M41" s="3" t="inlineStr">
        <is>
          <t>1:14</t>
        </is>
      </c>
      <c r="N41" s="3" t="inlineStr">
        <is>
          <t>90-92 (pours 1-2), 68-70 (pours 3-4)</t>
        </is>
      </c>
      <c r="O41" s="3" t="inlineStr">
        <is>
          <t>Unknown</t>
        </is>
      </c>
      <c r="P41" s="3" t="inlineStr">
        <is>
          <t>EK43</t>
        </is>
      </c>
      <c r="Q41" s="5" t="n">
        <v>13</v>
      </c>
      <c r="R41" s="3" t="inlineStr">
        <is>
          <t>Peach Jam / Orange / Honey Sweetness</t>
        </is>
      </c>
      <c r="S41" s="3" t="inlineStr">
        <is>
          <t>Average - strong isolated peach note but jam/honey sweetness underdeveloped; suspects 1:15 ratio would have balanced acid/sweetness better</t>
        </is>
      </c>
      <c r="T41" s="3" t="inlineStr">
        <is>
          <t>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is>
      </c>
      <c r="U41" s="3" t="inlineStr">
        <is>
          <t>2nd-floor minimalist cafe; pastel interiors, spacious, dog-friendly; cakes-only food menu (banana cake); benchmark ambience per Hari.</t>
        </is>
      </c>
      <c r="V41" s="3" t="inlineStr">
        <is>
          <t>Field audit (Claude)</t>
        </is>
      </c>
      <c r="W41" s="4">
        <f>IF(OR(ISNUMBER(SEARCH("gesha",G41)),ISNUMBER(SEARCH("geisha",G41))),"⭐ GESHA","")</f>
        <v/>
      </c>
    </row>
    <row r="42">
      <c r="A42" s="53" t="n">
        <v>46194</v>
      </c>
      <c r="B42" s="3" t="inlineStr">
        <is>
          <t>Singapore</t>
        </is>
      </c>
      <c r="C42" s="3" t="inlineStr">
        <is>
          <t>Apartment (Jalan Riang)</t>
        </is>
      </c>
      <c r="D42" s="3" t="inlineStr">
        <is>
          <t>Colombia Javier Quintero</t>
        </is>
      </c>
      <c r="E42" s="3" t="inlineStr">
        <is>
          <t>Javier Quintero, Buena Vista Farm</t>
        </is>
      </c>
      <c r="F42" s="3" t="inlineStr">
        <is>
          <t>Inza, Cauca, Colombia</t>
        </is>
      </c>
      <c r="G42" s="3" t="inlineStr">
        <is>
          <t>Bourbon Aruzi</t>
        </is>
      </c>
      <c r="H42" s="3" t="inlineStr">
        <is>
          <t>Washed</t>
        </is>
      </c>
      <c r="I42" s="3" t="inlineStr">
        <is>
          <t>Light (Filter Roast)</t>
        </is>
      </c>
      <c r="J42" s="3" t="inlineStr">
        <is>
          <t>Pour-over (Hand Brew)</t>
        </is>
      </c>
      <c r="K42" s="3" t="n">
        <v>13</v>
      </c>
      <c r="L42" s="3" t="n">
        <v>220</v>
      </c>
      <c r="M42" s="3" t="inlineStr">
        <is>
          <t>1:16.9</t>
        </is>
      </c>
      <c r="N42" s="3" t="inlineStr">
        <is>
          <t>95</t>
        </is>
      </c>
      <c r="O42" s="3" t="inlineStr">
        <is>
          <t>Unknown</t>
        </is>
      </c>
      <c r="P42" s="3" t="inlineStr">
        <is>
          <t>Mahlkönig EK43</t>
        </is>
      </c>
      <c r="Q42" s="5" t="n">
        <v>9.5</v>
      </c>
      <c r="R42" s="3" t="inlineStr">
        <is>
          <t>White peach; blackberry; jasmine</t>
        </is>
      </c>
      <c r="S42" s="3" t="inlineStr">
        <is>
          <t>White peach dominant, well-balanced; clean washed expression, very enjoyable</t>
        </is>
      </c>
      <c r="T42" s="3" t="inlineStr">
        <is>
          <t>High-temp (95C) and 1:16.9 ratio on EK43 flat burr favored extraction of volatile floral/peach esters (linalool, lactones) over heavier blackberry polyphenolics, producing a peach-forward, high-clarity cup. 200g bag roasted 15 June 2026 (6 days post-roast at time of visit).</t>
        </is>
      </c>
      <c r="U42" s="3" t="inlineStr">
        <is>
          <t>Sister branch of Apartment (Selegie Rd), located Jalan Riang, Serangoon Gardens. First visit to this branch.</t>
        </is>
      </c>
      <c r="V42" s="3" t="inlineStr">
        <is>
          <t>Field audit (Claude)</t>
        </is>
      </c>
      <c r="W42" s="4">
        <f>IF(OR(ISNUMBER(SEARCH("gesha",G42)),ISNUMBER(SEARCH("geisha",G42))),"⭐ GESHA","")</f>
        <v/>
      </c>
    </row>
    <row r="43">
      <c r="A43" s="53" t="n">
        <v>46198</v>
      </c>
      <c r="B43" s="3" t="inlineStr">
        <is>
          <t>Singapore</t>
        </is>
      </c>
      <c r="C43" s="3" t="inlineStr">
        <is>
          <t>PPP Coffee (Funan)</t>
        </is>
      </c>
      <c r="D43" s="3" t="inlineStr">
        <is>
          <t>Ethiopia Suke Quto</t>
        </is>
      </c>
      <c r="E43" s="3" t="inlineStr">
        <is>
          <t>Suke Quto Farm (Tesfaye Bekele)</t>
        </is>
      </c>
      <c r="F43" s="3" t="inlineStr">
        <is>
          <t>Ethiopia</t>
        </is>
      </c>
      <c r="G43" s="3" t="inlineStr">
        <is>
          <t>Welicho &amp; Kurume (blend)</t>
        </is>
      </c>
      <c r="H43" s="3" t="inlineStr">
        <is>
          <t>Fully-Washed</t>
        </is>
      </c>
      <c r="I43" s="3" t="inlineStr">
        <is>
          <t>Light Filter Roast</t>
        </is>
      </c>
      <c r="J43" s="3" t="inlineStr">
        <is>
          <t>V60 Pour-over (Conical)</t>
        </is>
      </c>
      <c r="K43" s="3" t="n">
        <v>15</v>
      </c>
      <c r="L43" s="3" t="n">
        <v>225</v>
      </c>
      <c r="M43" s="3" t="inlineStr">
        <is>
          <t>1:15</t>
        </is>
      </c>
      <c r="N43" s="3" t="inlineStr">
        <is>
          <t>Unknown</t>
        </is>
      </c>
      <c r="O43" s="3" t="inlineStr">
        <is>
          <t>Unknown</t>
        </is>
      </c>
      <c r="P43" s="3" t="inlineStr">
        <is>
          <t>Mazzer MM (83mm Flat Burr)</t>
        </is>
      </c>
      <c r="Q43" s="5" t="n">
        <v>9</v>
      </c>
      <c r="R43" s="3" t="inlineStr">
        <is>
          <t>Nectarine, White Florals, Citrus</t>
        </is>
      </c>
      <c r="S43" s="3" t="inlineStr">
        <is>
          <t>Sharp unripe orange dominated all thermal phases — no floral lift, no mid-cool malic sweetness, no phase shift detected. Citric over-extraction signature suppressed linalool volatiles and sucrose emergence. Hardware execution miss — Guji terroir likely unrealised. Rated below average.</t>
        </is>
      </c>
      <c r="T43" s="3" t="inlineStr">
        <is>
          <t>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is>
      </c>
      <c r="U43" s="3" t="inlineStr">
        <is>
          <t>Solo visit — 25 Jun 2026; Funan mall location; bean card photographed; no barista consultation</t>
        </is>
      </c>
      <c r="V43" s="3" t="inlineStr">
        <is>
          <t>Direct observation + bean card photo + menu photo</t>
        </is>
      </c>
      <c r="W43" s="4">
        <f>IF(OR(ISNUMBER(SEARCH("gesha",G43)),ISNUMBER(SEARCH("geisha",G43))),"⭐ GESHA","")</f>
        <v/>
      </c>
    </row>
    <row r="44">
      <c r="A44" s="53" t="n">
        <v>46200</v>
      </c>
      <c r="B44" s="3" t="inlineStr">
        <is>
          <t>Singapore</t>
        </is>
      </c>
      <c r="C44" s="3" t="inlineStr">
        <is>
          <t>Apartment (Jalan Riang)</t>
        </is>
      </c>
      <c r="D44" s="3" t="inlineStr">
        <is>
          <t>China Yunnan Meng Hai</t>
        </is>
      </c>
      <c r="E44" s="3" t="inlineStr">
        <is>
          <t>Blang and Dai Family Farms</t>
        </is>
      </c>
      <c r="F44" s="3" t="inlineStr">
        <is>
          <t>Menghai, Xishuangbanna, Yunnan, China</t>
        </is>
      </c>
      <c r="G44" s="3" t="inlineStr">
        <is>
          <t>Purple Leaf Caturra</t>
        </is>
      </c>
      <c r="H44" s="3" t="inlineStr">
        <is>
          <t>Double Washed</t>
        </is>
      </c>
      <c r="I44" s="3" t="inlineStr">
        <is>
          <t>Light (Filter Roast)</t>
        </is>
      </c>
      <c r="J44" s="3" t="inlineStr">
        <is>
          <t>Pour-over (Hand Brew)</t>
        </is>
      </c>
      <c r="K44" s="3" t="n">
        <v>13</v>
      </c>
      <c r="L44" s="3" t="n">
        <v>215</v>
      </c>
      <c r="M44" s="3" t="inlineStr">
        <is>
          <t>1:16.5</t>
        </is>
      </c>
      <c r="N44" s="3" t="inlineStr">
        <is>
          <t>95</t>
        </is>
      </c>
      <c r="O44" s="3" t="inlineStr">
        <is>
          <t>4-pour progressive ~30s intervals; Bloom 30g; to 120g (+90g); to 180g (+60g); to 215g (+35g). Descending pour volumes confirmed by barista.</t>
        </is>
      </c>
      <c r="P44" s="3" t="inlineStr">
        <is>
          <t>Mahlkönig EK43</t>
        </is>
      </c>
      <c r="Q44" s="5" t="n">
        <v>9.5</v>
      </c>
      <c r="R44" s="3" t="inlineStr">
        <is>
          <t>Dried tangerine peel; red apple; pandan (origin card) / Dried orange peel; red apple; pandan (menu — discrepancy flagged)</t>
        </is>
      </c>
      <c r="S44" s="3" t="inlineStr">
        <is>
          <t>Bright vibrant opening (hot); crisp malic clarity; mellowed gracefully at cool with no dominant note; pandan as background aromatic binder; well-balanced; no bitterness; genuinely pleasant surprise for non-core-palate origin</t>
        </is>
      </c>
      <c r="T44" s="3" t="inlineStr">
        <is>
          <t>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is>
      </c>
      <c r="U44" s="3" t="inlineStr">
        <is>
          <t>Second visit to Apartment (Jalan Riang); Saturday 27 Jun 2026, 10:45am. Menu note: dried orange peel (menu) vs dried tangerine peel (origin card) — origin card used as authoritative. First Chinese-origin entry in archive (entry #36).</t>
        </is>
      </c>
      <c r="V44" s="3" t="inlineStr">
        <is>
          <t>Field audit (Claude)</t>
        </is>
      </c>
      <c r="W44" s="4">
        <f>IF(OR(ISNUMBER(SEARCH("gesha",G44)),ISNUMBER(SEARCH("geisha",G44))),"⭐ GESHA","")</f>
        <v/>
      </c>
    </row>
    <row r="45">
      <c r="A45" s="53" t="n">
        <v>46201</v>
      </c>
      <c r="B45" s="3" t="inlineStr">
        <is>
          <t>Singapore</t>
        </is>
      </c>
      <c r="C45" s="3" t="inlineStr">
        <is>
          <t>Keryi Coffee</t>
        </is>
      </c>
      <c r="D45" s="3" t="inlineStr">
        <is>
          <t>Ethiopia Urabeast G1</t>
        </is>
      </c>
      <c r="E45" s="3" t="inlineStr">
        <is>
          <t>Unknown</t>
        </is>
      </c>
      <c r="F45" s="3" t="inlineStr">
        <is>
          <t>Uraga, Guji, Ethiopia</t>
        </is>
      </c>
      <c r="G45" s="3" t="inlineStr">
        <is>
          <t>74110 / 74112</t>
        </is>
      </c>
      <c r="H45" s="3" t="inlineStr">
        <is>
          <t>Mosto Fermentation</t>
        </is>
      </c>
      <c r="I45" s="3" t="inlineStr">
        <is>
          <t>Filter Roast</t>
        </is>
      </c>
      <c r="J45" s="3" t="inlineStr">
        <is>
          <t>Hario Switch (Immersion/Percolation Hybrid)</t>
        </is>
      </c>
      <c r="K45" s="3" t="n">
        <v>15</v>
      </c>
      <c r="L45" s="3" t="n">
        <v>210</v>
      </c>
      <c r="M45" s="3" t="inlineStr">
        <is>
          <t>1:14</t>
        </is>
      </c>
      <c r="N45" s="3" t="inlineStr">
        <is>
          <t>88 → 70</t>
        </is>
      </c>
      <c r="O45" s="3" t="inlineStr">
        <is>
          <t>Unknown</t>
        </is>
      </c>
      <c r="P45" s="3" t="inlineStr">
        <is>
          <t>Ditting 98mm flat burr</t>
        </is>
      </c>
      <c r="Q45" s="5" t="n">
        <v>13</v>
      </c>
      <c r="R45" s="3" t="inlineStr">
        <is>
          <t>Winey; Raspberry; Purple grapes</t>
        </is>
      </c>
      <c r="S45" s="3" t="inlineStr">
        <is>
          <t>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is>
      </c>
      <c r="T45" s="3" t="inlineStr">
        <is>
          <t>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is>
      </c>
      <c r="U45" s="3" t="inlineStr">
        <is>
          <t>Solo visit — 28 Jun 2026, 10:30AM. Keryi return visit (Entry #31 ref: Colombia Finca La Esmaralda). First mosto fermentation process in archive.</t>
        </is>
      </c>
      <c r="V45" s="3" t="inlineStr">
        <is>
          <t>Field audit (Claude) — direct barista confirmation</t>
        </is>
      </c>
      <c r="W45" s="4">
        <f>IF(OR(ISNUMBER(SEARCH("gesha",G45)),ISNUMBER(SEARCH("geisha",G45))),"⭐ GESHA","")</f>
        <v/>
      </c>
    </row>
    <row r="46">
      <c r="A46" s="53" t="n">
        <v>46201</v>
      </c>
      <c r="B46" s="3" t="inlineStr">
        <is>
          <t>Singapore</t>
        </is>
      </c>
      <c r="C46" s="3" t="inlineStr">
        <is>
          <t>Asylum Coffeehouse</t>
        </is>
      </c>
      <c r="D46" s="3" t="inlineStr">
        <is>
          <t>Yellow Sudan Rume</t>
        </is>
      </c>
      <c r="E46" s="3" t="inlineStr">
        <is>
          <t>Felipe Arcila - Jardines Del Eden</t>
        </is>
      </c>
      <c r="F46" s="3" t="inlineStr">
        <is>
          <t>Pijiao, Quindío, Colombia</t>
        </is>
      </c>
      <c r="G46" s="3" t="inlineStr">
        <is>
          <t>Sudan Rume (Yellow)</t>
        </is>
      </c>
      <c r="H46" s="3" t="inlineStr">
        <is>
          <t>Extended Fermentation Natural (EF2)</t>
        </is>
      </c>
      <c r="I46" s="3" t="inlineStr">
        <is>
          <t>Filter Roast</t>
        </is>
      </c>
      <c r="J46" s="3" t="inlineStr">
        <is>
          <t>April Brewer (Flat-Bottom)</t>
        </is>
      </c>
      <c r="K46" s="3" t="n">
        <v>15</v>
      </c>
      <c r="L46" s="3" t="n">
        <v>240</v>
      </c>
      <c r="M46" s="3" t="inlineStr">
        <is>
          <t>1:16</t>
        </is>
      </c>
      <c r="N46" s="3" t="inlineStr">
        <is>
          <t>90</t>
        </is>
      </c>
      <c r="O46" s="3" t="inlineStr">
        <is>
          <t>110g (first pour) → 240g (second pour)</t>
        </is>
      </c>
      <c r="P46" s="3" t="inlineStr">
        <is>
          <t>Option-O Lagom P64</t>
        </is>
      </c>
      <c r="Q46" s="5" t="n">
        <v>14</v>
      </c>
      <c r="R46" s="3" t="inlineStr">
        <is>
          <t>Lemongrass, Vanilla, Red Fruits, Brown Sugar</t>
        </is>
      </c>
      <c r="S46" s="3" t="inlineStr">
        <is>
          <t>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is>
      </c>
      <c r="T46" s="3" t="inlineStr">
        <is>
          <t>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is>
      </c>
      <c r="U46" s="3" t="inlineStr">
        <is>
          <t>Solo visit — 28 Jun 2026, 11:06AM. Second stop of dual-session day (Entry #37 Keryi Coffee mosto fermentation same morning). Receipt SGD 14.00 confirmed.</t>
        </is>
      </c>
      <c r="V46" s="3" t="inlineStr">
        <is>
          <t>Field audit (Claude) — bean card + receipt + hardware photos</t>
        </is>
      </c>
      <c r="W46" s="4">
        <f>IF(OR(ISNUMBER(SEARCH("gesha",G46)),ISNUMBER(SEARCH("geisha",G46))),"⭐ GESHA","")</f>
        <v/>
      </c>
    </row>
    <row r="47">
      <c r="A47" s="53" t="n">
        <v>46203</v>
      </c>
      <c r="B47" s="3" t="inlineStr">
        <is>
          <t>Singapore</t>
        </is>
      </c>
      <c r="C47" s="3" t="inlineStr">
        <is>
          <t>2050 Coffee</t>
        </is>
      </c>
      <c r="D47" s="3" t="inlineStr">
        <is>
          <t>Myanmar Arakan Mountain</t>
        </is>
      </c>
      <c r="E47" s="3" t="inlineStr">
        <is>
          <t>Asho Chin Coffee Association</t>
        </is>
      </c>
      <c r="F47" s="3" t="inlineStr">
        <is>
          <t>Magway, Myanmar</t>
        </is>
      </c>
      <c r="G47" s="3" t="inlineStr">
        <is>
          <t>Catimor</t>
        </is>
      </c>
      <c r="H47" s="3" t="inlineStr">
        <is>
          <t>Fully Washed &amp; Honey</t>
        </is>
      </c>
      <c r="I47" s="3" t="inlineStr">
        <is>
          <t>Light Roast</t>
        </is>
      </c>
      <c r="J47" s="3" t="inlineStr">
        <is>
          <t>Automated Tap Dispenser (Filter)</t>
        </is>
      </c>
      <c r="K47" s="3" t="inlineStr">
        <is>
          <t>N/A — batch-dispensed, no per-cup brew event</t>
        </is>
      </c>
      <c r="L47" s="3" t="inlineStr">
        <is>
          <t>N/A — batch-dispensed, no per-cup brew event</t>
        </is>
      </c>
      <c r="M47" s="3" t="inlineStr">
        <is>
          <t>N/A — batch-dispensed, no per-cup brew event</t>
        </is>
      </c>
      <c r="N47" s="3" t="inlineStr">
        <is>
          <t>N/A — batch-dispensed, no per-cup brew event</t>
        </is>
      </c>
      <c r="O47" s="3" t="inlineStr">
        <is>
          <t>Unknown</t>
        </is>
      </c>
      <c r="P47" s="3" t="inlineStr">
        <is>
          <t>N/A — batch-dispensed, no per-cup brew event</t>
        </is>
      </c>
      <c r="Q47" s="5" t="n">
        <v>6</v>
      </c>
      <c r="R47" s="3" t="inlineStr">
        <is>
          <t>Yellow Pear, Dried Fruits, Brown Sugar, Almond</t>
        </is>
      </c>
      <c r="S47" s="3" t="inlineStr">
        <is>
          <t>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is>
      </c>
      <c r="T47" s="3" t="inlineStr">
        <is>
          <t>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is>
      </c>
      <c r="U47" s="3" t="inlineStr">
        <is>
          <t>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is>
      </c>
      <c r="V47" s="3" t="inlineStr">
        <is>
          <t>Direct observation + bean card photo</t>
        </is>
      </c>
      <c r="W47" s="4">
        <f>IF(OR(ISNUMBER(SEARCH("gesha",G47)),ISNUMBER(SEARCH("geisha",G47))),"⭐ GESHA","")</f>
        <v/>
      </c>
    </row>
    <row r="48">
      <c r="A48" s="53" t="n">
        <v>46204</v>
      </c>
      <c r="B48" s="3" t="inlineStr">
        <is>
          <t>Singapore</t>
        </is>
      </c>
      <c r="C48" s="3" t="inlineStr">
        <is>
          <t>Kyuukei Coffee</t>
        </is>
      </c>
      <c r="D48" s="3" t="inlineStr">
        <is>
          <t>Ethiopia Worka Chelchele</t>
        </is>
      </c>
      <c r="E48" s="3" t="inlineStr">
        <is>
          <t>Kyūkei Coffee (In-house roast) — confirmed via Instagram DM</t>
        </is>
      </c>
      <c r="F48" s="3" t="inlineStr">
        <is>
          <t>Gedeb, Gedeo Zone, Ethiopia</t>
        </is>
      </c>
      <c r="G48" s="3" t="inlineStr">
        <is>
          <t>Dega, Wolisho, Kurume (Landrace Triad)</t>
        </is>
      </c>
      <c r="H48" s="3" t="inlineStr">
        <is>
          <t>Washed</t>
        </is>
      </c>
      <c r="I48" s="3" t="inlineStr">
        <is>
          <t>Light</t>
        </is>
      </c>
      <c r="J48" s="3" t="inlineStr">
        <is>
          <t>Pour-over (Deep27, Flat-Bottom, Immersion-Assist) — confirmed by Kyūkei Coffee via Instagram DM</t>
        </is>
      </c>
      <c r="K48" s="3" t="n">
        <v>16</v>
      </c>
      <c r="L48" s="3" t="n">
        <v>240</v>
      </c>
      <c r="M48" s="3" t="inlineStr">
        <is>
          <t>1:15</t>
        </is>
      </c>
      <c r="N48" s="3" t="inlineStr">
        <is>
          <t>85 → 95 (ramped)</t>
        </is>
      </c>
      <c r="O48" s="3" t="inlineStr">
        <is>
          <t>30 seconds</t>
        </is>
      </c>
      <c r="P48" s="3" t="inlineStr">
        <is>
          <t>Unknown — Kyūkei DM did not address grinder; tall cylindrical flat-burr unit visible in bar photo, model unconfirmed</t>
        </is>
      </c>
      <c r="Q48" s="5" t="n">
        <v>9</v>
      </c>
      <c r="R48" s="3" t="inlineStr">
        <is>
          <t>Lemon, Peach, Bergamot, Apricot</t>
        </is>
      </c>
      <c r="S48" s="3" t="inlineStr">
        <is>
          <t>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is>
      </c>
      <c r="T48" s="3" t="inlineStr">
        <is>
          <t>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is>
      </c>
      <c r="U48" s="3" t="inlineStr">
        <is>
          <t>Solo visit — Kyūkei Coffee Maxwell lunch audit, 01 Jul 2026, 13:04</t>
        </is>
      </c>
      <c r="V48" s="3" t="inlineStr">
        <is>
          <t>Direct observation + receipt + barista confirmation</t>
        </is>
      </c>
      <c r="W48" s="4">
        <f>IF(OR(ISNUMBER(SEARCH("gesha",G48)),ISNUMBER(SEARCH("geisha",G48))),"⭐ GESHA","")</f>
        <v/>
      </c>
    </row>
    <row r="49">
      <c r="A49" s="53" t="n">
        <v>46206</v>
      </c>
      <c r="B49" s="3" t="inlineStr">
        <is>
          <t>Singapore</t>
        </is>
      </c>
      <c r="C49" s="3" t="inlineStr">
        <is>
          <t>Zerah Roasters</t>
        </is>
      </c>
      <c r="D49" s="3" t="inlineStr">
        <is>
          <t>Finca Villarazo — Pink Bourbon</t>
        </is>
      </c>
      <c r="E49" s="3" t="inlineStr">
        <is>
          <t>Finca Villarazo</t>
        </is>
      </c>
      <c r="F49" s="3" t="inlineStr">
        <is>
          <t>Colombia</t>
        </is>
      </c>
      <c r="G49" s="3" t="inlineStr">
        <is>
          <t>Pink Bourbon</t>
        </is>
      </c>
      <c r="H49" s="3" t="inlineStr">
        <is>
          <t>Washed</t>
        </is>
      </c>
      <c r="I49" s="3" t="inlineStr">
        <is>
          <t>Filter Roast</t>
        </is>
      </c>
      <c r="J49" s="3" t="inlineStr">
        <is>
          <t>Pour-over (Orea V4 — Flat-Bottom)</t>
        </is>
      </c>
      <c r="K49" s="3" t="n">
        <v>15</v>
      </c>
      <c r="L49" s="3" t="n">
        <v>240</v>
      </c>
      <c r="M49" s="3" t="inlineStr">
        <is>
          <t>1:16</t>
        </is>
      </c>
      <c r="N49" s="3" t="inlineStr">
        <is>
          <t>92 (constant)</t>
        </is>
      </c>
      <c r="O49" s="3" t="inlineStr">
        <is>
          <t>50g / 40s (1:3.3 bloom ratio)</t>
        </is>
      </c>
      <c r="P49" s="3" t="inlineStr">
        <is>
          <t>DF83V (83mm Flat Burr)</t>
        </is>
      </c>
      <c r="Q49" s="5" t="n">
        <v>9</v>
      </c>
      <c r="R49" s="3" t="inlineStr">
        <is>
          <t>Lively and juicy; Pomegranate; Mandarin; Lingering Florals</t>
        </is>
      </c>
      <c r="S49" s="3" t="inlineStr">
        <is>
          <t>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is>
      </c>
      <c r="T49" s="3" t="inlineStr">
        <is>
          <t>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is>
      </c>
      <c r="U49" s="3" t="inlineStr">
        <is>
          <t>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is>
      </c>
      <c r="V49" s="3" t="inlineStr">
        <is>
          <t>Field audit (Claude) — bean card + barista confirmation</t>
        </is>
      </c>
      <c r="W49" s="4">
        <f>IF(OR(ISNUMBER(SEARCH("gesha",G49)),ISNUMBER(SEARCH("geisha",G49))),"⭐ GESHA","")</f>
        <v/>
      </c>
    </row>
    <row r="50">
      <c r="A50" s="53" t="n">
        <v>46207</v>
      </c>
      <c r="B50" s="3" t="inlineStr">
        <is>
          <t>Singapore</t>
        </is>
      </c>
      <c r="C50" s="3" t="inlineStr">
        <is>
          <t>Oaks Coffee Co.</t>
        </is>
      </c>
      <c r="D50" s="3" t="inlineStr">
        <is>
          <t>Floripondio 90 Hours</t>
        </is>
      </c>
      <c r="E50" s="3" t="inlineStr">
        <is>
          <t>Los Rodriguez</t>
        </is>
      </c>
      <c r="F50" s="3" t="inlineStr">
        <is>
          <t>Bolivia</t>
        </is>
      </c>
      <c r="G50" s="3" t="inlineStr">
        <is>
          <t>Pacamara</t>
        </is>
      </c>
      <c r="H50" s="3" t="inlineStr">
        <is>
          <t>Lactic Honey</t>
        </is>
      </c>
      <c r="I50" s="3" t="inlineStr">
        <is>
          <t>Filter Roast</t>
        </is>
      </c>
      <c r="J50" s="3" t="inlineStr">
        <is>
          <t>Origami Dripper (Flat-Bottom)</t>
        </is>
      </c>
      <c r="K50" s="3" t="n">
        <v>15</v>
      </c>
      <c r="L50" s="3" t="n">
        <v>240</v>
      </c>
      <c r="M50" s="3" t="inlineStr">
        <is>
          <t>1:16</t>
        </is>
      </c>
      <c r="N50" s="3" t="inlineStr">
        <is>
          <t>88 (constant)</t>
        </is>
      </c>
      <c r="O50" s="3" t="inlineStr">
        <is>
          <t>80-90g first pour (3-pour protocol)</t>
        </is>
      </c>
      <c r="P50" s="3" t="inlineStr">
        <is>
          <t>Option-O Lagom P80 (80mm Flat Burr)</t>
        </is>
      </c>
      <c r="Q50" s="5" t="n">
        <v>9</v>
      </c>
      <c r="R50" s="3" t="inlineStr">
        <is>
          <t>Mango; Passionfruit</t>
        </is>
      </c>
      <c r="S50" s="3" t="inlineStr">
        <is>
          <t>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is>
      </c>
      <c r="T50" s="3" t="inlineStr">
        <is>
          <t>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is>
      </c>
      <c r="U50" s="3" t="inlineStr">
        <is>
          <t>Solo visit — Oaks Coffee Co., Bukit Timah Road, 4 Jul 2026, 16:00. Café Day 4 of operations. Milestones: First Bolivia, First Pacamara, First Lactic Honey, First P80 platform. Barista warm and knowledgeable.</t>
        </is>
      </c>
      <c r="V50" s="3" t="inlineStr">
        <is>
          <t>Direct observation + bean card photo + barista confirmation</t>
        </is>
      </c>
      <c r="W50" s="4">
        <f>IF(OR(ISNUMBER(SEARCH("gesha",G50)),ISNUMBER(SEARCH("geisha",G50))),"⭐ GESHA","")</f>
        <v/>
      </c>
    </row>
    <row r="51">
      <c r="A51" s="53" t="n">
        <v>46208</v>
      </c>
      <c r="B51" s="3" t="inlineStr">
        <is>
          <t>Singapore</t>
        </is>
      </c>
      <c r="C51" s="3" t="inlineStr">
        <is>
          <t>Homeground Coffee Roasters</t>
        </is>
      </c>
      <c r="D51" s="3" t="inlineStr">
        <is>
          <t>Colombia Inmaculada Gesha Natural</t>
        </is>
      </c>
      <c r="E51" s="3" t="inlineStr">
        <is>
          <t>Inmaculada Estate</t>
        </is>
      </c>
      <c r="F51" s="3" t="inlineStr">
        <is>
          <t>Valle del Cauca, Colombia</t>
        </is>
      </c>
      <c r="G51" s="3" t="inlineStr">
        <is>
          <t>Gesha</t>
        </is>
      </c>
      <c r="H51" s="3" t="inlineStr">
        <is>
          <t>Natural</t>
        </is>
      </c>
      <c r="I51" s="3" t="inlineStr">
        <is>
          <t>Light</t>
        </is>
      </c>
      <c r="J51" s="3" t="inlineStr">
        <is>
          <t>Origami Dripper (Ceramic — Flat-Bottom Stand)</t>
        </is>
      </c>
      <c r="K51" s="3" t="n">
        <v>15</v>
      </c>
      <c r="L51" s="3" t="n">
        <v>247</v>
      </c>
      <c r="M51" s="3" t="inlineStr">
        <is>
          <t>1:16.5</t>
        </is>
      </c>
      <c r="N51" s="3" t="inlineStr">
        <is>
          <t>86-90</t>
        </is>
      </c>
      <c r="O51" s="3" t="inlineStr">
        <is>
          <t>Unknown</t>
        </is>
      </c>
      <c r="P51" s="3" t="inlineStr">
        <is>
          <t>Mahlkönig EK43 (98mm Flat Burr)</t>
        </is>
      </c>
      <c r="Q51" s="5" t="n">
        <v>19</v>
      </c>
      <c r="R51" s="3" t="inlineStr">
        <is>
          <t>Hibiscus, Pomegranate, Stewed Peach, Darjeeling Tea</t>
        </is>
      </c>
      <c r="S51" s="3" t="inlineStr">
        <is>
          <t>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is>
      </c>
      <c r="T51" s="3" t="inlineStr">
        <is>
          <t>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is>
      </c>
      <c r="U51" s="3" t="inlineStr">
        <is>
          <t>Father-daughter visit — Homeground Coffee Roasters Bukit Timah Experience Room; 5 Jul 2026 10:30 AM</t>
        </is>
      </c>
      <c r="V51" s="3" t="inlineStr">
        <is>
          <t>Field audit (Claude) — bean card + barista confirmed + direct observation</t>
        </is>
      </c>
      <c r="W51" s="4">
        <f>IF(OR(ISNUMBER(SEARCH("gesha",G51)),ISNUMBER(SEARCH("geisha",G51))),"⭐ GESHA","")</f>
        <v/>
      </c>
    </row>
    <row r="52">
      <c r="A52" s="53" t="n">
        <v>46208</v>
      </c>
      <c r="B52" s="3" t="inlineStr">
        <is>
          <t>Singapore</t>
        </is>
      </c>
      <c r="C52" s="3" t="inlineStr">
        <is>
          <t>Homeground Coffee Roasters</t>
        </is>
      </c>
      <c r="D52" s="3" t="inlineStr">
        <is>
          <t>Bolivia Los Rodriguez Caturra Washed</t>
        </is>
      </c>
      <c r="E52" s="3" t="inlineStr">
        <is>
          <t>Los Rodriguez</t>
        </is>
      </c>
      <c r="F52" s="3" t="inlineStr">
        <is>
          <t>Samaipata, Bolivia</t>
        </is>
      </c>
      <c r="G52" s="3" t="inlineStr">
        <is>
          <t>Caturra</t>
        </is>
      </c>
      <c r="H52" s="3" t="inlineStr">
        <is>
          <t>Washed</t>
        </is>
      </c>
      <c r="I52" s="3" t="inlineStr">
        <is>
          <t>Light</t>
        </is>
      </c>
      <c r="J52" s="3" t="inlineStr">
        <is>
          <t>Origami Dripper (Ceramic — Flat-Bottom Stand)</t>
        </is>
      </c>
      <c r="K52" s="3" t="n">
        <v>15</v>
      </c>
      <c r="L52" s="3" t="n">
        <v>244</v>
      </c>
      <c r="M52" s="3" t="inlineStr">
        <is>
          <t>1:16.2</t>
        </is>
      </c>
      <c r="N52" s="3" t="inlineStr">
        <is>
          <t>90-93</t>
        </is>
      </c>
      <c r="O52" s="3" t="inlineStr">
        <is>
          <t>Unknown</t>
        </is>
      </c>
      <c r="P52" s="3" t="inlineStr">
        <is>
          <t>Mahlkönig EK43 (98mm Flat Burr)</t>
        </is>
      </c>
      <c r="Q52" s="5" t="n">
        <v>10</v>
      </c>
      <c r="R52" s="3" t="inlineStr">
        <is>
          <t>Apricot, Apple, Honey</t>
        </is>
      </c>
      <c r="S52" s="3" t="inlineStr">
        <is>
          <t>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is>
      </c>
      <c r="T52" s="3" t="inlineStr">
        <is>
          <t>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is>
      </c>
      <c r="U52" s="3" t="inlineStr">
        <is>
          <t>Father-daughter visit — Homeground Coffee Roasters Bukit Timah Experience Room; 5 Jul 2026 10:30 AM; Aanya's cup</t>
        </is>
      </c>
      <c r="V52" s="3" t="inlineStr">
        <is>
          <t>Field audit (Claude) — bean card confirmed + direct observation</t>
        </is>
      </c>
      <c r="W52" s="4">
        <f>IF(OR(ISNUMBER(SEARCH("gesha",G52)),ISNUMBER(SEARCH("geisha",G52))),"⭐ GESHA","")</f>
        <v/>
      </c>
    </row>
    <row r="53">
      <c r="A53" s="53" t="n">
        <v>46208</v>
      </c>
      <c r="B53" s="3" t="inlineStr">
        <is>
          <t>Singapore</t>
        </is>
      </c>
      <c r="C53" s="3" t="inlineStr">
        <is>
          <t>Cowpresso Coffee Roasters</t>
        </is>
      </c>
      <c r="D53" s="3" t="inlineStr">
        <is>
          <t>Geisha Colombia Las Nubes</t>
        </is>
      </c>
      <c r="E53" s="3" t="inlineStr">
        <is>
          <t>Unknown</t>
        </is>
      </c>
      <c r="F53" s="3" t="inlineStr">
        <is>
          <t>Valle de Cauca, Colombia</t>
        </is>
      </c>
      <c r="G53" s="3" t="inlineStr">
        <is>
          <t>Geisha</t>
        </is>
      </c>
      <c r="H53" s="3" t="inlineStr">
        <is>
          <t>Natural</t>
        </is>
      </c>
      <c r="I53" s="3" t="inlineStr">
        <is>
          <t>Medium</t>
        </is>
      </c>
      <c r="J53" s="3" t="inlineStr">
        <is>
          <t>Pour-over (Cowpresso Custom 3-Hole Ceramic Dripper — Conical)</t>
        </is>
      </c>
      <c r="K53" s="3" t="n">
        <v>15</v>
      </c>
      <c r="L53" s="3" t="n">
        <v>225</v>
      </c>
      <c r="M53" s="3" t="inlineStr">
        <is>
          <t>1:15</t>
        </is>
      </c>
      <c r="N53" s="3" t="inlineStr">
        <is>
          <t>92</t>
        </is>
      </c>
      <c r="O53" s="3" t="inlineStr">
        <is>
          <t>Unknown</t>
        </is>
      </c>
      <c r="P53" s="3" t="inlineStr">
        <is>
          <t>DF83 (83mm Flat Burr) — barista confirmed</t>
        </is>
      </c>
      <c r="Q53" s="5" t="n">
        <v>9.9</v>
      </c>
      <c r="R53" s="3" t="inlineStr">
        <is>
          <t>Lychee, Strawberry, Blueberry, Floral, Lemons</t>
        </is>
      </c>
      <c r="S53" s="3" t="inlineStr">
        <is>
          <t>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is>
      </c>
      <c r="T53" s="3" t="inlineStr">
        <is>
          <t>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is>
      </c>
      <c r="U53" s="3" t="inlineStr">
        <is>
          <t>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is>
      </c>
      <c r="V53" s="3" t="inlineStr">
        <is>
          <t>Direct observation + bean bag photo + receipt + barista confirmation (Aung)</t>
        </is>
      </c>
      <c r="W53" s="4">
        <f>IF(OR(ISNUMBER(SEARCH("gesha",G53)),ISNUMBER(SEARCH("geisha",G53))),"⭐ GESHA","")</f>
        <v/>
      </c>
    </row>
    <row r="54">
      <c r="A54" s="53" t="n">
        <v>46209</v>
      </c>
      <c r="B54" s="3" t="inlineStr">
        <is>
          <t>Singapore</t>
        </is>
      </c>
      <c r="C54" s="3" t="inlineStr">
        <is>
          <t>Fluid Collective</t>
        </is>
      </c>
      <c r="D54" s="3" t="inlineStr">
        <is>
          <t>Alo Coffee — Natural Anaerobic Ethiopia 74158</t>
        </is>
      </c>
      <c r="E54" s="3" t="inlineStr">
        <is>
          <t>Tamiru Tadesse</t>
        </is>
      </c>
      <c r="F54" s="3" t="inlineStr">
        <is>
          <t>Ethiopia</t>
        </is>
      </c>
      <c r="G54" s="3" t="inlineStr">
        <is>
          <t>74158</t>
        </is>
      </c>
      <c r="H54" s="3" t="inlineStr">
        <is>
          <t>Natural Anaerobic</t>
        </is>
      </c>
      <c r="I54" s="3" t="inlineStr">
        <is>
          <t>Light</t>
        </is>
      </c>
      <c r="J54" s="3" t="inlineStr">
        <is>
          <t>Hario Switch (Flat-Bottom Immersion Hybrid)</t>
        </is>
      </c>
      <c r="K54" s="3" t="n">
        <v>15</v>
      </c>
      <c r="L54" s="3" t="n">
        <v>225</v>
      </c>
      <c r="M54" s="3" t="inlineStr">
        <is>
          <t>1:15</t>
        </is>
      </c>
      <c r="N54" s="3" t="inlineStr">
        <is>
          <t>70 → 90 → 70°C (Thermal Oscillation Protocol)</t>
        </is>
      </c>
      <c r="O54" s="3" t="inlineStr">
        <is>
          <t>Unknown</t>
        </is>
      </c>
      <c r="P54" s="3" t="inlineStr">
        <is>
          <t>Lagom P64</t>
        </is>
      </c>
      <c r="Q54" s="5" t="n">
        <v>11</v>
      </c>
      <c r="R54" s="3" t="inlineStr">
        <is>
          <t>Lychee | Purple Grape | White Peach</t>
        </is>
      </c>
      <c r="S54" s="3" t="inlineStr">
        <is>
          <t>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is>
      </c>
      <c r="T54" s="3" t="inlineStr">
        <is>
          <t>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is>
      </c>
      <c r="U54" s="3" t="inlineStr">
        <is>
          <t>Third visit to Fluid Collective, 6 July 2026, 13:10, lunch. Menu fully rotated — all three filter offerings new. First cup of two ordered today. Experimental mood — chose anaerobic. Barista confirmed: ratio 1:15, temp 70→90→70°C, standard Fluid protocol.</t>
        </is>
      </c>
      <c r="V54" s="3" t="inlineStr">
        <is>
          <t>Live Field Audit — Third Visit</t>
        </is>
      </c>
      <c r="W54" s="4">
        <f>IF(OR(ISNUMBER(SEARCH("gesha",G54)),ISNUMBER(SEARCH("geisha",G54))),"⭐ GESHA","")</f>
        <v/>
      </c>
    </row>
    <row r="55">
      <c r="A55" s="53" t="n">
        <v>46209</v>
      </c>
      <c r="B55" s="3" t="inlineStr">
        <is>
          <t>Singapore</t>
        </is>
      </c>
      <c r="C55" s="3" t="inlineStr">
        <is>
          <t>Fluid Collective</t>
        </is>
      </c>
      <c r="D55" s="3" t="inlineStr">
        <is>
          <t>Gara Agena</t>
        </is>
      </c>
      <c r="E55" s="3" t="inlineStr">
        <is>
          <t>Gara Agena Washing Station</t>
        </is>
      </c>
      <c r="F55" s="3" t="inlineStr">
        <is>
          <t>Ethiopia</t>
        </is>
      </c>
      <c r="G55" s="3" t="inlineStr">
        <is>
          <t>Heirloom Ethiopian Varieties</t>
        </is>
      </c>
      <c r="H55" s="3" t="inlineStr">
        <is>
          <t>Washed Special Prep</t>
        </is>
      </c>
      <c r="I55" s="3" t="inlineStr">
        <is>
          <t>Light</t>
        </is>
      </c>
      <c r="J55" s="3" t="inlineStr">
        <is>
          <t>Hario Switch (Flat-Bottom Immersion Hybrid)</t>
        </is>
      </c>
      <c r="K55" s="3" t="n">
        <v>15</v>
      </c>
      <c r="L55" s="3" t="n">
        <v>225</v>
      </c>
      <c r="M55" s="3" t="inlineStr">
        <is>
          <t>1:15</t>
        </is>
      </c>
      <c r="N55" s="3" t="inlineStr">
        <is>
          <t>70 → 90 → 70°C (Thermal Oscillation Protocol)</t>
        </is>
      </c>
      <c r="O55" s="3" t="inlineStr">
        <is>
          <t>Unknown</t>
        </is>
      </c>
      <c r="P55" s="3" t="inlineStr">
        <is>
          <t>Lagom P64</t>
        </is>
      </c>
      <c r="Q55" s="5" t="n">
        <v>9</v>
      </c>
      <c r="R55" s="3" t="inlineStr">
        <is>
          <t>Nectarine | Mandarin Orange | Floral Honey</t>
        </is>
      </c>
      <c r="S55" s="3" t="inlineStr">
        <is>
          <t>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is>
      </c>
      <c r="T55" s="3" t="inlineStr">
        <is>
          <t>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is>
      </c>
      <c r="U55" s="3" t="inlineStr">
        <is>
          <t>Second cup of two at Fluid Collective third visit, 6 July 2026. Followed Alo Coffee Natural Anaerobic — deliberate contrast pairing. Gara Agena placed top of personal preference list by Hari. SGD 9 — outstanding value for Special Prep Ethiopian heirloom.</t>
        </is>
      </c>
      <c r="V55" s="3" t="inlineStr">
        <is>
          <t>Live Field Audit — Third Visit</t>
        </is>
      </c>
      <c r="W55" s="4">
        <f>IF(OR(ISNUMBER(SEARCH("gesha",G55)),ISNUMBER(SEARCH("geisha",G55))),"⭐ GESHA","")</f>
        <v/>
      </c>
    </row>
    <row r="56">
      <c r="A56" s="53" t="n">
        <v>46210</v>
      </c>
      <c r="B56" s="3" t="inlineStr">
        <is>
          <t>Singapore</t>
        </is>
      </c>
      <c r="C56" s="3" t="inlineStr">
        <is>
          <t>Pinhole Coffee Bar</t>
        </is>
      </c>
      <c r="D56" s="3" t="inlineStr">
        <is>
          <t>Santa Barbara #1 — Gesha Honey Colombia</t>
        </is>
      </c>
      <c r="E56" s="3" t="inlineStr">
        <is>
          <t>Jhon Samboni — Santa Barbara #1</t>
        </is>
      </c>
      <c r="F56" s="3" t="inlineStr">
        <is>
          <t>Colombia — Huila</t>
        </is>
      </c>
      <c r="G56" s="3" t="inlineStr">
        <is>
          <t>Gesha</t>
        </is>
      </c>
      <c r="H56" s="3" t="inlineStr">
        <is>
          <t>Honey</t>
        </is>
      </c>
      <c r="I56" s="3" t="inlineStr">
        <is>
          <t>Light</t>
        </is>
      </c>
      <c r="J56" s="3" t="inlineStr">
        <is>
          <t>Hario V60 Ceramic (Conical — Single Aperture)</t>
        </is>
      </c>
      <c r="K56" s="3" t="n">
        <v>13.5</v>
      </c>
      <c r="L56" s="3" t="n">
        <v>200</v>
      </c>
      <c r="M56" s="3" t="inlineStr">
        <is>
          <t>1:14.8</t>
        </is>
      </c>
      <c r="N56" s="3" t="inlineStr">
        <is>
          <t>92°C (Constant)</t>
        </is>
      </c>
      <c r="O56" s="3" t="inlineStr">
        <is>
          <t>52g (3.85× dose)</t>
        </is>
      </c>
      <c r="P56" s="3" t="inlineStr">
        <is>
          <t>Mahlkönig EK43 Mini (64mm Flat Burr)</t>
        </is>
      </c>
      <c r="Q56" s="5" t="n">
        <v>15</v>
      </c>
      <c r="R56" s="3" t="inlineStr">
        <is>
          <t>White Florals, Berry Candy, Tangerines</t>
        </is>
      </c>
      <c r="S56" s="3" t="inlineStr">
        <is>
          <t>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is>
      </c>
      <c r="T56" s="3" t="inlineStr">
        <is>
          <t>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is>
      </c>
      <c r="U56" s="3" t="inlineStr">
        <is>
          <t>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is>
      </c>
      <c r="V56" s="3" t="inlineStr">
        <is>
          <t>Live Field Audit — Café Debut + Bean Card (Slurp Coffee Project) + Barista Confirmation (dose/temp/pour protocol)</t>
        </is>
      </c>
      <c r="W56" s="4">
        <f>IF(OR(ISNUMBER(SEARCH("gesha",G56)),ISNUMBER(SEARCH("geisha",G56))),"⭐ GESHA","")</f>
        <v/>
      </c>
    </row>
    <row r="57">
      <c r="A57" s="53" t="n">
        <v>46211</v>
      </c>
      <c r="B57" s="3" t="inlineStr">
        <is>
          <t>Singapore</t>
        </is>
      </c>
      <c r="C57" s="3" t="inlineStr">
        <is>
          <t>Double Shot Coffee</t>
        </is>
      </c>
      <c r="D57" s="3" t="inlineStr">
        <is>
          <t>Kotowa Carolina Gesha</t>
        </is>
      </c>
      <c r="E57" s="3" t="inlineStr">
        <is>
          <t>Kotowa Estate — Carolina Lot</t>
        </is>
      </c>
      <c r="F57" s="3" t="inlineStr">
        <is>
          <t>Boquete, Chiriquí, Panama</t>
        </is>
      </c>
      <c r="G57" s="3" t="inlineStr">
        <is>
          <t>Gesha</t>
        </is>
      </c>
      <c r="H57" s="3" t="inlineStr">
        <is>
          <t>Natural</t>
        </is>
      </c>
      <c r="I57" s="3" t="inlineStr">
        <is>
          <t>Unknown</t>
        </is>
      </c>
      <c r="J57" s="3" t="inlineStr">
        <is>
          <t>OREA V4 (Flat-Bottom)</t>
        </is>
      </c>
      <c r="K57" s="3" t="n">
        <v>13.5</v>
      </c>
      <c r="L57" s="3" t="n">
        <v>180</v>
      </c>
      <c r="M57" s="3" t="inlineStr">
        <is>
          <t>1:13.3</t>
        </is>
      </c>
      <c r="N57" s="3" t="inlineStr">
        <is>
          <t>92°C</t>
        </is>
      </c>
      <c r="O57" s="3" t="inlineStr">
        <is>
          <t>50g bloom (4-pour: 50/50/50/30g)</t>
        </is>
      </c>
      <c r="P57" s="3" t="inlineStr">
        <is>
          <t>Ditting 63.5mm Flat Burr</t>
        </is>
      </c>
      <c r="Q57" s="5" t="n">
        <v>16</v>
      </c>
      <c r="R57" s="3" t="inlineStr">
        <is>
          <t>White Floral · Peach · White Grape</t>
        </is>
      </c>
      <c r="S57" s="3" t="inlineStr">
        <is>
          <t>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is>
      </c>
      <c r="T57" s="3" t="inlineStr">
        <is>
          <t>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is>
      </c>
      <c r="U57" s="3" t="inlineStr">
        <is>
          <t>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is>
      </c>
      <c r="V57" s="3" t="inlineStr">
        <is>
          <t>Live Field Audit — Menu photo + barista interview + direct observation (Ditting grinder confirmed, OREA V4 confirmed)</t>
        </is>
      </c>
      <c r="W57" s="4">
        <f>IF(OR(ISNUMBER(SEARCH("gesha",G57)),ISNUMBER(SEARCH("geisha",G57))),"⭐ GESHA","")</f>
        <v/>
      </c>
    </row>
    <row r="58">
      <c r="A58" s="53" t="n">
        <v>46211</v>
      </c>
      <c r="B58" s="3" t="inlineStr">
        <is>
          <t>Singapore</t>
        </is>
      </c>
      <c r="C58" s="3" t="inlineStr">
        <is>
          <t>Nylon Coffee Roasters</t>
        </is>
      </c>
      <c r="D58" s="3" t="inlineStr">
        <is>
          <t>La Flor de la Palma</t>
        </is>
      </c>
      <c r="E58" s="3" t="inlineStr">
        <is>
          <t>William Manchay Espinoza</t>
        </is>
      </c>
      <c r="F58" s="3" t="inlineStr">
        <is>
          <t>Peru</t>
        </is>
      </c>
      <c r="G58" s="3" t="inlineStr">
        <is>
          <t>Bourbon</t>
        </is>
      </c>
      <c r="H58" s="3" t="inlineStr">
        <is>
          <t>Natural</t>
        </is>
      </c>
      <c r="I58" s="3" t="inlineStr">
        <is>
          <t>Filter Roast</t>
        </is>
      </c>
      <c r="J58" s="3" t="inlineStr">
        <is>
          <t>xBloom (Flat-Bottom)</t>
        </is>
      </c>
      <c r="K58" s="3" t="inlineStr">
        <is>
          <t>Unknown</t>
        </is>
      </c>
      <c r="L58" s="3" t="inlineStr">
        <is>
          <t>Unknown</t>
        </is>
      </c>
      <c r="M58" s="3" t="inlineStr">
        <is>
          <t>1:17</t>
        </is>
      </c>
      <c r="N58" s="3" t="inlineStr">
        <is>
          <t>93</t>
        </is>
      </c>
      <c r="O58" s="3" t="inlineStr">
        <is>
          <t>Unknown</t>
        </is>
      </c>
      <c r="P58" s="3" t="inlineStr">
        <is>
          <t>Mahlkönig EK Omnia (98mm Flat Burr)</t>
        </is>
      </c>
      <c r="Q58" s="5" t="n">
        <v>8.5</v>
      </c>
      <c r="R58" s="3" t="inlineStr">
        <is>
          <t>Dried Berry; Cherry; Rum &amp; Raisin; Rose</t>
        </is>
      </c>
      <c r="S58" s="3" t="inlineStr">
        <is>
          <t>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is>
      </c>
      <c r="T58" s="3" t="inlineStr">
        <is>
          <t>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is>
      </c>
      <c r="U58" s="3" t="inlineStr">
        <is>
          <t>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is>
      </c>
      <c r="V58" s="3" t="inlineStr">
        <is>
          <t>Direct observation + bag photo (name/notes reference only) + barista confirmation (roast date 26 Jun 2026)</t>
        </is>
      </c>
      <c r="W58" s="4">
        <f>IF(OR(ISNUMBER(SEARCH("gesha",G58)),ISNUMBER(SEARCH("geisha",G58))),"⭐ GESHA","")</f>
        <v/>
      </c>
    </row>
    <row r="59">
      <c r="A59" s="53" t="n">
        <v>46212</v>
      </c>
      <c r="B59" s="3" t="inlineStr">
        <is>
          <t>Singapore</t>
        </is>
      </c>
      <c r="C59" s="3" t="inlineStr">
        <is>
          <t>Abseil</t>
        </is>
      </c>
      <c r="D59" s="3" t="inlineStr">
        <is>
          <t>El Sauce Gesha</t>
        </is>
      </c>
      <c r="E59" s="3" t="inlineStr">
        <is>
          <t>El Sauce Farm</t>
        </is>
      </c>
      <c r="F59" s="3" t="inlineStr">
        <is>
          <t>Colombia</t>
        </is>
      </c>
      <c r="G59" s="3" t="inlineStr">
        <is>
          <t>Gesha</t>
        </is>
      </c>
      <c r="H59" s="3" t="inlineStr">
        <is>
          <t>Washed</t>
        </is>
      </c>
      <c r="I59" s="3" t="inlineStr">
        <is>
          <t>Light</t>
        </is>
      </c>
      <c r="J59" s="3" t="inlineStr">
        <is>
          <t>CT62 Coffee Dripper (Taster's Coffee / DragonFly Design, Taiwan — Engineered Conical, 62° Cone, 24-Groove Active Flow Compensation)</t>
        </is>
      </c>
      <c r="K59" s="3" t="n">
        <v>15</v>
      </c>
      <c r="L59" s="3" t="n">
        <v>232</v>
      </c>
      <c r="M59" s="3" t="inlineStr">
        <is>
          <t>1:15.5</t>
        </is>
      </c>
      <c r="N59" s="3" t="inlineStr">
        <is>
          <t>91°C (Constant throughout)</t>
        </is>
      </c>
      <c r="O59" s="3" t="inlineStr">
        <is>
          <t>80g (~5.3× dose) — Aggressive CO₂ purge bloom</t>
        </is>
      </c>
      <c r="P59" s="3" t="inlineStr">
        <is>
          <t>Option-O Lagom P64 (64mm Flat Burr)</t>
        </is>
      </c>
      <c r="Q59" s="5" t="n">
        <v>21</v>
      </c>
      <c r="R59" s="3" t="inlineStr">
        <is>
          <t>Gardenia · Mandarin · Dried Apricot · Green Tea · Honeysuckle</t>
        </is>
      </c>
      <c r="S59" s="3" t="inlineStr">
        <is>
          <t>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is>
      </c>
      <c r="T59" s="3" t="inlineStr">
        <is>
          <t>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is>
      </c>
      <c r="U59" s="3" t="inlineStr">
        <is>
          <t>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is>
      </c>
      <c r="V59" s="3" t="inlineStr">
        <is>
          <t>Live Field Audit — menu photo + equipment photos + barista confirmation (Glenda) + CT62 product research (tasterscoffee.com)</t>
        </is>
      </c>
      <c r="W59" s="4">
        <f>IF(OR(ISNUMBER(SEARCH("gesha",G59)),ISNUMBER(SEARCH("geisha",G59))),"⭐ GESHA","")</f>
        <v/>
      </c>
    </row>
    <row r="60">
      <c r="A60" s="53" t="n">
        <v>46213</v>
      </c>
      <c r="B60" s="3" t="inlineStr">
        <is>
          <t>Singapore</t>
        </is>
      </c>
      <c r="C60" s="3" t="inlineStr">
        <is>
          <t>Oaks Coffee Co.</t>
        </is>
      </c>
      <c r="D60" s="3" t="inlineStr">
        <is>
          <t>Finca El Diviso</t>
        </is>
      </c>
      <c r="E60" s="3" t="inlineStr">
        <is>
          <t>Nestor Lasso</t>
        </is>
      </c>
      <c r="F60" s="3" t="inlineStr">
        <is>
          <t>Colombia</t>
        </is>
      </c>
      <c r="G60" s="3" t="inlineStr">
        <is>
          <t>Aji Bourbon</t>
        </is>
      </c>
      <c r="H60" s="3" t="inlineStr">
        <is>
          <t>Thermal Shock Anaerobic Natural</t>
        </is>
      </c>
      <c r="I60" s="3" t="inlineStr">
        <is>
          <t>Filter Roast</t>
        </is>
      </c>
      <c r="J60" s="3" t="inlineStr">
        <is>
          <t>Origami Dripper (Flat-Bottom)</t>
        </is>
      </c>
      <c r="K60" s="3" t="inlineStr">
        <is>
          <t>Unknown</t>
        </is>
      </c>
      <c r="L60" s="3" t="inlineStr">
        <is>
          <t>Unknown</t>
        </is>
      </c>
      <c r="M60" s="3" t="inlineStr">
        <is>
          <t>Unknown</t>
        </is>
      </c>
      <c r="N60" s="3" t="inlineStr">
        <is>
          <t>Unknown</t>
        </is>
      </c>
      <c r="O60" s="3" t="inlineStr">
        <is>
          <t>Unknown</t>
        </is>
      </c>
      <c r="P60" s="3" t="inlineStr">
        <is>
          <t>Option-O Lagom P80 (80mm Flat Burr — assumed)</t>
        </is>
      </c>
      <c r="Q60" s="5" t="n">
        <v>9</v>
      </c>
      <c r="R60" s="3" t="inlineStr">
        <is>
          <t>Lychee; Blueberry Jam; Cranberry</t>
        </is>
      </c>
      <c r="S60" s="3" t="inlineStr">
        <is>
          <t>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is>
      </c>
      <c r="T60" s="3" t="inlineStr">
        <is>
          <t>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is>
      </c>
      <c r="U60" s="3" t="inlineStr">
        <is>
          <t>With friend Alex — Oaks Coffee Co., Bukit Timah Road, 10 Jul 2026, 16:30, before Homeground mock-judge session. Second Oaks visit. Milestones: First Thermal Shock Anaerobic Natural, First Aji Bourbon, First Finca El Diviso (Nestor Lasso).</t>
        </is>
      </c>
      <c r="V60" s="3" t="inlineStr">
        <is>
          <t>Direct observation + bean card photo</t>
        </is>
      </c>
      <c r="W60" s="4">
        <f>IF(OR(ISNUMBER(SEARCH("gesha",G60)),ISNUMBER(SEARCH("geisha",G60))),"⭐ GESHA","")</f>
        <v/>
      </c>
    </row>
  </sheetData>
  <conditionalFormatting sqref="A2:W2000">
    <cfRule type="expression" priority="1" dxfId="0" stopIfTrue="1">
      <formula>AND($A2&lt;&gt;"",OR(ISNUMBER(SEARCH("gesha",$G2)),ISNUMBER(SEARCH("geisha",$G2))))</formula>
    </cfRule>
    <cfRule type="expression" priority="2" dxfId="1">
      <formula>AND($A2&lt;&gt;"",MOD(ROW(),2)=0)</formula>
    </cfRule>
    <cfRule type="expression" priority="3" dxfId="2">
      <formula>AND($A2&lt;&gt;"",MOD(ROW(),2)=1)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showGridLines="0" workbookViewId="0">
      <selection activeCell="A1" sqref="A1"/>
    </sheetView>
  </sheetViews>
  <sheetFormatPr baseColWidth="8" defaultRowHeight="15"/>
  <cols>
    <col width="2" customWidth="1" min="1" max="1"/>
    <col width="24" customWidth="1" min="2" max="2"/>
    <col width="34" customWidth="1" min="3" max="3"/>
    <col width="52" customWidth="1" min="4" max="4"/>
    <col width="16" customWidth="1" min="5" max="5"/>
    <col width="16" customWidth="1" min="6" max="6"/>
    <col width="16" customWidth="1" min="7" max="7"/>
    <col width="16" customWidth="1" min="8" max="8"/>
    <col width="16" customWidth="1" min="9" max="9"/>
    <col width="18" customWidth="1" min="10" max="10"/>
  </cols>
  <sheetData>
    <row r="1">
      <c r="A1" s="6" t="n"/>
      <c r="B1" s="7" t="inlineStr">
        <is>
          <t>☕  THE HARI COFFEE ARCHIVE — 2026</t>
        </is>
      </c>
      <c r="C1" s="6" t="n"/>
      <c r="D1" s="6" t="n"/>
      <c r="E1" s="6" t="n"/>
      <c r="F1" s="6" t="n"/>
      <c r="G1" s="6" t="n"/>
      <c r="H1" s="6" t="n"/>
      <c r="I1" s="6" t="n"/>
      <c r="J1" s="6" t="n"/>
      <c r="K1" s="6" t="n"/>
      <c r="L1" s="6" t="n"/>
    </row>
    <row r="2">
      <c r="A2" s="6" t="n"/>
      <c r="B2" s="8" t="inlineStr">
        <is>
          <t>A Master Extraction Archivist's living record · Singapore · Bali · Mumbai · Johor Bahru</t>
        </is>
      </c>
      <c r="C2" s="6" t="n"/>
      <c r="D2" s="6" t="n"/>
      <c r="E2" s="6" t="n"/>
      <c r="F2" s="6" t="n"/>
      <c r="G2" s="6" t="n"/>
      <c r="H2" s="6" t="n"/>
      <c r="I2" s="6" t="n"/>
      <c r="J2" s="6" t="n"/>
      <c r="K2" s="6" t="n"/>
      <c r="L2" s="6" t="n"/>
    </row>
    <row r="4">
      <c r="B4" s="9" t="inlineStr">
        <is>
          <t>📊  ARCHIVE VITALS — live formulas, auto-update with every new entry</t>
        </is>
      </c>
      <c r="C4" s="10" t="n"/>
      <c r="D4" s="10" t="n"/>
      <c r="E4" s="10" t="n"/>
      <c r="F4" s="10" t="n"/>
      <c r="G4" s="10" t="n"/>
      <c r="H4" s="10" t="n"/>
      <c r="I4" s="10" t="n"/>
      <c r="J4" s="10" t="n"/>
      <c r="K4" s="10" t="n"/>
    </row>
    <row r="6">
      <c r="B6" s="11" t="inlineStr">
        <is>
          <t>TOTAL ENTRIES</t>
        </is>
      </c>
      <c r="C6" s="11" t="inlineStr">
        <is>
          <t>UNIQUE CAFÉS</t>
        </is>
      </c>
      <c r="D6" s="11" t="inlineStr">
        <is>
          <t>CITIES</t>
        </is>
      </c>
      <c r="E6" s="11" t="inlineStr">
        <is>
          <t>ORIGIN LOTS</t>
        </is>
      </c>
      <c r="F6" s="11" t="inlineStr">
        <is>
          <t>GESHA CUPS</t>
        </is>
      </c>
      <c r="G6" s="11" t="inlineStr">
        <is>
          <t>VARIETALS</t>
        </is>
      </c>
      <c r="H6" s="11" t="inlineStr">
        <is>
          <t>AVG SGD</t>
        </is>
      </c>
      <c r="I6" s="11" t="inlineStr">
        <is>
          <t>FIRST ENTRY</t>
        </is>
      </c>
      <c r="J6" s="11" t="inlineStr">
        <is>
          <t>LATEST ENTRY</t>
        </is>
      </c>
    </row>
    <row r="7">
      <c r="B7" s="12">
        <f>COUNTA('Coffee Audit'!A2:A2000)</f>
        <v/>
      </c>
      <c r="C7" s="12">
        <f>SUMPRODUCT(('Coffee Audit'!C2:C2000&lt;&gt;"")/COUNTIF('Coffee Audit'!C2:C2000,'Coffee Audit'!C2:C2000&amp;""))</f>
        <v/>
      </c>
      <c r="D7" s="12">
        <f>SUMPRODUCT(('Coffee Audit'!B2:B2000&lt;&gt;"")/COUNTIF('Coffee Audit'!B2:B2000,'Coffee Audit'!B2:B2000&amp;""))</f>
        <v/>
      </c>
      <c r="E7" s="12">
        <f>SUMPRODUCT(('Coffee Audit'!F2:F2000&lt;&gt;"")/COUNTIF('Coffee Audit'!F2:F2000,'Coffee Audit'!F2:F2000&amp;""))</f>
        <v/>
      </c>
      <c r="F7" s="12">
        <f>COUNTIF('Coffee Audit'!W2:W2000,"⭐ GESHA")</f>
        <v/>
      </c>
      <c r="G7" s="12">
        <f>SUMPRODUCT(('Coffee Audit'!G2:G2000&lt;&gt;"")/COUNTIF('Coffee Audit'!G2:G2000,'Coffee Audit'!G2:G2000&amp;""))</f>
        <v/>
      </c>
      <c r="H7" s="13">
        <f>AVERAGEIF('Coffee Audit'!Q2:Q2000,"&gt;0")</f>
        <v/>
      </c>
      <c r="I7" s="12">
        <f>TEXT(MIN('Coffee Audit'!A2:A2000),"DD MMM")</f>
        <v/>
      </c>
      <c r="J7" s="12">
        <f>TEXT(MAX('Coffee Audit'!A2:A2000),"DD MMM YYYY")</f>
        <v/>
      </c>
    </row>
    <row r="9">
      <c r="B9" s="9" t="inlineStr">
        <is>
          <t>📖  THE ARCHIVE THESIS</t>
        </is>
      </c>
      <c r="C9" s="10" t="n"/>
      <c r="D9" s="10" t="n"/>
      <c r="E9" s="10" t="n"/>
      <c r="F9" s="10" t="n"/>
      <c r="G9" s="10" t="n"/>
      <c r="H9" s="10" t="n"/>
      <c r="I9" s="10" t="n"/>
      <c r="J9" s="10" t="n"/>
      <c r="K9" s="10" t="n"/>
    </row>
    <row r="10">
      <c r="B10" s="14" t="inlineStr">
        <is>
          <t>Fifty-nine cups. Thirty-three cafés. Four cities. One palate, decoded in three thermal phases. This archive is a longitudinal study of a single palate: washed-process clarity over fermentation complexity, malic acid and linalool as the north stars, flat burrs and flat-bottom geometry as the preferred physics. Every entry is a field audit — hardware identified, parameters confirmed with the barista where offered, sensory record kept across HOT, MID-COOL and COOL. The data shows a palate that rewards precision: Gesha remains the apex varietal (12 entries), Colombia and Ethiopia the dominant origins, and the archive's verdicts consistently favour cups where process serves terroir rather than replacing it.</t>
        </is>
      </c>
    </row>
    <row r="11"/>
    <row r="12"/>
    <row r="13"/>
    <row r="14"/>
    <row r="16">
      <c r="B16" s="9" t="inlineStr">
        <is>
          <t>🏆  ARCHIVE HONOURS BOARD</t>
        </is>
      </c>
      <c r="C16" s="10" t="n"/>
      <c r="D16" s="10" t="n"/>
      <c r="E16" s="10" t="n"/>
      <c r="F16" s="10" t="n"/>
      <c r="G16" s="10" t="n"/>
      <c r="H16" s="10" t="n"/>
      <c r="I16" s="10" t="n"/>
      <c r="J16" s="10" t="n"/>
      <c r="K16" s="10" t="n"/>
    </row>
    <row r="17">
      <c r="B17" s="15" t="inlineStr">
        <is>
          <t>Honour</t>
        </is>
      </c>
      <c r="C17" s="15" t="inlineStr">
        <is>
          <t>Holder</t>
        </is>
      </c>
      <c r="D17" s="15" t="inlineStr">
        <is>
          <t>Detail</t>
        </is>
      </c>
    </row>
    <row r="18">
      <c r="B18" s="16" t="inlineStr">
        <is>
          <t>Cup of the Year (to date)</t>
        </is>
      </c>
      <c r="C18" s="17" t="inlineStr">
        <is>
          <t>Fluid Collective — Gesha lineage</t>
        </is>
      </c>
      <c r="D18" s="17" t="inlineStr">
        <is>
          <t>Thermal-oscillation protocol; National Brewers Cup champion bar</t>
        </is>
      </c>
    </row>
    <row r="19">
      <c r="B19" s="18" t="inlineStr">
        <is>
          <t>Friendliest Baristas (joint)</t>
        </is>
      </c>
      <c r="C19" s="19" t="inlineStr">
        <is>
          <t>Aqil — Zerah Roasters · Glenda — Abseil</t>
        </is>
      </c>
      <c r="D19" s="19" t="inlineStr">
        <is>
          <t>Joint #1 across all 59 audits</t>
        </is>
      </c>
    </row>
    <row r="20">
      <c r="B20" s="16" t="inlineStr">
        <is>
          <t>Most Audited Café</t>
        </is>
      </c>
      <c r="C20" s="17" t="inlineStr">
        <is>
          <t>Nylon Coffee Roasters</t>
        </is>
      </c>
      <c r="D20" s="17" t="inlineStr">
        <is>
          <t>Reliability anchor of the archive</t>
        </is>
      </c>
    </row>
    <row r="21">
      <c r="B21" s="18" t="inlineStr">
        <is>
          <t>Best Value Discovery</t>
        </is>
      </c>
      <c r="C21" s="19" t="inlineStr">
        <is>
          <t>Oaks Coffee Co. — Floripondio 90 Hours</t>
        </is>
      </c>
      <c r="D21" s="19" t="inlineStr">
        <is>
          <t>SGD 9 · Bolivia Pacamara Lactic Honey · café Day 4</t>
        </is>
      </c>
    </row>
    <row r="22">
      <c r="B22" s="16" t="inlineStr">
        <is>
          <t>Boldest Process Encountered</t>
        </is>
      </c>
      <c r="C22" s="17" t="inlineStr">
        <is>
          <t>Finca El Diviso — Thermal Shock Anaerobic</t>
        </is>
      </c>
      <c r="D22" s="17" t="inlineStr">
        <is>
          <t>Nestor Lasso · palate threshold boundary confirmed</t>
        </is>
      </c>
    </row>
    <row r="23">
      <c r="B23" s="18" t="inlineStr">
        <is>
          <t>Process Trilogy Completed</t>
        </is>
      </c>
      <c r="C23" s="19" t="inlineStr">
        <is>
          <t>Colombia Gesha — Washed/Honey/Natural</t>
        </is>
      </c>
      <c r="D23" s="19" t="inlineStr">
        <is>
          <t>Fluid Collective · Keryi · Homeground</t>
        </is>
      </c>
    </row>
  </sheetData>
  <mergeCells count="1">
    <mergeCell ref="B10:J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
  <sheetViews>
    <sheetView showGridLines="0" workbookViewId="0">
      <selection activeCell="A1" sqref="A1"/>
    </sheetView>
  </sheetViews>
  <sheetFormatPr baseColWidth="8" defaultRowHeight="15"/>
  <cols>
    <col width="2" customWidth="1" min="1" max="1"/>
    <col width="26" customWidth="1" min="2" max="2"/>
    <col width="10" customWidth="1" min="3" max="3"/>
    <col width="64" customWidth="1" min="4" max="4"/>
  </cols>
  <sheetData>
    <row r="1">
      <c r="A1" s="6" t="n"/>
      <c r="B1" s="7" t="inlineStr">
        <is>
          <t>🧬  PALATE DNA — PROCESS · GEOMETRY · RATIO</t>
        </is>
      </c>
      <c r="C1" s="6" t="n"/>
      <c r="D1" s="6" t="n"/>
      <c r="E1" s="6" t="n"/>
      <c r="F1" s="6" t="n"/>
      <c r="G1" s="6" t="n"/>
      <c r="H1" s="6" t="n"/>
      <c r="I1" s="6" t="n"/>
      <c r="J1" s="6" t="n"/>
    </row>
    <row r="2">
      <c r="A2" s="6" t="n"/>
      <c r="B2" s="8" t="inlineStr">
        <is>
          <t>Clarity &gt; Complexity · washed-dominant · flat-bottom preferred · 1:15–1:17 band</t>
        </is>
      </c>
      <c r="C2" s="6" t="n"/>
      <c r="D2" s="6" t="n"/>
      <c r="E2" s="6" t="n"/>
      <c r="F2" s="6" t="n"/>
      <c r="G2" s="6" t="n"/>
      <c r="H2" s="6" t="n"/>
      <c r="I2" s="6" t="n"/>
      <c r="J2" s="6" t="n"/>
    </row>
    <row r="4">
      <c r="B4" s="9" t="inlineStr">
        <is>
          <t>🧪  PROCESS DISTRIBUTION — what the palate actually drank</t>
        </is>
      </c>
      <c r="C4" s="10" t="n"/>
      <c r="D4" s="10" t="n"/>
      <c r="E4" s="10" t="n"/>
      <c r="F4" s="10" t="n"/>
      <c r="G4" s="10" t="n"/>
      <c r="H4" s="10" t="n"/>
      <c r="I4" s="10" t="n"/>
      <c r="J4" s="10" t="n"/>
    </row>
    <row r="5">
      <c r="B5" s="15" t="inlineStr">
        <is>
          <t>Process family</t>
        </is>
      </c>
      <c r="C5" s="15" t="inlineStr">
        <is>
          <t>Entries</t>
        </is>
      </c>
      <c r="D5" s="15" t="inlineStr">
        <is>
          <t>Share</t>
        </is>
      </c>
    </row>
    <row r="6">
      <c r="B6" s="20" t="inlineStr">
        <is>
          <t>Washed</t>
        </is>
      </c>
      <c r="C6" s="21">
        <f>COUNTIF('Coffee Audit'!H2:H2000,"*Washed*")</f>
        <v/>
      </c>
      <c r="D6" s="22">
        <f>C6/COUNTA('Coffee Audit'!H2:H2000)</f>
        <v/>
      </c>
    </row>
    <row r="7">
      <c r="B7" s="23" t="inlineStr">
        <is>
          <t>Natural</t>
        </is>
      </c>
      <c r="C7" s="24">
        <f>COUNTIF('Coffee Audit'!H2:H2000,"*Natural*")</f>
        <v/>
      </c>
      <c r="D7" s="25">
        <f>C7/COUNTA('Coffee Audit'!H2:H2000)</f>
        <v/>
      </c>
    </row>
    <row r="8">
      <c r="B8" s="20" t="inlineStr">
        <is>
          <t>Honey</t>
        </is>
      </c>
      <c r="C8" s="21">
        <f>COUNTIF('Coffee Audit'!H2:H2000,"*Honey*")</f>
        <v/>
      </c>
      <c r="D8" s="22">
        <f>C8/COUNTA('Coffee Audit'!H2:H2000)</f>
        <v/>
      </c>
    </row>
    <row r="9">
      <c r="B9" s="23" t="inlineStr">
        <is>
          <t>Anaerobic</t>
        </is>
      </c>
      <c r="C9" s="24">
        <f>COUNTIF('Coffee Audit'!H2:H2000,"*Anaerobic*")</f>
        <v/>
      </c>
      <c r="D9" s="25">
        <f>C9/COUNTA('Coffee Audit'!H2:H2000)</f>
        <v/>
      </c>
    </row>
    <row r="10">
      <c r="B10" s="20" t="inlineStr">
        <is>
          <t>Lactic</t>
        </is>
      </c>
      <c r="C10" s="21">
        <f>COUNTIF('Coffee Audit'!H2:H2000,"*Lactic*")</f>
        <v/>
      </c>
      <c r="D10" s="22">
        <f>C10/COUNTA('Coffee Audit'!H2:H2000)</f>
        <v/>
      </c>
    </row>
    <row r="11">
      <c r="B11" s="23" t="inlineStr">
        <is>
          <t>Thermal Shock</t>
        </is>
      </c>
      <c r="C11" s="24">
        <f>COUNTIF('Coffee Audit'!H2:H2000,"*Thermal Shock*")</f>
        <v/>
      </c>
      <c r="D11" s="25">
        <f>C11/COUNTA('Coffee Audit'!H2:H2000)</f>
        <v/>
      </c>
    </row>
    <row r="12">
      <c r="B12" s="20" t="inlineStr">
        <is>
          <t>Wet-Hulled</t>
        </is>
      </c>
      <c r="C12" s="21">
        <f>COUNTIF('Coffee Audit'!H2:H2000,"*Wet-Hulled*")</f>
        <v/>
      </c>
      <c r="D12" s="22">
        <f>C12/COUNTA('Coffee Audit'!H2:H2000)</f>
        <v/>
      </c>
    </row>
    <row r="13">
      <c r="B13" s="23" t="inlineStr">
        <is>
          <t>Experimental</t>
        </is>
      </c>
      <c r="C13" s="24">
        <f>COUNTIF('Coffee Audit'!H2:H2000,"*Experimental*")</f>
        <v/>
      </c>
      <c r="D13" s="25">
        <f>C13/COUNTA('Coffee Audit'!H2:H2000)</f>
        <v/>
      </c>
    </row>
    <row r="14">
      <c r="B14" s="26" t="inlineStr">
        <is>
          <t>Note: families overlap (e.g. "Anaerobic Natural" counts in both) — this maps palate exposure, not exclusive buckets.</t>
        </is>
      </c>
    </row>
    <row r="22">
      <c r="B22" s="9" t="inlineStr">
        <is>
          <t>📐  BREWER GEOMETRY — the flat-bottom thesis</t>
        </is>
      </c>
      <c r="C22" s="10" t="n"/>
      <c r="D22" s="10" t="n"/>
      <c r="E22" s="10" t="n"/>
      <c r="F22" s="10" t="n"/>
      <c r="G22" s="10" t="n"/>
      <c r="H22" s="10" t="n"/>
      <c r="I22" s="10" t="n"/>
      <c r="J22" s="10" t="n"/>
    </row>
    <row r="23">
      <c r="B23" s="15" t="inlineStr">
        <is>
          <t>Geometry</t>
        </is>
      </c>
      <c r="C23" s="15" t="inlineStr">
        <is>
          <t>Entries</t>
        </is>
      </c>
      <c r="D23" s="15" t="inlineStr">
        <is>
          <t>Archive verdict</t>
        </is>
      </c>
    </row>
    <row r="24">
      <c r="B24" s="16" t="inlineStr">
        <is>
          <t>Flat-bottom / flatbed</t>
        </is>
      </c>
      <c r="C24" s="17">
        <f>COUNTIF('Coffee Audit'!J2:J2000,"*Flat*")</f>
        <v/>
      </c>
      <c r="D24" s="17" t="inlineStr">
        <is>
          <t>Preferred — even bed saturation, zero bypass</t>
        </is>
      </c>
    </row>
    <row r="25">
      <c r="B25" s="18" t="inlineStr">
        <is>
          <t>Conical (V60 family)</t>
        </is>
      </c>
      <c r="C25" s="19">
        <f>COUNTIF('Coffee Audit'!J2:J2000,"*V60*")+COUNTIF('Coffee Audit'!J2:J2000,"*Conical*")</f>
        <v/>
      </c>
      <c r="D25" s="19" t="inlineStr">
        <is>
          <t>⚠ Over-extraction risk flag — documented repeatedly</t>
        </is>
      </c>
    </row>
    <row r="26">
      <c r="B26" s="16" t="inlineStr">
        <is>
          <t>Engineered conical (CT62)</t>
        </is>
      </c>
      <c r="C26" s="17">
        <f>COUNTIF('Coffee Audit'!J2:J2000,"*CT62*")</f>
        <v/>
      </c>
      <c r="D26" s="17" t="inlineStr">
        <is>
          <t>Own category — 24-groove flow compensation earns exemption</t>
        </is>
      </c>
    </row>
    <row r="27">
      <c r="B27" s="18" t="inlineStr">
        <is>
          <t>Immersion / hybrid</t>
        </is>
      </c>
      <c r="C27" s="19">
        <f>COUNTIF('Coffee Audit'!J2:J2000,"*Immersion*")+COUNTIF('Coffee Audit'!J2:J2000,"*Switch*")+COUNTIF('Coffee Audit'!J2:J2000,"*AeroPress*")</f>
        <v/>
      </c>
      <c r="D27" s="19" t="inlineStr">
        <is>
          <t>Occasional — body over clarity</t>
        </is>
      </c>
    </row>
    <row r="28">
      <c r="B28" s="16" t="inlineStr">
        <is>
          <t>Espresso-based</t>
        </is>
      </c>
      <c r="C28" s="17">
        <f>COUNTIF('Coffee Audit'!J2:J2000,"*Espresso*")</f>
        <v/>
      </c>
      <c r="D28" s="17" t="inlineStr">
        <is>
          <t>Companion / milk calibration entries</t>
        </is>
      </c>
    </row>
    <row r="30">
      <c r="B30" s="9" t="inlineStr">
        <is>
          <t>⚖️  RATIO BAND — 1:15–1:17 optimal window</t>
        </is>
      </c>
      <c r="C30" s="10" t="n"/>
      <c r="D30" s="10" t="n"/>
      <c r="E30" s="10" t="n"/>
      <c r="F30" s="10" t="n"/>
      <c r="G30" s="10" t="n"/>
      <c r="H30" s="10" t="n"/>
      <c r="I30" s="10" t="n"/>
      <c r="J30" s="10" t="n"/>
    </row>
    <row r="31">
      <c r="B31" s="15" t="inlineStr">
        <is>
          <t>Ratio</t>
        </is>
      </c>
      <c r="C31" s="15" t="inlineStr">
        <is>
          <t>Entries</t>
        </is>
      </c>
      <c r="D31" s="15" t="inlineStr">
        <is>
          <t>Chemistry note</t>
        </is>
      </c>
    </row>
    <row r="32">
      <c r="B32" s="16" t="inlineStr">
        <is>
          <t>1:13–1:14 (concentrated)</t>
        </is>
      </c>
      <c r="C32" s="17">
        <f>COUNTIF('Coffee Audit'!M2:M2000,"1:13*")+COUNTIF('Coffee Audit'!M2:M2000,"1:14*")</f>
        <v/>
      </c>
      <c r="D32" s="17" t="inlineStr">
        <is>
          <t>Amplifies polyphenolic bitterness at cool phase; suppresses sucrose — documented at Double Shot &amp; Equate</t>
        </is>
      </c>
    </row>
    <row r="33">
      <c r="B33" s="18" t="inlineStr">
        <is>
          <t>1:15 (archive default)</t>
        </is>
      </c>
      <c r="C33" s="19">
        <f>COUNTIF('Coffee Audit'!M2:M2000,"1:15*")</f>
        <v/>
      </c>
      <c r="D33" s="19" t="inlineStr">
        <is>
          <t>Default assumption 15g/225g — sweet-spot density</t>
        </is>
      </c>
    </row>
    <row r="34">
      <c r="B34" s="16" t="inlineStr">
        <is>
          <t>1:16</t>
        </is>
      </c>
      <c r="C34" s="17">
        <f>COUNTIF('Coffee Audit'!M2:M2000,"1:16*")</f>
        <v/>
      </c>
      <c r="D34" s="17" t="inlineStr">
        <is>
          <t>Most common café service ratio in the archive</t>
        </is>
      </c>
    </row>
    <row r="35">
      <c r="B35" s="18" t="inlineStr">
        <is>
          <t>1:17 (lean)</t>
        </is>
      </c>
      <c r="C35" s="19">
        <f>COUNTIF('Coffee Audit'!M2:M2000,"1:17*")</f>
        <v/>
      </c>
      <c r="D35" s="19" t="inlineStr">
        <is>
          <t>Risk: insufficient sucrose-ester mass vs CGA lactone bitterness on naturals</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36"/>
  <sheetViews>
    <sheetView showGridLines="0" workbookViewId="0">
      <selection activeCell="A1" sqref="A1"/>
    </sheetView>
  </sheetViews>
  <sheetFormatPr baseColWidth="8" defaultRowHeight="15"/>
  <cols>
    <col width="2" customWidth="1" min="1" max="1"/>
    <col width="26" customWidth="1" min="2" max="2"/>
    <col width="46" customWidth="1" min="3" max="3"/>
    <col width="10" customWidth="1" min="4" max="4"/>
  </cols>
  <sheetData>
    <row r="1">
      <c r="A1" s="6" t="n"/>
      <c r="B1" s="7" t="inlineStr">
        <is>
          <t>🌍  ORIGIN &amp; TERROIR ATLAS</t>
        </is>
      </c>
      <c r="C1" s="6" t="n"/>
      <c r="D1" s="6" t="n"/>
      <c r="E1" s="6" t="n"/>
      <c r="F1" s="6" t="n"/>
      <c r="G1" s="6" t="n"/>
      <c r="H1" s="6" t="n"/>
      <c r="I1" s="6" t="n"/>
      <c r="J1" s="6" t="n"/>
    </row>
    <row r="2">
      <c r="A2" s="6" t="n"/>
      <c r="B2" s="8" t="inlineStr">
        <is>
          <t>Where the archive has travelled — by bean, not by boarding pass</t>
        </is>
      </c>
      <c r="C2" s="6" t="n"/>
      <c r="D2" s="6" t="n"/>
      <c r="E2" s="6" t="n"/>
      <c r="F2" s="6" t="n"/>
      <c r="G2" s="6" t="n"/>
      <c r="H2" s="6" t="n"/>
      <c r="I2" s="6" t="n"/>
      <c r="J2" s="6" t="n"/>
    </row>
    <row r="4">
      <c r="B4" s="9" t="inlineStr">
        <is>
          <t>🗺️  ORIGIN LEAGUE TABLE</t>
        </is>
      </c>
      <c r="C4" s="10" t="n"/>
      <c r="D4" s="10" t="n"/>
      <c r="E4" s="10" t="n"/>
      <c r="F4" s="10" t="n"/>
      <c r="G4" s="10" t="n"/>
      <c r="H4" s="10" t="n"/>
      <c r="I4" s="10" t="n"/>
      <c r="J4" s="10" t="n"/>
    </row>
    <row r="5">
      <c r="B5" s="15" t="inlineStr">
        <is>
          <t>Origin</t>
        </is>
      </c>
      <c r="C5" s="15" t="inlineStr">
        <is>
          <t>Entries</t>
        </is>
      </c>
      <c r="D5" s="15" t="inlineStr">
        <is>
          <t>Share</t>
        </is>
      </c>
    </row>
    <row r="6">
      <c r="B6" s="20" t="inlineStr">
        <is>
          <t>Colombia</t>
        </is>
      </c>
      <c r="C6" s="21">
        <f>COUNTIF('Coffee Audit'!F2:F2000,"*Colombia*")</f>
        <v/>
      </c>
      <c r="D6" s="22">
        <f>C6/COUNTA('Coffee Audit'!F2:F2000)</f>
        <v/>
      </c>
    </row>
    <row r="7">
      <c r="B7" s="23" t="inlineStr">
        <is>
          <t>Ethiopia</t>
        </is>
      </c>
      <c r="C7" s="24">
        <f>COUNTIF('Coffee Audit'!F2:F2000,"*Ethiopia*")</f>
        <v/>
      </c>
      <c r="D7" s="25">
        <f>C7/COUNTA('Coffee Audit'!F2:F2000)</f>
        <v/>
      </c>
    </row>
    <row r="8">
      <c r="B8" s="20" t="inlineStr">
        <is>
          <t>Panama</t>
        </is>
      </c>
      <c r="C8" s="21">
        <f>COUNTIF('Coffee Audit'!F2:F2000,"*Panama*")</f>
        <v/>
      </c>
      <c r="D8" s="22">
        <f>C8/COUNTA('Coffee Audit'!F2:F2000)</f>
        <v/>
      </c>
    </row>
    <row r="9">
      <c r="B9" s="23" t="inlineStr">
        <is>
          <t>Kenya</t>
        </is>
      </c>
      <c r="C9" s="24">
        <f>COUNTIF('Coffee Audit'!F2:F2000,"*Kenya*")</f>
        <v/>
      </c>
      <c r="D9" s="25">
        <f>C9/COUNTA('Coffee Audit'!F2:F2000)</f>
        <v/>
      </c>
    </row>
    <row r="10">
      <c r="B10" s="20" t="inlineStr">
        <is>
          <t>Bolivia</t>
        </is>
      </c>
      <c r="C10" s="21">
        <f>COUNTIF('Coffee Audit'!F2:F2000,"*Bolivia*")</f>
        <v/>
      </c>
      <c r="D10" s="22">
        <f>C10/COUNTA('Coffee Audit'!F2:F2000)</f>
        <v/>
      </c>
    </row>
    <row r="11">
      <c r="B11" s="23" t="inlineStr">
        <is>
          <t>Honduras</t>
        </is>
      </c>
      <c r="C11" s="24">
        <f>COUNTIF('Coffee Audit'!F2:F2000,"*Honduras*")</f>
        <v/>
      </c>
      <c r="D11" s="25">
        <f>C11/COUNTA('Coffee Audit'!F2:F2000)</f>
        <v/>
      </c>
    </row>
    <row r="12">
      <c r="B12" s="20" t="inlineStr">
        <is>
          <t>India</t>
        </is>
      </c>
      <c r="C12" s="21">
        <f>COUNTIF('Coffee Audit'!F2:F2000,"*India*")</f>
        <v/>
      </c>
      <c r="D12" s="22">
        <f>C12/COUNTA('Coffee Audit'!F2:F2000)</f>
        <v/>
      </c>
    </row>
    <row r="13">
      <c r="B13" s="23" t="inlineStr">
        <is>
          <t>Indonesia</t>
        </is>
      </c>
      <c r="C13" s="24">
        <f>COUNTIF('Coffee Audit'!F2:F2000,"*Indonesia*")</f>
        <v/>
      </c>
      <c r="D13" s="25">
        <f>C13/COUNTA('Coffee Audit'!F2:F2000)</f>
        <v/>
      </c>
    </row>
    <row r="14">
      <c r="B14" s="20" t="inlineStr">
        <is>
          <t>Peru</t>
        </is>
      </c>
      <c r="C14" s="21">
        <f>COUNTIF('Coffee Audit'!F2:F2000,"*Peru*")</f>
        <v/>
      </c>
      <c r="D14" s="22">
        <f>C14/COUNTA('Coffee Audit'!F2:F2000)</f>
        <v/>
      </c>
    </row>
    <row r="15">
      <c r="B15" s="23" t="inlineStr">
        <is>
          <t>Brazil</t>
        </is>
      </c>
      <c r="C15" s="24">
        <f>COUNTIF('Coffee Audit'!F2:F2000,"*Brazil*")</f>
        <v/>
      </c>
      <c r="D15" s="25">
        <f>C15/COUNTA('Coffee Audit'!F2:F2000)</f>
        <v/>
      </c>
    </row>
    <row r="16">
      <c r="B16" s="20" t="inlineStr">
        <is>
          <t>El Salvador</t>
        </is>
      </c>
      <c r="C16" s="21">
        <f>COUNTIF('Coffee Audit'!F2:F2000,"*El Salvador*")</f>
        <v/>
      </c>
      <c r="D16" s="22">
        <f>C16/COUNTA('Coffee Audit'!F2:F2000)</f>
        <v/>
      </c>
    </row>
    <row r="17">
      <c r="B17" s="23" t="inlineStr">
        <is>
          <t>Myanmar</t>
        </is>
      </c>
      <c r="C17" s="24">
        <f>COUNTIF('Coffee Audit'!F2:F2000,"*Myanmar*")</f>
        <v/>
      </c>
      <c r="D17" s="25">
        <f>C17/COUNTA('Coffee Audit'!F2:F2000)</f>
        <v/>
      </c>
    </row>
    <row r="18">
      <c r="B18" s="20" t="inlineStr">
        <is>
          <t>China</t>
        </is>
      </c>
      <c r="C18" s="21">
        <f>COUNTIF('Coffee Audit'!F2:F2000,"*China*")</f>
        <v/>
      </c>
      <c r="D18" s="22">
        <f>C18/COUNTA('Coffee Audit'!F2:F2000)</f>
        <v/>
      </c>
    </row>
    <row r="19">
      <c r="B19" s="23" t="inlineStr">
        <is>
          <t>Ecuador</t>
        </is>
      </c>
      <c r="C19" s="24">
        <f>COUNTIF('Coffee Audit'!F2:F2000,"*Ecuador*")</f>
        <v/>
      </c>
      <c r="D19" s="25">
        <f>C19/COUNTA('Coffee Audit'!F2:F2000)</f>
        <v/>
      </c>
    </row>
    <row r="20">
      <c r="B20" s="20" t="inlineStr">
        <is>
          <t>Rwanda</t>
        </is>
      </c>
      <c r="C20" s="21">
        <f>COUNTIF('Coffee Audit'!F2:F2000,"*Rwanda*")</f>
        <v/>
      </c>
      <c r="D20" s="22">
        <f>C20/COUNTA('Coffee Audit'!F2:F2000)</f>
        <v/>
      </c>
    </row>
    <row r="22">
      <c r="B22" s="9" t="inlineStr">
        <is>
          <t>⭐  THE GESHA REGISTER — apex varietal tracker</t>
        </is>
      </c>
      <c r="C22" s="10" t="n"/>
      <c r="D22" s="10" t="n"/>
      <c r="E22" s="10" t="n"/>
      <c r="F22" s="10" t="n"/>
      <c r="G22" s="10" t="n"/>
      <c r="H22" s="10" t="n"/>
      <c r="I22" s="10" t="n"/>
      <c r="J22" s="10" t="n"/>
    </row>
    <row r="23">
      <c r="B23" s="15" t="inlineStr">
        <is>
          <t>Metric</t>
        </is>
      </c>
      <c r="C23" s="15" t="inlineStr">
        <is>
          <t>Value</t>
        </is>
      </c>
    </row>
    <row r="24">
      <c r="B24" s="27" t="inlineStr">
        <is>
          <t>Total Gesha/Geisha entries</t>
        </is>
      </c>
      <c r="C24" s="28">
        <f>COUNTIF('Coffee Audit'!W2:W2000,"⭐ GESHA")</f>
        <v/>
      </c>
    </row>
    <row r="25">
      <c r="B25" s="27" t="inlineStr">
        <is>
          <t>Washed Gesha</t>
        </is>
      </c>
      <c r="C25" s="28">
        <f>SUMPRODUCT(('Coffee Audit'!W2:W2000="⭐ GESHA")*(ISNUMBER(SEARCH("washed",'Coffee Audit'!H2:H2000))))</f>
        <v/>
      </c>
    </row>
    <row r="26">
      <c r="B26" s="27" t="inlineStr">
        <is>
          <t>Honey Gesha</t>
        </is>
      </c>
      <c r="C26" s="28">
        <f>SUMPRODUCT(('Coffee Audit'!W2:W2000="⭐ GESHA")*(ISNUMBER(SEARCH("honey",'Coffee Audit'!H2:H2000))))</f>
        <v/>
      </c>
    </row>
    <row r="27">
      <c r="B27" s="27" t="inlineStr">
        <is>
          <t>Natural Gesha</t>
        </is>
      </c>
      <c r="C27" s="28">
        <f>SUMPRODUCT(('Coffee Audit'!W2:W2000="⭐ GESHA")*(ISNUMBER(SEARCH("natural",'Coffee Audit'!H2:H2000))))</f>
        <v/>
      </c>
    </row>
    <row r="28">
      <c r="B28" s="27" t="inlineStr">
        <is>
          <t>Avg Gesha price (SGD)</t>
        </is>
      </c>
      <c r="C28" s="28">
        <f>ROUND(AVERAGEIFS('Coffee Audit'!Q2:Q2000,'Coffee Audit'!W2:W2000,"⭐ GESHA",'Coffee Audit'!Q2:Q2000,"&gt;0"),2)</f>
        <v/>
      </c>
    </row>
    <row r="29">
      <c r="B29" s="29" t="inlineStr">
        <is>
          <t>Botanical note: "Gesha" (Gesha forest, Ethiopia) is the correct spelling; "Geisha" is the Panamanian commercial transliteration. The archive tracks both.</t>
        </is>
      </c>
    </row>
    <row r="31">
      <c r="B31" s="9" t="inlineStr">
        <is>
          <t>🎯  REMAINING VARIETAL TARGETS</t>
        </is>
      </c>
      <c r="C31" s="10" t="n"/>
      <c r="D31" s="10" t="n"/>
      <c r="E31" s="10" t="n"/>
      <c r="F31" s="10" t="n"/>
      <c r="G31" s="10" t="n"/>
      <c r="H31" s="10" t="n"/>
      <c r="I31" s="10" t="n"/>
      <c r="J31" s="10" t="n"/>
    </row>
    <row r="32">
      <c r="B32" s="30" t="inlineStr">
        <is>
          <t>Eugenioides</t>
        </is>
      </c>
      <c r="C32" s="31" t="inlineStr">
        <is>
          <t>❌ MISSING — highest-priority varietal target</t>
        </is>
      </c>
    </row>
    <row r="33">
      <c r="B33" s="32" t="inlineStr">
        <is>
          <t>Laurina</t>
        </is>
      </c>
      <c r="C33" s="33" t="inlineStr">
        <is>
          <t>✅ Captured — Entry #025</t>
        </is>
      </c>
    </row>
    <row r="34">
      <c r="B34" s="32" t="inlineStr">
        <is>
          <t>Sudan Rume</t>
        </is>
      </c>
      <c r="C34" s="33" t="inlineStr">
        <is>
          <t>✅ Captured — Entry #038</t>
        </is>
      </c>
    </row>
    <row r="35">
      <c r="B35" s="32" t="inlineStr">
        <is>
          <t>Aji Bourbon</t>
        </is>
      </c>
      <c r="C35" s="33" t="inlineStr">
        <is>
          <t>✅ Captured — Entry #059 (Oaks, Finca El Diviso)</t>
        </is>
      </c>
    </row>
    <row r="36">
      <c r="B36" s="32" t="inlineStr">
        <is>
          <t>Pacamara</t>
        </is>
      </c>
      <c r="C36" s="33" t="inlineStr">
        <is>
          <t>✅ Captured — Entry #049 (Oaks, Floripondio)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26"/>
  <sheetViews>
    <sheetView showGridLines="0" workbookViewId="0">
      <selection activeCell="A1" sqref="A1"/>
    </sheetView>
  </sheetViews>
  <sheetFormatPr baseColWidth="8" defaultRowHeight="15"/>
  <cols>
    <col width="2" customWidth="1" min="1" max="1"/>
    <col width="30" customWidth="1" min="2" max="2"/>
    <col width="12" customWidth="1" min="3" max="3"/>
    <col width="56" customWidth="1" min="4" max="4"/>
  </cols>
  <sheetData>
    <row r="1">
      <c r="A1" s="6" t="n"/>
      <c r="B1" s="7" t="inlineStr">
        <is>
          <t>⚙️  HARDWARE &amp; EXTRACTION PHYSICS</t>
        </is>
      </c>
      <c r="C1" s="6" t="n"/>
      <c r="D1" s="6" t="n"/>
      <c r="E1" s="6" t="n"/>
      <c r="F1" s="6" t="n"/>
      <c r="G1" s="6" t="n"/>
      <c r="H1" s="6" t="n"/>
      <c r="I1" s="6" t="n"/>
      <c r="J1" s="6" t="n"/>
    </row>
    <row r="2">
      <c r="A2" s="6" t="n"/>
      <c r="B2" s="8" t="inlineStr">
        <is>
          <t>Flat burrs, flat beds, and the physics of clarity</t>
        </is>
      </c>
      <c r="C2" s="6" t="n"/>
      <c r="D2" s="6" t="n"/>
      <c r="E2" s="6" t="n"/>
      <c r="F2" s="6" t="n"/>
      <c r="G2" s="6" t="n"/>
      <c r="H2" s="6" t="n"/>
      <c r="I2" s="6" t="n"/>
      <c r="J2" s="6" t="n"/>
    </row>
    <row r="4">
      <c r="B4" s="9" t="inlineStr">
        <is>
          <t>🔩  GRINDER PLATFORM REGISTER</t>
        </is>
      </c>
      <c r="C4" s="10" t="n"/>
      <c r="D4" s="10" t="n"/>
      <c r="E4" s="10" t="n"/>
      <c r="F4" s="10" t="n"/>
      <c r="G4" s="10" t="n"/>
      <c r="H4" s="10" t="n"/>
      <c r="I4" s="10" t="n"/>
      <c r="J4" s="10" t="n"/>
    </row>
    <row r="5">
      <c r="B5" s="15" t="inlineStr">
        <is>
          <t>Platform family</t>
        </is>
      </c>
      <c r="C5" s="15" t="inlineStr">
        <is>
          <t>Entries</t>
        </is>
      </c>
      <c r="D5" s="15" t="inlineStr">
        <is>
          <t>Note</t>
        </is>
      </c>
    </row>
    <row r="6">
      <c r="B6" s="16" t="inlineStr">
        <is>
          <t>Option-O Lagom (P64/P80)</t>
        </is>
      </c>
      <c r="C6" s="17">
        <f>COUNTIF('Coffee Audit'!P2:P2000,"*Lagom*")</f>
        <v/>
      </c>
      <c r="D6" s="17" t="inlineStr">
        <is>
          <t>Preferred precision platforms — P80 debuted at Oaks (Entry #049)</t>
        </is>
      </c>
    </row>
    <row r="7">
      <c r="B7" s="18" t="inlineStr">
        <is>
          <t>EK43 / Mahlkönig</t>
        </is>
      </c>
      <c r="C7" s="19">
        <f>COUNTIF('Coffee Audit'!P2:P2000,"*EK43*")+COUNTIF('Coffee Audit'!P2:P2000,"*Mahlk*")</f>
        <v/>
      </c>
      <c r="D7" s="19" t="inlineStr">
        <is>
          <t>Café workhorse — 98mm vertical flat</t>
        </is>
      </c>
    </row>
    <row r="8">
      <c r="B8" s="16" t="inlineStr">
        <is>
          <t>Timemore Sculptor</t>
        </is>
      </c>
      <c r="C8" s="17">
        <f>COUNTIF('Coffee Audit'!P2:P2000,"*Sculptor*")</f>
        <v/>
      </c>
      <c r="D8" s="17" t="inlineStr">
        <is>
          <t>064/078 series</t>
        </is>
      </c>
    </row>
    <row r="9">
      <c r="B9" s="18" t="inlineStr">
        <is>
          <t>DF series</t>
        </is>
      </c>
      <c r="C9" s="19">
        <f>COUNTIF('Coffee Audit'!P2:P2000,"*DF*")</f>
        <v/>
      </c>
      <c r="D9" s="19" t="inlineStr">
        <is>
          <t>DF83V at Zerah — 83mm flat</t>
        </is>
      </c>
    </row>
    <row r="10">
      <c r="B10" s="16" t="inlineStr">
        <is>
          <t>120mm hybrid/flat</t>
        </is>
      </c>
      <c r="C10" s="17">
        <f>COUNTIF('Coffee Audit'!P2:P2000,"*120*")</f>
        <v/>
      </c>
      <c r="D10" s="17" t="inlineStr">
        <is>
          <t>Kyuukei &amp; Maxi — large-format clarity</t>
        </is>
      </c>
    </row>
    <row r="11">
      <c r="B11" s="18" t="inlineStr">
        <is>
          <t>Unknown / unrecorded</t>
        </is>
      </c>
      <c r="C11" s="19">
        <f>COUNTIF('Coffee Audit'!P2:P2000,"Unknown")</f>
        <v/>
      </c>
      <c r="D11" s="19" t="inlineStr">
        <is>
          <t>Early entries pre-hardware-protocol</t>
        </is>
      </c>
    </row>
    <row r="13">
      <c r="B13" s="9" t="inlineStr">
        <is>
          <t>🌡️  TEMPERATURE DOCTRINE</t>
        </is>
      </c>
      <c r="C13" s="10" t="n"/>
      <c r="D13" s="10" t="n"/>
      <c r="E13" s="10" t="n"/>
      <c r="F13" s="10" t="n"/>
      <c r="G13" s="10" t="n"/>
      <c r="H13" s="10" t="n"/>
      <c r="I13" s="10" t="n"/>
      <c r="J13" s="10" t="n"/>
    </row>
    <row r="14">
      <c r="B14" s="15" t="inlineStr">
        <is>
          <t>Protocol</t>
        </is>
      </c>
      <c r="C14" s="15" t="inlineStr">
        <is>
          <t>Where &amp; why</t>
        </is>
      </c>
    </row>
    <row r="15">
      <c r="B15" s="18" t="inlineStr">
        <is>
          <t>88°C constant</t>
        </is>
      </c>
      <c r="C15" s="19" t="inlineStr">
        <is>
          <t>LAB-ferment ester preservation — Oaks protocol for lactic honey</t>
        </is>
      </c>
    </row>
    <row r="16">
      <c r="B16" s="16" t="inlineStr">
        <is>
          <t>90–93°C standard</t>
        </is>
      </c>
      <c r="C16" s="17" t="inlineStr">
        <is>
          <t>Washed-lot default across the archive</t>
        </is>
      </c>
    </row>
    <row r="17">
      <c r="B17" s="18" t="inlineStr">
        <is>
          <t>Thermal oscillation 70→90→70</t>
        </is>
      </c>
      <c r="C17" s="19" t="inlineStr">
        <is>
          <t>Fluid Collective signature — barista-confirmed across all visits</t>
        </is>
      </c>
    </row>
    <row r="18">
      <c r="B18" s="16" t="inlineStr">
        <is>
          <t>Dual-temp 90+70</t>
        </is>
      </c>
      <c r="C18" s="17" t="inlineStr">
        <is>
          <t>Lume Café honey-Geisha aromatics/body split</t>
        </is>
      </c>
    </row>
    <row r="20">
      <c r="B20" s="9" t="inlineStr">
        <is>
          <t>📜  EXTRACTION LAWS — patterns the archive has proven</t>
        </is>
      </c>
      <c r="C20" s="10" t="n"/>
      <c r="D20" s="10" t="n"/>
      <c r="E20" s="10" t="n"/>
      <c r="F20" s="10" t="n"/>
      <c r="G20" s="10" t="n"/>
      <c r="H20" s="10" t="n"/>
      <c r="I20" s="10" t="n"/>
      <c r="J20" s="10" t="n"/>
    </row>
    <row r="21">
      <c r="B21" s="34" t="inlineStr">
        <is>
          <t>1. Flat-bottom geometry outperforms conical for this palate — conical V60 carries a standing over-extraction risk flag.</t>
        </is>
      </c>
    </row>
    <row r="22">
      <c r="B22" s="34" t="inlineStr">
        <is>
          <t>2. 1:13–1:14 concentration amplifies polyphenolic bitterness at cool phase and suppresses sucrose (Entries #032, #055).</t>
        </is>
      </c>
    </row>
    <row r="23">
      <c r="B23" s="34" t="inlineStr">
        <is>
          <t>3. 1:17 lean on naturals fails to build sucrose-ester mass against CGA lactone bitterness at cool phase.</t>
        </is>
      </c>
    </row>
    <row r="24">
      <c r="B24" s="34" t="inlineStr">
        <is>
          <t>4. Barista confirmation overrides visual inference for hardware ID — always.</t>
        </is>
      </c>
    </row>
    <row r="25">
      <c r="B25" s="34" t="inlineStr">
        <is>
          <t>5. Large flat burrs (78–98mm) are non-negotiable for oversized varietals (Pacamara, Maragogipe lineage).</t>
        </is>
      </c>
    </row>
    <row r="26">
      <c r="B26" s="34" t="inlineStr">
        <is>
          <t>6. Process intensity ceilings exist: Thermal Shock Anaerobic (Entry #059) confirmed the upper boundary of palate tolerance.</t>
        </is>
      </c>
    </row>
  </sheetData>
  <mergeCells count="6">
    <mergeCell ref="B22:H22"/>
    <mergeCell ref="B26:H26"/>
    <mergeCell ref="B21:H21"/>
    <mergeCell ref="B24:H24"/>
    <mergeCell ref="B25:H25"/>
    <mergeCell ref="B23:H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2" customWidth="1" min="1" max="1"/>
    <col width="26" customWidth="1" min="2" max="2"/>
    <col width="62" customWidth="1" min="3" max="3"/>
    <col width="14" customWidth="1" min="4" max="4"/>
    <col width="14" customWidth="1" min="5" max="5"/>
    <col width="14" customWidth="1" min="6" max="6"/>
    <col width="15" customWidth="1" min="7" max="7"/>
  </cols>
  <sheetData>
    <row r="1">
      <c r="A1" s="6" t="n"/>
      <c r="B1" s="7" t="inlineStr">
        <is>
          <t>💰  PRICE &amp; VALUE INTELLIGENCE</t>
        </is>
      </c>
      <c r="C1" s="6" t="n"/>
      <c r="D1" s="6" t="n"/>
      <c r="E1" s="6" t="n"/>
      <c r="F1" s="6" t="n"/>
      <c r="G1" s="6" t="n"/>
      <c r="H1" s="6" t="n"/>
      <c r="I1" s="6" t="n"/>
      <c r="J1" s="6" t="n"/>
    </row>
    <row r="2">
      <c r="A2" s="6" t="n"/>
      <c r="B2" s="8" t="inlineStr">
        <is>
          <t>What clarity costs in Singapore, 2026</t>
        </is>
      </c>
      <c r="C2" s="6" t="n"/>
      <c r="D2" s="6" t="n"/>
      <c r="E2" s="6" t="n"/>
      <c r="F2" s="6" t="n"/>
      <c r="G2" s="6" t="n"/>
      <c r="H2" s="6" t="n"/>
      <c r="I2" s="6" t="n"/>
      <c r="J2" s="6" t="n"/>
    </row>
    <row r="4">
      <c r="B4" s="9" t="inlineStr">
        <is>
          <t>💵  PRICE VITALS (SGD, filter entries with recorded price)</t>
        </is>
      </c>
      <c r="C4" s="10" t="n"/>
      <c r="D4" s="10" t="n"/>
      <c r="E4" s="10" t="n"/>
      <c r="F4" s="10" t="n"/>
      <c r="G4" s="10" t="n"/>
      <c r="H4" s="10" t="n"/>
      <c r="I4" s="10" t="n"/>
      <c r="J4" s="10" t="n"/>
    </row>
    <row r="6">
      <c r="B6" s="11" t="inlineStr">
        <is>
          <t>AVERAGE</t>
        </is>
      </c>
      <c r="C6" s="11" t="inlineStr">
        <is>
          <t>MEDIAN</t>
        </is>
      </c>
      <c r="D6" s="11" t="inlineStr">
        <is>
          <t>MIN</t>
        </is>
      </c>
      <c r="E6" s="11" t="inlineStr">
        <is>
          <t>MAX</t>
        </is>
      </c>
      <c r="F6" s="11" t="inlineStr">
        <is>
          <t>GESHA AVG</t>
        </is>
      </c>
      <c r="G6" s="11" t="inlineStr">
        <is>
          <t>NON-GESHA AVG</t>
        </is>
      </c>
    </row>
    <row r="7">
      <c r="B7" s="13">
        <f>AVERAGEIF('Coffee Audit'!Q2:Q2000,"&gt;0")</f>
        <v/>
      </c>
      <c r="C7" s="13">
        <f>MEDIAN('Coffee Audit'!Q2:Q2000)</f>
        <v/>
      </c>
      <c r="D7" s="13">
        <f>SMALL('Coffee Audit'!Q2:Q2000,1)</f>
        <v/>
      </c>
      <c r="E7" s="13">
        <f>MAX('Coffee Audit'!Q2:Q2000)</f>
        <v/>
      </c>
      <c r="F7" s="13">
        <f>ROUND(AVERAGEIFS('Coffee Audit'!Q2:Q2000,'Coffee Audit'!W2:W2000,"⭐ GESHA",'Coffee Audit'!Q2:Q2000,"&gt;0"),2)</f>
        <v/>
      </c>
      <c r="G7" s="13">
        <f>ROUND(AVERAGEIFS('Coffee Audit'!Q2:Q2000,'Coffee Audit'!W2:W2000,"&lt;&gt;⭐ GESHA",'Coffee Audit'!Q2:Q2000,"&gt;0"),2)</f>
        <v/>
      </c>
    </row>
    <row r="9">
      <c r="B9" s="9" t="inlineStr">
        <is>
          <t>📈  PRICE BAND DISTRIBUTION</t>
        </is>
      </c>
      <c r="C9" s="10" t="n"/>
      <c r="D9" s="10" t="n"/>
      <c r="E9" s="10" t="n"/>
      <c r="F9" s="10" t="n"/>
      <c r="G9" s="10" t="n"/>
      <c r="H9" s="10" t="n"/>
      <c r="I9" s="10" t="n"/>
      <c r="J9" s="10" t="n"/>
    </row>
    <row r="10">
      <c r="B10" s="15" t="inlineStr">
        <is>
          <t>Band (SGD)</t>
        </is>
      </c>
      <c r="C10" s="15" t="inlineStr">
        <is>
          <t>Entries</t>
        </is>
      </c>
    </row>
    <row r="11">
      <c r="B11" s="23" t="inlineStr">
        <is>
          <t>≤ 7</t>
        </is>
      </c>
      <c r="C11" s="24">
        <f>COUNTIFS('Coffee Audit'!Q2:Q2000,"&gt;0",'Coffee Audit'!Q2:Q2000,"&lt;=7")</f>
        <v/>
      </c>
    </row>
    <row r="12">
      <c r="B12" s="20" t="inlineStr">
        <is>
          <t>7.01 – 9</t>
        </is>
      </c>
      <c r="C12" s="21">
        <f>COUNTIFS('Coffee Audit'!Q2:Q2000,"&gt;7",'Coffee Audit'!Q2:Q2000,"&lt;=9")</f>
        <v/>
      </c>
    </row>
    <row r="13">
      <c r="B13" s="23" t="inlineStr">
        <is>
          <t>9.01 – 12</t>
        </is>
      </c>
      <c r="C13" s="24">
        <f>COUNTIFS('Coffee Audit'!Q2:Q2000,"&gt;9",'Coffee Audit'!Q2:Q2000,"&lt;=12")</f>
        <v/>
      </c>
    </row>
    <row r="14">
      <c r="B14" s="20" t="inlineStr">
        <is>
          <t>12.01 – 15</t>
        </is>
      </c>
      <c r="C14" s="21">
        <f>COUNTIFS('Coffee Audit'!Q2:Q2000,"&gt;12",'Coffee Audit'!Q2:Q2000,"&lt;=15")</f>
        <v/>
      </c>
    </row>
    <row r="15">
      <c r="B15" s="23" t="inlineStr">
        <is>
          <t>15+</t>
        </is>
      </c>
      <c r="C15" s="24">
        <f>COUNTIFS('Coffee Audit'!Q2:Q2000,"&gt;15")</f>
        <v/>
      </c>
    </row>
    <row r="17">
      <c r="B17" s="9" t="inlineStr">
        <is>
          <t>🏅  VALUE VERDICTS</t>
        </is>
      </c>
      <c r="C17" s="10" t="n"/>
      <c r="D17" s="10" t="n"/>
      <c r="E17" s="10" t="n"/>
      <c r="F17" s="10" t="n"/>
      <c r="G17" s="10" t="n"/>
      <c r="H17" s="10" t="n"/>
      <c r="I17" s="10" t="n"/>
      <c r="J17" s="10" t="n"/>
    </row>
    <row r="18">
      <c r="B18" s="20" t="inlineStr">
        <is>
          <t>Best value in the archive</t>
        </is>
      </c>
      <c r="C18" s="17" t="inlineStr">
        <is>
          <t>Oaks Coffee Co. — Floripondio 90 Hours · SGD 9 (Bolivia Pacamara Lactic Honey, 1600 MASL)</t>
        </is>
      </c>
    </row>
    <row r="19">
      <c r="B19" s="23" t="inlineStr">
        <is>
          <t>Premium ceiling</t>
        </is>
      </c>
      <c r="C19" s="19" t="inlineStr">
        <is>
          <t>Pocket by Flip — SGD 18 Gesha (highest recorded)</t>
        </is>
      </c>
    </row>
    <row r="20">
      <c r="B20" s="20" t="inlineStr">
        <is>
          <t>Gesha premium</t>
        </is>
      </c>
      <c r="C20" s="17" t="inlineStr">
        <is>
          <t>Gesha entries average ~40–50% above non-Gesha — the apex tax is real and consistently paid willingly</t>
        </is>
      </c>
    </row>
    <row r="21">
      <c r="B21" s="23" t="inlineStr">
        <is>
          <t>Sweet spot</t>
        </is>
      </c>
      <c r="C21" s="19" t="inlineStr">
        <is>
          <t>SGD 9–12 band delivers the archive's highest verdict-per-dollar density</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37"/>
  <sheetViews>
    <sheetView showGridLines="0" workbookViewId="0">
      <selection activeCell="A1" sqref="A1"/>
    </sheetView>
  </sheetViews>
  <sheetFormatPr baseColWidth="8" defaultRowHeight="15"/>
  <cols>
    <col width="2" customWidth="1" min="1" max="1"/>
    <col width="20"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s>
  <sheetData>
    <row r="1">
      <c r="A1" s="6" t="n"/>
      <c r="B1" s="7" t="inlineStr">
        <is>
          <t>📅  ARCHIVE TIMELINE &amp; CITY HEATMAP</t>
        </is>
      </c>
      <c r="C1" s="6" t="n"/>
      <c r="D1" s="6" t="n"/>
      <c r="E1" s="6" t="n"/>
      <c r="F1" s="6" t="n"/>
      <c r="G1" s="6" t="n"/>
      <c r="H1" s="6" t="n"/>
      <c r="I1" s="6" t="n"/>
      <c r="J1" s="6" t="n"/>
      <c r="K1" s="6" t="n"/>
      <c r="L1" s="6" t="n"/>
      <c r="M1" s="6" t="n"/>
      <c r="N1" s="6" t="n"/>
      <c r="O1" s="6" t="n"/>
    </row>
    <row r="2">
      <c r="A2" s="6" t="n"/>
      <c r="B2" s="8" t="inlineStr">
        <is>
          <t>The 2026 journey, month by month</t>
        </is>
      </c>
      <c r="C2" s="6" t="n"/>
      <c r="D2" s="6" t="n"/>
      <c r="E2" s="6" t="n"/>
      <c r="F2" s="6" t="n"/>
      <c r="G2" s="6" t="n"/>
      <c r="H2" s="6" t="n"/>
      <c r="I2" s="6" t="n"/>
      <c r="J2" s="6" t="n"/>
      <c r="K2" s="6" t="n"/>
      <c r="L2" s="6" t="n"/>
      <c r="M2" s="6" t="n"/>
      <c r="N2" s="6" t="n"/>
      <c r="O2" s="6" t="n"/>
    </row>
    <row r="4">
      <c r="B4" s="9" t="inlineStr">
        <is>
          <t>📈  ENTRIES PER MONTH — 2026</t>
        </is>
      </c>
      <c r="C4" s="10" t="n"/>
      <c r="D4" s="10" t="n"/>
      <c r="E4" s="10" t="n"/>
      <c r="F4" s="10" t="n"/>
      <c r="G4" s="10" t="n"/>
      <c r="H4" s="10" t="n"/>
      <c r="I4" s="10" t="n"/>
      <c r="J4" s="10" t="n"/>
      <c r="K4" s="10" t="n"/>
      <c r="L4" s="10" t="n"/>
      <c r="M4" s="10" t="n"/>
      <c r="N4" s="10" t="n"/>
    </row>
    <row r="6">
      <c r="B6" s="35" t="inlineStr">
        <is>
          <t>Month</t>
        </is>
      </c>
      <c r="C6" s="15" t="inlineStr">
        <is>
          <t>Jan</t>
        </is>
      </c>
      <c r="D6" s="15" t="inlineStr">
        <is>
          <t>Feb</t>
        </is>
      </c>
      <c r="E6" s="15" t="inlineStr">
        <is>
          <t>Mar</t>
        </is>
      </c>
      <c r="F6" s="15" t="inlineStr">
        <is>
          <t>Apr</t>
        </is>
      </c>
      <c r="G6" s="15" t="inlineStr">
        <is>
          <t>May</t>
        </is>
      </c>
      <c r="H6" s="15" t="inlineStr">
        <is>
          <t>Jun</t>
        </is>
      </c>
      <c r="I6" s="15" t="inlineStr">
        <is>
          <t>Jul</t>
        </is>
      </c>
      <c r="J6" s="15" t="inlineStr">
        <is>
          <t>Aug</t>
        </is>
      </c>
      <c r="K6" s="15" t="inlineStr">
        <is>
          <t>Sep</t>
        </is>
      </c>
      <c r="L6" s="15" t="inlineStr">
        <is>
          <t>Oct</t>
        </is>
      </c>
      <c r="M6" s="15" t="inlineStr">
        <is>
          <t>Nov</t>
        </is>
      </c>
      <c r="N6" s="15" t="inlineStr">
        <is>
          <t>Dec</t>
        </is>
      </c>
    </row>
    <row r="7">
      <c r="B7" s="36" t="inlineStr">
        <is>
          <t>Entries</t>
        </is>
      </c>
      <c r="C7" s="37">
        <f>COUNTIFS('Coffee Audit'!A2:A2000,"&gt;="&amp;DATE(2026,1,1),'Coffee Audit'!A2:A2000,"&lt;"&amp;DATE(2026,2,1))</f>
        <v/>
      </c>
      <c r="D7" s="37">
        <f>COUNTIFS('Coffee Audit'!A2:A2000,"&gt;="&amp;DATE(2026,2,1),'Coffee Audit'!A2:A2000,"&lt;"&amp;DATE(2026,3,1))</f>
        <v/>
      </c>
      <c r="E7" s="37">
        <f>COUNTIFS('Coffee Audit'!A2:A2000,"&gt;="&amp;DATE(2026,3,1),'Coffee Audit'!A2:A2000,"&lt;"&amp;DATE(2026,4,1))</f>
        <v/>
      </c>
      <c r="F7" s="37">
        <f>COUNTIFS('Coffee Audit'!A2:A2000,"&gt;="&amp;DATE(2026,4,1),'Coffee Audit'!A2:A2000,"&lt;"&amp;DATE(2026,5,1))</f>
        <v/>
      </c>
      <c r="G7" s="37">
        <f>COUNTIFS('Coffee Audit'!A2:A2000,"&gt;="&amp;DATE(2026,5,1),'Coffee Audit'!A2:A2000,"&lt;"&amp;DATE(2026,6,1))</f>
        <v/>
      </c>
      <c r="H7" s="37">
        <f>COUNTIFS('Coffee Audit'!A2:A2000,"&gt;="&amp;DATE(2026,6,1),'Coffee Audit'!A2:A2000,"&lt;"&amp;DATE(2026,7,1))</f>
        <v/>
      </c>
      <c r="I7" s="37">
        <f>COUNTIFS('Coffee Audit'!A2:A2000,"&gt;="&amp;DATE(2026,7,1),'Coffee Audit'!A2:A2000,"&lt;"&amp;DATE(2026,8,1))</f>
        <v/>
      </c>
      <c r="J7" s="37">
        <f>COUNTIFS('Coffee Audit'!A2:A2000,"&gt;="&amp;DATE(2026,8,1),'Coffee Audit'!A2:A2000,"&lt;"&amp;DATE(2026,9,1))</f>
        <v/>
      </c>
      <c r="K7" s="37">
        <f>COUNTIFS('Coffee Audit'!A2:A2000,"&gt;="&amp;DATE(2026,9,1),'Coffee Audit'!A2:A2000,"&lt;"&amp;DATE(2026,10,1))</f>
        <v/>
      </c>
      <c r="L7" s="37">
        <f>COUNTIFS('Coffee Audit'!A2:A2000,"&gt;="&amp;DATE(2026,10,1),'Coffee Audit'!A2:A2000,"&lt;"&amp;DATE(2026,11,1))</f>
        <v/>
      </c>
      <c r="M7" s="37">
        <f>COUNTIFS('Coffee Audit'!A2:A2000,"&gt;="&amp;DATE(2026,11,1),'Coffee Audit'!A2:A2000,"&lt;"&amp;DATE(2026,12,1))</f>
        <v/>
      </c>
      <c r="N7" s="37">
        <f>COUNTIFS('Coffee Audit'!A2:A2000,"&gt;="&amp;DATE(2026,12,1),'Coffee Audit'!A2:A2000,"&lt;"&amp;DATE(2027,1,1))</f>
        <v/>
      </c>
    </row>
    <row r="24">
      <c r="B24" s="9" t="inlineStr">
        <is>
          <t>🔥  CITY × MONTH HEATMAP — conditional colour scale, auto-updates</t>
        </is>
      </c>
      <c r="C24" s="10" t="n"/>
      <c r="D24" s="10" t="n"/>
      <c r="E24" s="10" t="n"/>
      <c r="F24" s="10" t="n"/>
      <c r="G24" s="10" t="n"/>
      <c r="H24" s="10" t="n"/>
      <c r="I24" s="10" t="n"/>
      <c r="J24" s="10" t="n"/>
      <c r="K24" s="10" t="n"/>
      <c r="L24" s="10" t="n"/>
      <c r="M24" s="10" t="n"/>
      <c r="N24" s="10" t="n"/>
    </row>
    <row r="26">
      <c r="B26" s="38" t="inlineStr">
        <is>
          <t>City</t>
        </is>
      </c>
      <c r="C26" s="15" t="inlineStr">
        <is>
          <t>Jan</t>
        </is>
      </c>
      <c r="D26" s="15" t="inlineStr">
        <is>
          <t>Feb</t>
        </is>
      </c>
      <c r="E26" s="15" t="inlineStr">
        <is>
          <t>Mar</t>
        </is>
      </c>
      <c r="F26" s="15" t="inlineStr">
        <is>
          <t>Apr</t>
        </is>
      </c>
      <c r="G26" s="15" t="inlineStr">
        <is>
          <t>May</t>
        </is>
      </c>
      <c r="H26" s="15" t="inlineStr">
        <is>
          <t>Jun</t>
        </is>
      </c>
      <c r="I26" s="15" t="inlineStr">
        <is>
          <t>Jul</t>
        </is>
      </c>
      <c r="J26" s="15" t="inlineStr">
        <is>
          <t>Aug</t>
        </is>
      </c>
      <c r="K26" s="15" t="inlineStr">
        <is>
          <t>Sep</t>
        </is>
      </c>
      <c r="L26" s="15" t="inlineStr">
        <is>
          <t>Oct</t>
        </is>
      </c>
      <c r="M26" s="15" t="inlineStr">
        <is>
          <t>Nov</t>
        </is>
      </c>
      <c r="N26" s="15" t="inlineStr">
        <is>
          <t>Dec</t>
        </is>
      </c>
    </row>
    <row r="27">
      <c r="B27" s="39" t="inlineStr">
        <is>
          <t>Singapore</t>
        </is>
      </c>
      <c r="C27" s="37">
        <f>COUNTIFS('Coffee Audit'!A2:A2000,"&gt;="&amp;DATE(2026,1,1),'Coffee Audit'!A2:A2000,"&lt;"&amp;DATE(2026,2,1),'Coffee Audit'!B2:B2000,"*Singapore*")</f>
        <v/>
      </c>
      <c r="D27" s="37">
        <f>COUNTIFS('Coffee Audit'!A2:A2000,"&gt;="&amp;DATE(2026,2,1),'Coffee Audit'!A2:A2000,"&lt;"&amp;DATE(2026,3,1),'Coffee Audit'!B2:B2000,"*Singapore*")</f>
        <v/>
      </c>
      <c r="E27" s="37">
        <f>COUNTIFS('Coffee Audit'!A2:A2000,"&gt;="&amp;DATE(2026,3,1),'Coffee Audit'!A2:A2000,"&lt;"&amp;DATE(2026,4,1),'Coffee Audit'!B2:B2000,"*Singapore*")</f>
        <v/>
      </c>
      <c r="F27" s="37">
        <f>COUNTIFS('Coffee Audit'!A2:A2000,"&gt;="&amp;DATE(2026,4,1),'Coffee Audit'!A2:A2000,"&lt;"&amp;DATE(2026,5,1),'Coffee Audit'!B2:B2000,"*Singapore*")</f>
        <v/>
      </c>
      <c r="G27" s="37">
        <f>COUNTIFS('Coffee Audit'!A2:A2000,"&gt;="&amp;DATE(2026,5,1),'Coffee Audit'!A2:A2000,"&lt;"&amp;DATE(2026,6,1),'Coffee Audit'!B2:B2000,"*Singapore*")</f>
        <v/>
      </c>
      <c r="H27" s="37">
        <f>COUNTIFS('Coffee Audit'!A2:A2000,"&gt;="&amp;DATE(2026,6,1),'Coffee Audit'!A2:A2000,"&lt;"&amp;DATE(2026,7,1),'Coffee Audit'!B2:B2000,"*Singapore*")</f>
        <v/>
      </c>
      <c r="I27" s="37">
        <f>COUNTIFS('Coffee Audit'!A2:A2000,"&gt;="&amp;DATE(2026,7,1),'Coffee Audit'!A2:A2000,"&lt;"&amp;DATE(2026,8,1),'Coffee Audit'!B2:B2000,"*Singapore*")</f>
        <v/>
      </c>
      <c r="J27" s="37">
        <f>COUNTIFS('Coffee Audit'!A2:A2000,"&gt;="&amp;DATE(2026,8,1),'Coffee Audit'!A2:A2000,"&lt;"&amp;DATE(2026,9,1),'Coffee Audit'!B2:B2000,"*Singapore*")</f>
        <v/>
      </c>
      <c r="K27" s="37">
        <f>COUNTIFS('Coffee Audit'!A2:A2000,"&gt;="&amp;DATE(2026,9,1),'Coffee Audit'!A2:A2000,"&lt;"&amp;DATE(2026,10,1),'Coffee Audit'!B2:B2000,"*Singapore*")</f>
        <v/>
      </c>
      <c r="L27" s="37">
        <f>COUNTIFS('Coffee Audit'!A2:A2000,"&gt;="&amp;DATE(2026,10,1),'Coffee Audit'!A2:A2000,"&lt;"&amp;DATE(2026,11,1),'Coffee Audit'!B2:B2000,"*Singapore*")</f>
        <v/>
      </c>
      <c r="M27" s="37">
        <f>COUNTIFS('Coffee Audit'!A2:A2000,"&gt;="&amp;DATE(2026,11,1),'Coffee Audit'!A2:A2000,"&lt;"&amp;DATE(2026,12,1),'Coffee Audit'!B2:B2000,"*Singapore*")</f>
        <v/>
      </c>
      <c r="N27" s="37">
        <f>COUNTIFS('Coffee Audit'!A2:A2000,"&gt;="&amp;DATE(2026,12,1),'Coffee Audit'!A2:A2000,"&lt;"&amp;DATE(2027,1,1),'Coffee Audit'!B2:B2000,"*Singapore*")</f>
        <v/>
      </c>
    </row>
    <row r="28">
      <c r="B28" s="39" t="inlineStr">
        <is>
          <t>Ubud, Bali</t>
        </is>
      </c>
      <c r="C28" s="37">
        <f>COUNTIFS('Coffee Audit'!A2:A2000,"&gt;="&amp;DATE(2026,1,1),'Coffee Audit'!A2:A2000,"&lt;"&amp;DATE(2026,2,1),'Coffee Audit'!B2:B2000,"*Ubud*")</f>
        <v/>
      </c>
      <c r="D28" s="37">
        <f>COUNTIFS('Coffee Audit'!A2:A2000,"&gt;="&amp;DATE(2026,2,1),'Coffee Audit'!A2:A2000,"&lt;"&amp;DATE(2026,3,1),'Coffee Audit'!B2:B2000,"*Ubud*")</f>
        <v/>
      </c>
      <c r="E28" s="37">
        <f>COUNTIFS('Coffee Audit'!A2:A2000,"&gt;="&amp;DATE(2026,3,1),'Coffee Audit'!A2:A2000,"&lt;"&amp;DATE(2026,4,1),'Coffee Audit'!B2:B2000,"*Ubud*")</f>
        <v/>
      </c>
      <c r="F28" s="37">
        <f>COUNTIFS('Coffee Audit'!A2:A2000,"&gt;="&amp;DATE(2026,4,1),'Coffee Audit'!A2:A2000,"&lt;"&amp;DATE(2026,5,1),'Coffee Audit'!B2:B2000,"*Ubud*")</f>
        <v/>
      </c>
      <c r="G28" s="37">
        <f>COUNTIFS('Coffee Audit'!A2:A2000,"&gt;="&amp;DATE(2026,5,1),'Coffee Audit'!A2:A2000,"&lt;"&amp;DATE(2026,6,1),'Coffee Audit'!B2:B2000,"*Ubud*")</f>
        <v/>
      </c>
      <c r="H28" s="37">
        <f>COUNTIFS('Coffee Audit'!A2:A2000,"&gt;="&amp;DATE(2026,6,1),'Coffee Audit'!A2:A2000,"&lt;"&amp;DATE(2026,7,1),'Coffee Audit'!B2:B2000,"*Ubud*")</f>
        <v/>
      </c>
      <c r="I28" s="37">
        <f>COUNTIFS('Coffee Audit'!A2:A2000,"&gt;="&amp;DATE(2026,7,1),'Coffee Audit'!A2:A2000,"&lt;"&amp;DATE(2026,8,1),'Coffee Audit'!B2:B2000,"*Ubud*")</f>
        <v/>
      </c>
      <c r="J28" s="37">
        <f>COUNTIFS('Coffee Audit'!A2:A2000,"&gt;="&amp;DATE(2026,8,1),'Coffee Audit'!A2:A2000,"&lt;"&amp;DATE(2026,9,1),'Coffee Audit'!B2:B2000,"*Ubud*")</f>
        <v/>
      </c>
      <c r="K28" s="37">
        <f>COUNTIFS('Coffee Audit'!A2:A2000,"&gt;="&amp;DATE(2026,9,1),'Coffee Audit'!A2:A2000,"&lt;"&amp;DATE(2026,10,1),'Coffee Audit'!B2:B2000,"*Ubud*")</f>
        <v/>
      </c>
      <c r="L28" s="37">
        <f>COUNTIFS('Coffee Audit'!A2:A2000,"&gt;="&amp;DATE(2026,10,1),'Coffee Audit'!A2:A2000,"&lt;"&amp;DATE(2026,11,1),'Coffee Audit'!B2:B2000,"*Ubud*")</f>
        <v/>
      </c>
      <c r="M28" s="37">
        <f>COUNTIFS('Coffee Audit'!A2:A2000,"&gt;="&amp;DATE(2026,11,1),'Coffee Audit'!A2:A2000,"&lt;"&amp;DATE(2026,12,1),'Coffee Audit'!B2:B2000,"*Ubud*")</f>
        <v/>
      </c>
      <c r="N28" s="37">
        <f>COUNTIFS('Coffee Audit'!A2:A2000,"&gt;="&amp;DATE(2026,12,1),'Coffee Audit'!A2:A2000,"&lt;"&amp;DATE(2027,1,1),'Coffee Audit'!B2:B2000,"*Ubud*")</f>
        <v/>
      </c>
    </row>
    <row r="29">
      <c r="B29" s="39" t="inlineStr">
        <is>
          <t>Mumbai</t>
        </is>
      </c>
      <c r="C29" s="37">
        <f>COUNTIFS('Coffee Audit'!A2:A2000,"&gt;="&amp;DATE(2026,1,1),'Coffee Audit'!A2:A2000,"&lt;"&amp;DATE(2026,2,1),'Coffee Audit'!B2:B2000,"*Mumbai*")</f>
        <v/>
      </c>
      <c r="D29" s="37">
        <f>COUNTIFS('Coffee Audit'!A2:A2000,"&gt;="&amp;DATE(2026,2,1),'Coffee Audit'!A2:A2000,"&lt;"&amp;DATE(2026,3,1),'Coffee Audit'!B2:B2000,"*Mumbai*")</f>
        <v/>
      </c>
      <c r="E29" s="37">
        <f>COUNTIFS('Coffee Audit'!A2:A2000,"&gt;="&amp;DATE(2026,3,1),'Coffee Audit'!A2:A2000,"&lt;"&amp;DATE(2026,4,1),'Coffee Audit'!B2:B2000,"*Mumbai*")</f>
        <v/>
      </c>
      <c r="F29" s="37">
        <f>COUNTIFS('Coffee Audit'!A2:A2000,"&gt;="&amp;DATE(2026,4,1),'Coffee Audit'!A2:A2000,"&lt;"&amp;DATE(2026,5,1),'Coffee Audit'!B2:B2000,"*Mumbai*")</f>
        <v/>
      </c>
      <c r="G29" s="37">
        <f>COUNTIFS('Coffee Audit'!A2:A2000,"&gt;="&amp;DATE(2026,5,1),'Coffee Audit'!A2:A2000,"&lt;"&amp;DATE(2026,6,1),'Coffee Audit'!B2:B2000,"*Mumbai*")</f>
        <v/>
      </c>
      <c r="H29" s="37">
        <f>COUNTIFS('Coffee Audit'!A2:A2000,"&gt;="&amp;DATE(2026,6,1),'Coffee Audit'!A2:A2000,"&lt;"&amp;DATE(2026,7,1),'Coffee Audit'!B2:B2000,"*Mumbai*")</f>
        <v/>
      </c>
      <c r="I29" s="37">
        <f>COUNTIFS('Coffee Audit'!A2:A2000,"&gt;="&amp;DATE(2026,7,1),'Coffee Audit'!A2:A2000,"&lt;"&amp;DATE(2026,8,1),'Coffee Audit'!B2:B2000,"*Mumbai*")</f>
        <v/>
      </c>
      <c r="J29" s="37">
        <f>COUNTIFS('Coffee Audit'!A2:A2000,"&gt;="&amp;DATE(2026,8,1),'Coffee Audit'!A2:A2000,"&lt;"&amp;DATE(2026,9,1),'Coffee Audit'!B2:B2000,"*Mumbai*")</f>
        <v/>
      </c>
      <c r="K29" s="37">
        <f>COUNTIFS('Coffee Audit'!A2:A2000,"&gt;="&amp;DATE(2026,9,1),'Coffee Audit'!A2:A2000,"&lt;"&amp;DATE(2026,10,1),'Coffee Audit'!B2:B2000,"*Mumbai*")</f>
        <v/>
      </c>
      <c r="L29" s="37">
        <f>COUNTIFS('Coffee Audit'!A2:A2000,"&gt;="&amp;DATE(2026,10,1),'Coffee Audit'!A2:A2000,"&lt;"&amp;DATE(2026,11,1),'Coffee Audit'!B2:B2000,"*Mumbai*")</f>
        <v/>
      </c>
      <c r="M29" s="37">
        <f>COUNTIFS('Coffee Audit'!A2:A2000,"&gt;="&amp;DATE(2026,11,1),'Coffee Audit'!A2:A2000,"&lt;"&amp;DATE(2026,12,1),'Coffee Audit'!B2:B2000,"*Mumbai*")</f>
        <v/>
      </c>
      <c r="N29" s="37">
        <f>COUNTIFS('Coffee Audit'!A2:A2000,"&gt;="&amp;DATE(2026,12,1),'Coffee Audit'!A2:A2000,"&lt;"&amp;DATE(2027,1,1),'Coffee Audit'!B2:B2000,"*Mumbai*")</f>
        <v/>
      </c>
    </row>
    <row r="30">
      <c r="B30" s="39" t="inlineStr">
        <is>
          <t>Johor Bahru</t>
        </is>
      </c>
      <c r="C30" s="37">
        <f>COUNTIFS('Coffee Audit'!A2:A2000,"&gt;="&amp;DATE(2026,1,1),'Coffee Audit'!A2:A2000,"&lt;"&amp;DATE(2026,2,1),'Coffee Audit'!B2:B2000,"*Johor Bahru*")</f>
        <v/>
      </c>
      <c r="D30" s="37">
        <f>COUNTIFS('Coffee Audit'!A2:A2000,"&gt;="&amp;DATE(2026,2,1),'Coffee Audit'!A2:A2000,"&lt;"&amp;DATE(2026,3,1),'Coffee Audit'!B2:B2000,"*Johor Bahru*")</f>
        <v/>
      </c>
      <c r="E30" s="37">
        <f>COUNTIFS('Coffee Audit'!A2:A2000,"&gt;="&amp;DATE(2026,3,1),'Coffee Audit'!A2:A2000,"&lt;"&amp;DATE(2026,4,1),'Coffee Audit'!B2:B2000,"*Johor Bahru*")</f>
        <v/>
      </c>
      <c r="F30" s="37">
        <f>COUNTIFS('Coffee Audit'!A2:A2000,"&gt;="&amp;DATE(2026,4,1),'Coffee Audit'!A2:A2000,"&lt;"&amp;DATE(2026,5,1),'Coffee Audit'!B2:B2000,"*Johor Bahru*")</f>
        <v/>
      </c>
      <c r="G30" s="37">
        <f>COUNTIFS('Coffee Audit'!A2:A2000,"&gt;="&amp;DATE(2026,5,1),'Coffee Audit'!A2:A2000,"&lt;"&amp;DATE(2026,6,1),'Coffee Audit'!B2:B2000,"*Johor Bahru*")</f>
        <v/>
      </c>
      <c r="H30" s="37">
        <f>COUNTIFS('Coffee Audit'!A2:A2000,"&gt;="&amp;DATE(2026,6,1),'Coffee Audit'!A2:A2000,"&lt;"&amp;DATE(2026,7,1),'Coffee Audit'!B2:B2000,"*Johor Bahru*")</f>
        <v/>
      </c>
      <c r="I30" s="37">
        <f>COUNTIFS('Coffee Audit'!A2:A2000,"&gt;="&amp;DATE(2026,7,1),'Coffee Audit'!A2:A2000,"&lt;"&amp;DATE(2026,8,1),'Coffee Audit'!B2:B2000,"*Johor Bahru*")</f>
        <v/>
      </c>
      <c r="J30" s="37">
        <f>COUNTIFS('Coffee Audit'!A2:A2000,"&gt;="&amp;DATE(2026,8,1),'Coffee Audit'!A2:A2000,"&lt;"&amp;DATE(2026,9,1),'Coffee Audit'!B2:B2000,"*Johor Bahru*")</f>
        <v/>
      </c>
      <c r="K30" s="37">
        <f>COUNTIFS('Coffee Audit'!A2:A2000,"&gt;="&amp;DATE(2026,9,1),'Coffee Audit'!A2:A2000,"&lt;"&amp;DATE(2026,10,1),'Coffee Audit'!B2:B2000,"*Johor Bahru*")</f>
        <v/>
      </c>
      <c r="L30" s="37">
        <f>COUNTIFS('Coffee Audit'!A2:A2000,"&gt;="&amp;DATE(2026,10,1),'Coffee Audit'!A2:A2000,"&lt;"&amp;DATE(2026,11,1),'Coffee Audit'!B2:B2000,"*Johor Bahru*")</f>
        <v/>
      </c>
      <c r="M30" s="37">
        <f>COUNTIFS('Coffee Audit'!A2:A2000,"&gt;="&amp;DATE(2026,11,1),'Coffee Audit'!A2:A2000,"&lt;"&amp;DATE(2026,12,1),'Coffee Audit'!B2:B2000,"*Johor Bahru*")</f>
        <v/>
      </c>
      <c r="N30" s="37">
        <f>COUNTIFS('Coffee Audit'!A2:A2000,"&gt;="&amp;DATE(2026,12,1),'Coffee Audit'!A2:A2000,"&lt;"&amp;DATE(2027,1,1),'Coffee Audit'!B2:B2000,"*Johor Bahru*")</f>
        <v/>
      </c>
    </row>
    <row r="32">
      <c r="B32" s="9" t="inlineStr">
        <is>
          <t>🧭  CHAPTER NARRATIVE</t>
        </is>
      </c>
      <c r="C32" s="10" t="n"/>
      <c r="D32" s="10" t="n"/>
      <c r="E32" s="10" t="n"/>
      <c r="F32" s="10" t="n"/>
      <c r="G32" s="10" t="n"/>
      <c r="H32" s="10" t="n"/>
      <c r="I32" s="10" t="n"/>
      <c r="J32" s="10" t="n"/>
      <c r="K32" s="10" t="n"/>
      <c r="L32" s="10" t="n"/>
      <c r="M32" s="10" t="n"/>
      <c r="N32" s="10" t="n"/>
    </row>
    <row r="33">
      <c r="B33" s="40" t="inlineStr">
        <is>
          <t>Jan — Bali Origin</t>
        </is>
      </c>
      <c r="C33" s="34" t="inlineStr">
        <is>
          <t>The archive begins at Seniman, Ubud — three cups, one habit born.</t>
        </is>
      </c>
    </row>
    <row r="34">
      <c r="B34" s="40" t="inlineStr">
        <is>
          <t>Feb–Mar — Calibration</t>
        </is>
      </c>
      <c r="C34" s="34" t="inlineStr">
        <is>
          <t>Kenya Kiamugumo AA at Kyuukei sets the washed-clarity measuring stick; Mumbai chapter opens.</t>
        </is>
      </c>
    </row>
    <row r="35">
      <c r="B35" s="40" t="inlineStr">
        <is>
          <t>Apr — Acceleration</t>
        </is>
      </c>
      <c r="C35" s="34" t="inlineStr">
        <is>
          <t>Gesha register opens in earnest; JB cross-border audit; ratio chemistry lessons logged.</t>
        </is>
      </c>
    </row>
    <row r="36">
      <c r="B36" s="40" t="inlineStr">
        <is>
          <t>May–Jun — Depth</t>
        </is>
      </c>
      <c r="C36" s="34" t="inlineStr">
        <is>
          <t>Trilogy hunting, hardware literacy peaks, watchlist targets cleared one by one.</t>
        </is>
      </c>
    </row>
    <row r="37">
      <c r="B37" s="40" t="inlineStr">
        <is>
          <t>Jul — The Discovery Month</t>
        </is>
      </c>
      <c r="C37" s="34" t="inlineStr">
        <is>
          <t>Oaks Coffee Co. found on Day 4 of operations; Bolivia/Pacamara/Lactic-Honey/P80 firsts; Abseil &amp; the CT62 classification; mock-judge debut at Homeground.</t>
        </is>
      </c>
    </row>
  </sheetData>
  <mergeCells count="5">
    <mergeCell ref="C35:M35"/>
    <mergeCell ref="C34:M34"/>
    <mergeCell ref="C33:M33"/>
    <mergeCell ref="C36:M36"/>
    <mergeCell ref="C37:M37"/>
  </mergeCells>
  <conditionalFormatting sqref="C27:N30">
    <cfRule type="colorScale" priority="1">
      <colorScale>
        <cfvo type="num" val="0"/>
        <cfvo type="num" val="4"/>
        <cfvo type="num" val="8"/>
        <color rgb="FFFFFFFF"/>
        <color rgb="FFC9902A"/>
        <color rgb="FF2D1F0F"/>
      </colorScale>
    </cfRule>
  </conditionalFormatting>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L54"/>
  <sheetViews>
    <sheetView showGridLines="0" workbookViewId="0">
      <selection activeCell="A1" sqref="A1"/>
    </sheetView>
  </sheetViews>
  <sheetFormatPr baseColWidth="8" defaultRowHeight="15"/>
  <cols>
    <col width="2" customWidth="1" min="1" max="1"/>
    <col width="30" customWidth="1" min="2" max="2"/>
    <col width="11" customWidth="1" min="3" max="3"/>
    <col width="8" customWidth="1" min="4" max="4"/>
    <col width="7" customWidth="1" min="5" max="5"/>
    <col width="9" customWidth="1" min="6" max="6"/>
    <col width="44" customWidth="1" min="7" max="7"/>
    <col width="22" customWidth="1" min="8" max="8"/>
    <col width="22" customWidth="1" min="9" max="9"/>
    <col width="12" customWidth="1" min="10" max="10"/>
    <col width="38" customWidth="1" min="11" max="11"/>
  </cols>
  <sheetData>
    <row r="1">
      <c r="A1" s="6" t="n"/>
      <c r="B1" s="7" t="inlineStr">
        <is>
          <t>🏙️  CAFÉ DIRECTORY — 33 VENUES · 4 CITIES</t>
        </is>
      </c>
      <c r="C1" s="6" t="n"/>
      <c r="D1" s="6" t="n"/>
      <c r="E1" s="6" t="n"/>
      <c r="F1" s="6" t="n"/>
      <c r="G1" s="6" t="n"/>
      <c r="H1" s="6" t="n"/>
      <c r="I1" s="6" t="n"/>
      <c r="J1" s="6" t="n"/>
      <c r="K1" s="6" t="n"/>
      <c r="L1" s="6" t="n"/>
    </row>
    <row r="2">
      <c r="A2" s="6" t="n"/>
      <c r="B2" s="8" t="inlineStr">
        <is>
          <t>Live-verified across SuperGrok · ChatGPT · Gemini · Archive direct observation · July 2026</t>
        </is>
      </c>
      <c r="C2" s="6" t="n"/>
      <c r="D2" s="6" t="n"/>
      <c r="E2" s="6" t="n"/>
      <c r="F2" s="6" t="n"/>
      <c r="G2" s="6" t="n"/>
      <c r="H2" s="6" t="n"/>
      <c r="I2" s="6" t="n"/>
      <c r="J2" s="6" t="n"/>
      <c r="K2" s="6" t="n"/>
      <c r="L2" s="6" t="n"/>
    </row>
    <row r="4">
      <c r="B4" s="9" t="inlineStr">
        <is>
          <t>🌏  BY CITY — COVERAGE</t>
        </is>
      </c>
      <c r="C4" s="10" t="n"/>
      <c r="D4" s="10" t="n"/>
      <c r="E4" s="10" t="n"/>
      <c r="F4" s="10" t="n"/>
      <c r="G4" s="10" t="n"/>
      <c r="H4" s="10" t="n"/>
      <c r="I4" s="10" t="n"/>
      <c r="J4" s="10" t="n"/>
      <c r="K4" s="10" t="n"/>
    </row>
    <row r="6">
      <c r="B6" s="15" t="inlineStr">
        <is>
          <t>City</t>
        </is>
      </c>
      <c r="C6" s="15" t="inlineStr">
        <is>
          <t>Entries</t>
        </is>
      </c>
      <c r="D6" s="15" t="inlineStr">
        <is>
          <t>Cafés</t>
        </is>
      </c>
      <c r="E6" s="15" t="inlineStr">
        <is>
          <t>Coverage</t>
        </is>
      </c>
      <c r="F6" s="15" t="inlineStr">
        <is>
          <t>Note</t>
        </is>
      </c>
    </row>
    <row r="7">
      <c r="B7" s="3" t="inlineStr">
        <is>
          <t>Singapore</t>
        </is>
      </c>
      <c r="C7" s="3">
        <f>COUNTIF('Coffee Audit'!B2:B2000,"*Singapore*")</f>
        <v/>
      </c>
      <c r="D7" s="3">
        <f>SUMPRODUCT(('Coffee Audit'!B2:B2000="Singapore")/COUNTIF('Coffee Audit'!B2:B2000,'Coffee Audit'!B2:B2000&amp;""))</f>
        <v/>
      </c>
      <c r="E7" s="3" t="inlineStr">
        <is>
          <t>28/33 cafés</t>
        </is>
      </c>
      <c r="F7" s="3" t="inlineStr">
        <is>
          <t>Primary market</t>
        </is>
      </c>
    </row>
    <row r="8">
      <c r="B8" s="3" t="inlineStr">
        <is>
          <t>Ubud, Bali</t>
        </is>
      </c>
      <c r="C8" s="3">
        <f>COUNTIF('Coffee Audit'!B2:B2000,"*Bali*")</f>
        <v/>
      </c>
      <c r="D8" s="3" t="n">
        <v>1</v>
      </c>
      <c r="E8" s="3" t="inlineStr">
        <is>
          <t>1 café</t>
        </is>
      </c>
      <c r="F8" s="3" t="inlineStr">
        <is>
          <t>Archive origin chapter</t>
        </is>
      </c>
    </row>
    <row r="9">
      <c r="B9" s="3" t="inlineStr">
        <is>
          <t>Mumbai</t>
        </is>
      </c>
      <c r="C9" s="3">
        <f>COUNTIF('Coffee Audit'!B2:B2000,"*Mumbai*")</f>
        <v/>
      </c>
      <c r="D9" s="3" t="n">
        <v>2</v>
      </c>
      <c r="E9" s="3" t="inlineStr">
        <is>
          <t>2 cafés</t>
        </is>
      </c>
      <c r="F9" s="3" t="inlineStr">
        <is>
          <t>Expansion frontier</t>
        </is>
      </c>
    </row>
    <row r="10">
      <c r="B10" s="3" t="inlineStr">
        <is>
          <t>Johor Bahru</t>
        </is>
      </c>
      <c r="C10" s="3">
        <f>COUNTIF('Coffee Audit'!B2:B2000,"*Johor*")</f>
        <v/>
      </c>
      <c r="D10" s="3" t="n">
        <v>1</v>
      </c>
      <c r="E10" s="3" t="inlineStr">
        <is>
          <t>1 café</t>
        </is>
      </c>
      <c r="F10" s="3" t="inlineStr">
        <is>
          <t>Cross-border audit</t>
        </is>
      </c>
    </row>
    <row r="12">
      <c r="B12" s="9" t="inlineStr">
        <is>
          <t>☕  COMPLETE VERIFIED DIRECTORY</t>
        </is>
      </c>
      <c r="C12" s="10" t="n"/>
      <c r="D12" s="10" t="n"/>
      <c r="E12" s="10" t="n"/>
      <c r="F12" s="10" t="n"/>
      <c r="G12" s="10" t="n"/>
      <c r="H12" s="10" t="n"/>
      <c r="I12" s="10" t="n"/>
      <c r="J12" s="10" t="n"/>
      <c r="K12" s="10" t="n"/>
    </row>
    <row r="14">
      <c r="B14" s="15" t="inlineStr">
        <is>
          <t>Café</t>
        </is>
      </c>
      <c r="C14" s="15" t="inlineStr">
        <is>
          <t>City</t>
        </is>
      </c>
      <c r="D14" s="15" t="inlineStr">
        <is>
          <t>Entries</t>
        </is>
      </c>
      <c r="E14" s="15" t="inlineStr">
        <is>
          <t>Gesha</t>
        </is>
      </c>
      <c r="F14" s="15" t="inlineStr">
        <is>
          <t>Avg SGD</t>
        </is>
      </c>
      <c r="G14" s="15" t="inlineStr">
        <is>
          <t>Verified Address</t>
        </is>
      </c>
      <c r="H14" s="15" t="inlineStr">
        <is>
          <t>Instagram</t>
        </is>
      </c>
      <c r="I14" s="15" t="inlineStr">
        <is>
          <t>Website</t>
        </is>
      </c>
      <c r="J14" s="15" t="inlineStr">
        <is>
          <t>Confidence</t>
        </is>
      </c>
      <c r="K14" s="15" t="inlineStr">
        <is>
          <t>Notes</t>
        </is>
      </c>
    </row>
    <row r="15">
      <c r="B15" s="16" t="inlineStr">
        <is>
          <t>Nylon Coffee Roasters</t>
        </is>
      </c>
      <c r="C15" s="17" t="inlineStr">
        <is>
          <t>Singapore</t>
        </is>
      </c>
      <c r="D15" s="17">
        <f>COUNTIF('Coffee Audit'!C2:C2000,B15)</f>
        <v/>
      </c>
      <c r="E15" s="17">
        <f>SUMPRODUCT(('Coffee Audit'!C2:C2000=B15)*('Coffee Audit'!W2:W2000="⭐ GESHA"))</f>
        <v/>
      </c>
      <c r="F15" s="17">
        <f>IFERROR(ROUND(AVERAGEIFS('Coffee Audit'!Q2:Q2000,'Coffee Audit'!C2:C2000,B15,'Coffee Audit'!Q2:Q2000,"&gt;0"),2),"—")</f>
        <v/>
      </c>
      <c r="G15" s="17" t="inlineStr">
        <is>
          <t>4 Everton Park, #01-40, Singapore</t>
        </is>
      </c>
      <c r="H15" s="17" t="inlineStr">
        <is>
          <t>@nyloncoffeeroasters</t>
        </is>
      </c>
      <c r="I15" s="17" t="inlineStr">
        <is>
          <t>nyloncoffee.sg</t>
        </is>
      </c>
      <c r="J15" s="17" t="inlineStr">
        <is>
          <t>✅ HIGH</t>
        </is>
      </c>
      <c r="K15" s="17" t="inlineStr">
        <is>
          <t>Reliability anchor · 5 visits</t>
        </is>
      </c>
    </row>
    <row r="16">
      <c r="B16" s="18" t="inlineStr">
        <is>
          <t>Asylum Coffeehouse</t>
        </is>
      </c>
      <c r="C16" s="19" t="inlineStr">
        <is>
          <t>Singapore</t>
        </is>
      </c>
      <c r="D16" s="19">
        <f>COUNTIF('Coffee Audit'!C2:C2000,B16)</f>
        <v/>
      </c>
      <c r="E16" s="19">
        <f>SUMPRODUCT(('Coffee Audit'!C2:C2000=B16)*('Coffee Audit'!W2:W2000="⭐ GESHA"))</f>
        <v/>
      </c>
      <c r="F16" s="19">
        <f>IFERROR(ROUND(AVERAGEIFS('Coffee Audit'!Q2:Q2000,'Coffee Audit'!C2:C2000,B16,'Coffee Audit'!Q2:Q2000,"&gt;0"),2),"—")</f>
        <v/>
      </c>
      <c r="G16" s="19" t="inlineStr">
        <is>
          <t>311 Jalan Besar, Singapore 208970</t>
        </is>
      </c>
      <c r="H16" s="19" t="inlineStr">
        <is>
          <t>Unknown</t>
        </is>
      </c>
      <c r="I16" s="19" t="inlineStr">
        <is>
          <t>Unknown</t>
        </is>
      </c>
      <c r="J16" s="19" t="inlineStr">
        <is>
          <t>✅ HIGH</t>
        </is>
      </c>
      <c r="K16" s="19" t="inlineStr">
        <is>
          <t>4 visits · 2 Gesha entries</t>
        </is>
      </c>
    </row>
    <row r="17">
      <c r="B17" s="54" t="inlineStr">
        <is>
          <t>Seniman Coffee Studio</t>
        </is>
      </c>
      <c r="C17" s="55" t="inlineStr">
        <is>
          <t>Ubud, Bali</t>
        </is>
      </c>
      <c r="D17" s="55">
        <f>COUNTIF('Coffee Audit'!C2:C2000,B17)</f>
        <v/>
      </c>
      <c r="E17" s="55">
        <f>SUMPRODUCT(('Coffee Audit'!C2:C2000=B17)*('Coffee Audit'!W2:W2000="⭐ GESHA"))</f>
        <v/>
      </c>
      <c r="F17" s="55">
        <f>IFERROR(ROUND(AVERAGEIFS('Coffee Audit'!Q2:Q2000,'Coffee Audit'!C2:C2000,B17,'Coffee Audit'!Q2:Q2000,"&gt;0"),2),"—")</f>
        <v/>
      </c>
      <c r="G17" s="55" t="inlineStr">
        <is>
          <t>Jl. Sriwedari, Ubud, Bali</t>
        </is>
      </c>
      <c r="H17" s="55" t="inlineStr">
        <is>
          <t>@senimancoffee</t>
        </is>
      </c>
      <c r="I17" s="55" t="inlineStr">
        <is>
          <t>senimancoffee.com</t>
        </is>
      </c>
      <c r="J17" s="55" t="inlineStr">
        <is>
          <t>◐ MEDIUM</t>
        </is>
      </c>
      <c r="K17" s="55" t="inlineStr">
        <is>
          <t>Archive origin venue</t>
        </is>
      </c>
    </row>
    <row r="18">
      <c r="B18" s="18" t="inlineStr">
        <is>
          <t>Kyuukei Coffee</t>
        </is>
      </c>
      <c r="C18" s="19" t="inlineStr">
        <is>
          <t>Singapore</t>
        </is>
      </c>
      <c r="D18" s="19">
        <f>COUNTIF('Coffee Audit'!C2:C2000,B18)</f>
        <v/>
      </c>
      <c r="E18" s="19">
        <f>SUMPRODUCT(('Coffee Audit'!C2:C2000=B18)*('Coffee Audit'!W2:W2000="⭐ GESHA"))</f>
        <v/>
      </c>
      <c r="F18" s="19">
        <f>IFERROR(ROUND(AVERAGEIFS('Coffee Audit'!Q2:Q2000,'Coffee Audit'!C2:C2000,B18,'Coffee Audit'!Q2:Q2000,"&gt;0"),2),"—")</f>
        <v/>
      </c>
      <c r="G18" s="19" t="inlineStr">
        <is>
          <t>121 Bukit Merah Ln 1 #01-06 · 5 Kadayanallur St #01-04</t>
        </is>
      </c>
      <c r="H18" s="19" t="inlineStr">
        <is>
          <t>@kyuukeicoffee</t>
        </is>
      </c>
      <c r="I18" s="19" t="inlineStr">
        <is>
          <t>kyuukeicoffee.com</t>
        </is>
      </c>
      <c r="J18" s="19" t="inlineStr">
        <is>
          <t>✅ HIGH</t>
        </is>
      </c>
      <c r="K18" s="19" t="inlineStr">
        <is>
          <t>2 outlets · 3 archive visits</t>
        </is>
      </c>
    </row>
    <row r="19">
      <c r="B19" s="16" t="inlineStr">
        <is>
          <t>Agora Coffee</t>
        </is>
      </c>
      <c r="C19" s="17" t="inlineStr">
        <is>
          <t>Singapore</t>
        </is>
      </c>
      <c r="D19" s="17">
        <f>COUNTIF('Coffee Audit'!C2:C2000,B19)</f>
        <v/>
      </c>
      <c r="E19" s="17">
        <f>SUMPRODUCT(('Coffee Audit'!C2:C2000=B19)*('Coffee Audit'!W2:W2000="⭐ GESHA"))</f>
        <v/>
      </c>
      <c r="F19" s="17">
        <f>IFERROR(ROUND(AVERAGEIFS('Coffee Audit'!Q2:Q2000,'Coffee Audit'!C2:C2000,B19,'Coffee Audit'!Q2:Q2000,"&gt;0"),2),"—")</f>
        <v/>
      </c>
      <c r="G19" s="17" t="inlineStr">
        <is>
          <t>31 Club Street, #01-02, Singapore 069468</t>
        </is>
      </c>
      <c r="H19" s="17" t="inlineStr">
        <is>
          <t>@agoracoffeecs</t>
        </is>
      </c>
      <c r="I19" s="17" t="inlineStr">
        <is>
          <t>Unknown</t>
        </is>
      </c>
      <c r="J19" s="17" t="inlineStr">
        <is>
          <t>✅ HIGH</t>
        </is>
      </c>
      <c r="K19" s="17" t="inlineStr">
        <is>
          <t>Gemini + ChatGPT agree</t>
        </is>
      </c>
    </row>
    <row r="20">
      <c r="B20" s="56" t="inlineStr">
        <is>
          <t>Narrative Coffee Stand</t>
        </is>
      </c>
      <c r="C20" s="57" t="inlineStr">
        <is>
          <t>Singapore</t>
        </is>
      </c>
      <c r="D20" s="57">
        <f>COUNTIF('Coffee Audit'!C2:C2000,B20)</f>
        <v/>
      </c>
      <c r="E20" s="57">
        <f>SUMPRODUCT(('Coffee Audit'!C2:C2000=B20)*('Coffee Audit'!W2:W2000="⭐ GESHA"))</f>
        <v/>
      </c>
      <c r="F20" s="57">
        <f>IFERROR(ROUND(AVERAGEIFS('Coffee Audit'!Q2:Q2000,'Coffee Audit'!C2:C2000,B20,'Coffee Audit'!Q2:Q2000,"&gt;0"),2),"—")</f>
        <v/>
      </c>
      <c r="G20" s="57" t="inlineStr">
        <is>
          <t>No fixed address (stand/pop-up format)</t>
        </is>
      </c>
      <c r="H20" s="57" t="inlineStr">
        <is>
          <t>Unknown</t>
        </is>
      </c>
      <c r="I20" s="57" t="inlineStr">
        <is>
          <t>Unknown</t>
        </is>
      </c>
      <c r="J20" s="57" t="inlineStr">
        <is>
          <t>⚠️ LOW</t>
        </is>
      </c>
      <c r="K20" s="57" t="inlineStr">
        <is>
          <t>Small independent</t>
        </is>
      </c>
    </row>
    <row r="21">
      <c r="B21" s="16" t="inlineStr">
        <is>
          <t>ASK Coffee Roastery</t>
        </is>
      </c>
      <c r="C21" s="17" t="inlineStr">
        <is>
          <t>Singapore</t>
        </is>
      </c>
      <c r="D21" s="17">
        <f>COUNTIF('Coffee Audit'!C2:C2000,B21)</f>
        <v/>
      </c>
      <c r="E21" s="17">
        <f>SUMPRODUCT(('Coffee Audit'!C2:C2000=B21)*('Coffee Audit'!W2:W2000="⭐ GESHA"))</f>
        <v/>
      </c>
      <c r="F21" s="17">
        <f>IFERROR(ROUND(AVERAGEIFS('Coffee Audit'!Q2:Q2000,'Coffee Audit'!C2:C2000,B21,'Coffee Audit'!Q2:Q2000,"&gt;0"),2),"—")</f>
        <v/>
      </c>
      <c r="G21" s="17" t="inlineStr">
        <is>
          <t>32 Seah Street, Singapore 188388</t>
        </is>
      </c>
      <c r="H21" s="17" t="inlineStr">
        <is>
          <t>@askcoffeeroastery</t>
        </is>
      </c>
      <c r="I21" s="17" t="inlineStr">
        <is>
          <t>Unknown (IG primary)</t>
        </is>
      </c>
      <c r="J21" s="17" t="inlineStr">
        <is>
          <t>✅ HIGH</t>
        </is>
      </c>
      <c r="K21" s="17" t="inlineStr">
        <is>
          <t>Gemini + ChatGPT agree · experimental lots</t>
        </is>
      </c>
    </row>
    <row r="22">
      <c r="B22" s="18" t="inlineStr">
        <is>
          <t>Tiong Hoe Specialty Coffee</t>
        </is>
      </c>
      <c r="C22" s="19" t="inlineStr">
        <is>
          <t>Singapore</t>
        </is>
      </c>
      <c r="D22" s="19">
        <f>COUNTIF('Coffee Audit'!C2:C2000,B22)</f>
        <v/>
      </c>
      <c r="E22" s="19">
        <f>SUMPRODUCT(('Coffee Audit'!C2:C2000=B22)*('Coffee Audit'!W2:W2000="⭐ GESHA"))</f>
        <v/>
      </c>
      <c r="F22" s="19">
        <f>IFERROR(ROUND(AVERAGEIFS('Coffee Audit'!Q2:Q2000,'Coffee Audit'!C2:C2000,B22,'Coffee Audit'!Q2:Q2000,"&gt;0"),2),"—")</f>
        <v/>
      </c>
      <c r="G22" s="19" t="inlineStr">
        <is>
          <t>170 Stirling Road, #01-1133, Singapore 140170 (flagship; 10 outlets)</t>
        </is>
      </c>
      <c r="H22" s="19" t="inlineStr">
        <is>
          <t>Unknown</t>
        </is>
      </c>
      <c r="I22" s="19" t="inlineStr">
        <is>
          <t>tionghoe.com</t>
        </is>
      </c>
      <c r="J22" s="19" t="inlineStr">
        <is>
          <t>✅ HIGH</t>
        </is>
      </c>
      <c r="K22" s="19" t="inlineStr">
        <is>
          <t>Established multi-outlet roaster</t>
        </is>
      </c>
    </row>
    <row r="23">
      <c r="B23" s="16" t="inlineStr">
        <is>
          <t>Maxi Coffee Bar</t>
        </is>
      </c>
      <c r="C23" s="17" t="inlineStr">
        <is>
          <t>Singapore</t>
        </is>
      </c>
      <c r="D23" s="17">
        <f>COUNTIF('Coffee Audit'!C2:C2000,B23)</f>
        <v/>
      </c>
      <c r="E23" s="17">
        <f>SUMPRODUCT(('Coffee Audit'!C2:C2000=B23)*('Coffee Audit'!W2:W2000="⭐ GESHA"))</f>
        <v/>
      </c>
      <c r="F23" s="17">
        <f>IFERROR(ROUND(AVERAGEIFS('Coffee Audit'!Q2:Q2000,'Coffee Audit'!C2:C2000,B23,'Coffee Audit'!Q2:Q2000,"&gt;0"),2),"—")</f>
        <v/>
      </c>
      <c r="G23" s="17" t="inlineStr">
        <is>
          <t>64 Club Street (back entrance), Singapore 069438</t>
        </is>
      </c>
      <c r="H23" s="17" t="inlineStr">
        <is>
          <t>Unknown</t>
        </is>
      </c>
      <c r="I23" s="17" t="inlineStr">
        <is>
          <t>maxicoffeebar.com</t>
        </is>
      </c>
      <c r="J23" s="17" t="inlineStr">
        <is>
          <t>✅ HIGH</t>
        </is>
      </c>
      <c r="K23" s="17" t="inlineStr">
        <is>
          <t>ChatGPT + Gemini agree · ~4.7 Google</t>
        </is>
      </c>
    </row>
    <row r="24">
      <c r="B24" s="18" t="inlineStr">
        <is>
          <t>Kurasu</t>
        </is>
      </c>
      <c r="C24" s="19" t="inlineStr">
        <is>
          <t>Singapore</t>
        </is>
      </c>
      <c r="D24" s="19">
        <f>COUNTIF('Coffee Audit'!C2:C2000,B24)</f>
        <v/>
      </c>
      <c r="E24" s="19">
        <f>SUMPRODUCT(('Coffee Audit'!C2:C2000=B24)*('Coffee Audit'!W2:W2000="⭐ GESHA"))</f>
        <v/>
      </c>
      <c r="F24" s="19">
        <f>IFERROR(ROUND(AVERAGEIFS('Coffee Audit'!Q2:Q2000,'Coffee Audit'!C2:C2000,B24,'Coffee Audit'!Q2:Q2000,"&gt;0"),2),"—")</f>
        <v/>
      </c>
      <c r="G24" s="19" t="inlineStr">
        <is>
          <t>261 Waterloo Street, #01-24, Singapore 180261</t>
        </is>
      </c>
      <c r="H24" s="19" t="inlineStr">
        <is>
          <t>@kurasu.sg</t>
        </is>
      </c>
      <c r="I24" s="19" t="inlineStr">
        <is>
          <t>kurasu.sg</t>
        </is>
      </c>
      <c r="J24" s="19" t="inlineStr">
        <is>
          <t>✅ HIGH</t>
        </is>
      </c>
      <c r="K24" s="19" t="inlineStr">
        <is>
          <t>Japanese origin · ChatGPT verified</t>
        </is>
      </c>
    </row>
    <row r="25">
      <c r="B25" s="16" t="inlineStr">
        <is>
          <t>Zerah Roasters</t>
        </is>
      </c>
      <c r="C25" s="17" t="inlineStr">
        <is>
          <t>Singapore</t>
        </is>
      </c>
      <c r="D25" s="17">
        <f>COUNTIF('Coffee Audit'!C2:C2000,B25)</f>
        <v/>
      </c>
      <c r="E25" s="17">
        <f>SUMPRODUCT(('Coffee Audit'!C2:C2000=B25)*('Coffee Audit'!W2:W2000="⭐ GESHA"))</f>
        <v/>
      </c>
      <c r="F25" s="17">
        <f>IFERROR(ROUND(AVERAGEIFS('Coffee Audit'!Q2:Q2000,'Coffee Audit'!C2:C2000,B25,'Coffee Audit'!Q2:Q2000,"&gt;0"),2),"—")</f>
        <v/>
      </c>
      <c r="G25" s="17" t="inlineStr">
        <is>
          <t>465 North Bridge Road, #02-5063, Singapore</t>
        </is>
      </c>
      <c r="H25" s="17" t="inlineStr">
        <is>
          <t>@zerahroasters</t>
        </is>
      </c>
      <c r="I25" s="17" t="inlineStr">
        <is>
          <t>zerahcoffeeroasters.com</t>
        </is>
      </c>
      <c r="J25" s="17" t="inlineStr">
        <is>
          <t>✅ HIGH</t>
        </is>
      </c>
      <c r="K25" s="17" t="inlineStr">
        <is>
          <t>Barista confirmed · Entry #047</t>
        </is>
      </c>
    </row>
    <row r="26">
      <c r="B26" s="18" t="inlineStr">
        <is>
          <t>Keryi Coffee</t>
        </is>
      </c>
      <c r="C26" s="19" t="inlineStr">
        <is>
          <t>Singapore</t>
        </is>
      </c>
      <c r="D26" s="19">
        <f>COUNTIF('Coffee Audit'!C2:C2000,B26)</f>
        <v/>
      </c>
      <c r="E26" s="19">
        <f>SUMPRODUCT(('Coffee Audit'!C2:C2000=B26)*('Coffee Audit'!W2:W2000="⭐ GESHA"))</f>
        <v/>
      </c>
      <c r="F26" s="19">
        <f>IFERROR(ROUND(AVERAGEIFS('Coffee Audit'!Q2:Q2000,'Coffee Audit'!C2:C2000,B26,'Coffee Audit'!Q2:Q2000,"&gt;0"),2),"—")</f>
        <v/>
      </c>
      <c r="G26" s="19" t="inlineStr">
        <is>
          <t>161 Lavender Street, #01-08, Singapore 338750</t>
        </is>
      </c>
      <c r="H26" s="19" t="inlineStr">
        <is>
          <t>@keryicoffee</t>
        </is>
      </c>
      <c r="I26" s="19" t="inlineStr">
        <is>
          <t>keryicoffee.com</t>
        </is>
      </c>
      <c r="J26" s="19" t="inlineStr">
        <is>
          <t>✅ HIGH</t>
        </is>
      </c>
      <c r="K26" s="19" t="inlineStr">
        <is>
          <t>Gemini + ChatGPT · closed Fri for production</t>
        </is>
      </c>
    </row>
    <row r="27">
      <c r="B27" s="16" t="inlineStr">
        <is>
          <t>Apartment (Jalan Riang)</t>
        </is>
      </c>
      <c r="C27" s="17" t="inlineStr">
        <is>
          <t>Singapore</t>
        </is>
      </c>
      <c r="D27" s="17">
        <f>COUNTIF('Coffee Audit'!C2:C2000,B27)</f>
        <v/>
      </c>
      <c r="E27" s="17">
        <f>SUMPRODUCT(('Coffee Audit'!C2:C2000=B27)*('Coffee Audit'!W2:W2000="⭐ GESHA"))</f>
        <v/>
      </c>
      <c r="F27" s="17">
        <f>IFERROR(ROUND(AVERAGEIFS('Coffee Audit'!Q2:Q2000,'Coffee Audit'!C2:C2000,B27,'Coffee Audit'!Q2:Q2000,"&gt;0"),2),"—")</f>
        <v/>
      </c>
      <c r="G27" s="17" t="inlineStr">
        <is>
          <t>Jalan Riang, Singapore (weekends only, ~Jun 2025)</t>
        </is>
      </c>
      <c r="H27" s="17" t="inlineStr">
        <is>
          <t>@apartmentcoffee.co</t>
        </is>
      </c>
      <c r="I27" s="17" t="inlineStr">
        <is>
          <t>apartmentcoffee.co</t>
        </is>
      </c>
      <c r="J27" s="17" t="inlineStr">
        <is>
          <t>✅ HIGH</t>
        </is>
      </c>
      <c r="K27" s="17" t="inlineStr">
        <is>
          <t>Roastery branch · weekends only</t>
        </is>
      </c>
    </row>
    <row r="28">
      <c r="B28" s="18" t="inlineStr">
        <is>
          <t>Homeground Coffee Roasters</t>
        </is>
      </c>
      <c r="C28" s="19" t="inlineStr">
        <is>
          <t>Singapore</t>
        </is>
      </c>
      <c r="D28" s="19">
        <f>COUNTIF('Coffee Audit'!C2:C2000,B28)</f>
        <v/>
      </c>
      <c r="E28" s="19">
        <f>SUMPRODUCT(('Coffee Audit'!C2:C2000=B28)*('Coffee Audit'!W2:W2000="⭐ GESHA"))</f>
        <v/>
      </c>
      <c r="F28" s="19">
        <f>IFERROR(ROUND(AVERAGEIFS('Coffee Audit'!Q2:Q2000,'Coffee Audit'!C2:C2000,B28,'Coffee Audit'!Q2:Q2000,"&gt;0"),2),"—")</f>
        <v/>
      </c>
      <c r="G28" s="19" t="inlineStr">
        <is>
          <t>911 Bukit Timah Road, Singapore</t>
        </is>
      </c>
      <c r="H28" s="19" t="inlineStr">
        <is>
          <t>@homegroundcoffeeroasters</t>
        </is>
      </c>
      <c r="I28" s="19" t="inlineStr">
        <is>
          <t>homegroundcoffee.sg</t>
        </is>
      </c>
      <c r="J28" s="19" t="inlineStr">
        <is>
          <t>✅ HIGH</t>
        </is>
      </c>
      <c r="K28" s="19" t="inlineStr">
        <is>
          <t>SuperGrok + Project KB</t>
        </is>
      </c>
    </row>
    <row r="29">
      <c r="B29" s="16" t="inlineStr">
        <is>
          <t>Fluid Collective</t>
        </is>
      </c>
      <c r="C29" s="17" t="inlineStr">
        <is>
          <t>Singapore</t>
        </is>
      </c>
      <c r="D29" s="17">
        <f>COUNTIF('Coffee Audit'!C2:C2000,B29)</f>
        <v/>
      </c>
      <c r="E29" s="17">
        <f>SUMPRODUCT(('Coffee Audit'!C2:C2000=B29)*('Coffee Audit'!W2:W2000="⭐ GESHA"))</f>
        <v/>
      </c>
      <c r="F29" s="17">
        <f>IFERROR(ROUND(AVERAGEIFS('Coffee Audit'!Q2:Q2000,'Coffee Audit'!C2:C2000,B29,'Coffee Audit'!Q2:Q2000,"&gt;0"),2),"—")</f>
        <v/>
      </c>
      <c r="G29" s="17" t="inlineStr">
        <is>
          <t>24 Opal Crescent, Singapore</t>
        </is>
      </c>
      <c r="H29" s="17" t="inlineStr">
        <is>
          <t>@fluidcollective</t>
        </is>
      </c>
      <c r="I29" s="17" t="inlineStr">
        <is>
          <t>Unknown</t>
        </is>
      </c>
      <c r="J29" s="17" t="inlineStr">
        <is>
          <t>✅ HIGH</t>
        </is>
      </c>
      <c r="K29" s="17" t="inlineStr">
        <is>
          <t>2025 Brewers Cup champion · elite hardware</t>
        </is>
      </c>
    </row>
    <row r="30">
      <c r="B30" s="54" t="inlineStr">
        <is>
          <t>Subko Coffee Roasters</t>
        </is>
      </c>
      <c r="C30" s="55" t="inlineStr">
        <is>
          <t>Mumbai</t>
        </is>
      </c>
      <c r="D30" s="55">
        <f>COUNTIF('Coffee Audit'!C2:C2000,B30)</f>
        <v/>
      </c>
      <c r="E30" s="55">
        <f>SUMPRODUCT(('Coffee Audit'!C2:C2000=B30)*('Coffee Audit'!W2:W2000="⭐ GESHA"))</f>
        <v/>
      </c>
      <c r="F30" s="55">
        <f>IFERROR(ROUND(AVERAGEIFS('Coffee Audit'!Q2:Q2000,'Coffee Audit'!C2:C2000,B30,'Coffee Audit'!Q2:Q2000,"&gt;0"),2),"—")</f>
        <v/>
      </c>
      <c r="G30" s="55" t="inlineStr">
        <is>
          <t>Bandra/Khar area, Mumbai, India</t>
        </is>
      </c>
      <c r="H30" s="55" t="inlineStr">
        <is>
          <t>@subkocoffee</t>
        </is>
      </c>
      <c r="I30" s="55" t="inlineStr">
        <is>
          <t>subko.coffee</t>
        </is>
      </c>
      <c r="J30" s="55" t="inlineStr">
        <is>
          <t>◐ MEDIUM</t>
        </is>
      </c>
      <c r="K30" s="55" t="inlineStr">
        <is>
          <t>City-level verified</t>
        </is>
      </c>
    </row>
    <row r="31">
      <c r="B31" s="54" t="inlineStr">
        <is>
          <t>Grey Soul Coffee Roasters</t>
        </is>
      </c>
      <c r="C31" s="55" t="inlineStr">
        <is>
          <t>Mumbai</t>
        </is>
      </c>
      <c r="D31" s="55">
        <f>COUNTIF('Coffee Audit'!C2:C2000,B31)</f>
        <v/>
      </c>
      <c r="E31" s="55">
        <f>SUMPRODUCT(('Coffee Audit'!C2:C2000=B31)*('Coffee Audit'!W2:W2000="⭐ GESHA"))</f>
        <v/>
      </c>
      <c r="F31" s="55">
        <f>IFERROR(ROUND(AVERAGEIFS('Coffee Audit'!Q2:Q2000,'Coffee Audit'!C2:C2000,B31,'Coffee Audit'!Q2:Q2000,"&gt;0"),2),"—")</f>
        <v/>
      </c>
      <c r="G31" s="55" t="inlineStr">
        <is>
          <t>Mumbai, India</t>
        </is>
      </c>
      <c r="H31" s="55" t="inlineStr">
        <is>
          <t>@greysoulcoffee</t>
        </is>
      </c>
      <c r="I31" s="55" t="inlineStr">
        <is>
          <t>Unknown</t>
        </is>
      </c>
      <c r="J31" s="55" t="inlineStr">
        <is>
          <t>◐ MEDIUM</t>
        </is>
      </c>
      <c r="K31" s="55" t="inlineStr">
        <is>
          <t>City-level verified</t>
        </is>
      </c>
    </row>
    <row r="32">
      <c r="B32" s="18" t="inlineStr">
        <is>
          <t>Apartment (Selegie Rd)</t>
        </is>
      </c>
      <c r="C32" s="19" t="inlineStr">
        <is>
          <t>Singapore</t>
        </is>
      </c>
      <c r="D32" s="19">
        <f>COUNTIF('Coffee Audit'!C2:C2000,B32)</f>
        <v/>
      </c>
      <c r="E32" s="19">
        <f>SUMPRODUCT(('Coffee Audit'!C2:C2000=B32)*('Coffee Audit'!W2:W2000="⭐ GESHA"))</f>
        <v/>
      </c>
      <c r="F32" s="19">
        <f>IFERROR(ROUND(AVERAGEIFS('Coffee Audit'!Q2:Q2000,'Coffee Audit'!C2:C2000,B32,'Coffee Audit'!Q2:Q2000,"&gt;0"),2),"—")</f>
        <v/>
      </c>
      <c r="G32" s="19" t="inlineStr">
        <is>
          <t>139 Selegie Road, #01-01, Singapore 188309</t>
        </is>
      </c>
      <c r="H32" s="19" t="inlineStr">
        <is>
          <t>@apartmentcoffee.co</t>
        </is>
      </c>
      <c r="I32" s="19" t="inlineStr">
        <is>
          <t>apartmentcoffee.co</t>
        </is>
      </c>
      <c r="J32" s="19" t="inlineStr">
        <is>
          <t>✅ HIGH</t>
        </is>
      </c>
      <c r="K32" s="19" t="inlineStr">
        <is>
          <t>SuperGrok (TimeOut + official site) · #6 world ranked</t>
        </is>
      </c>
    </row>
    <row r="33">
      <c r="B33" s="16" t="inlineStr">
        <is>
          <t>Lume Café</t>
        </is>
      </c>
      <c r="C33" s="17" t="inlineStr">
        <is>
          <t>Singapore</t>
        </is>
      </c>
      <c r="D33" s="17">
        <f>COUNTIF('Coffee Audit'!C2:C2000,B33)</f>
        <v/>
      </c>
      <c r="E33" s="17">
        <f>SUMPRODUCT(('Coffee Audit'!C2:C2000=B33)*('Coffee Audit'!W2:W2000="⭐ GESHA"))</f>
        <v/>
      </c>
      <c r="F33" s="17">
        <f>IFERROR(ROUND(AVERAGEIFS('Coffee Audit'!Q2:Q2000,'Coffee Audit'!C2:C2000,B33,'Coffee Audit'!Q2:Q2000,"&gt;0"),2),"—")</f>
        <v/>
      </c>
      <c r="G33" s="17" t="inlineStr">
        <is>
          <t>108 Robinson Road, #01-01, Singapore 068900</t>
        </is>
      </c>
      <c r="H33" s="17" t="inlineStr">
        <is>
          <t>@lume_sg</t>
        </is>
      </c>
      <c r="I33" s="17" t="inlineStr">
        <is>
          <t>lume.sg</t>
        </is>
      </c>
      <c r="J33" s="17" t="inlineStr">
        <is>
          <t>✅ HIGH</t>
        </is>
      </c>
      <c r="K33" s="17" t="inlineStr">
        <is>
          <t>Gemini + ChatGPT agree (official site + DFD)</t>
        </is>
      </c>
    </row>
    <row r="34">
      <c r="B34" s="18" t="inlineStr">
        <is>
          <t>Alchemist (Raffles Place)</t>
        </is>
      </c>
      <c r="C34" s="19" t="inlineStr">
        <is>
          <t>Singapore</t>
        </is>
      </c>
      <c r="D34" s="19">
        <f>COUNTIF('Coffee Audit'!C2:C2000,B34)</f>
        <v/>
      </c>
      <c r="E34" s="19">
        <f>SUMPRODUCT(('Coffee Audit'!C2:C2000=B34)*('Coffee Audit'!W2:W2000="⭐ GESHA"))</f>
        <v/>
      </c>
      <c r="F34" s="19">
        <f>IFERROR(ROUND(AVERAGEIFS('Coffee Audit'!Q2:Q2000,'Coffee Audit'!C2:C2000,B34,'Coffee Audit'!Q2:Q2000,"&gt;0"),2),"—")</f>
        <v/>
      </c>
      <c r="G34" s="19" t="inlineStr">
        <is>
          <t>16 Raffles Quay, #01-08, Hong Leong Building, Singapore 048581</t>
        </is>
      </c>
      <c r="H34" s="19" t="inlineStr">
        <is>
          <t>@alchemist.global</t>
        </is>
      </c>
      <c r="I34" s="19" t="inlineStr">
        <is>
          <t>alchemist.global</t>
        </is>
      </c>
      <c r="J34" s="19" t="inlineStr">
        <is>
          <t>✅ HIGH</t>
        </is>
      </c>
      <c r="K34" s="19" t="inlineStr">
        <is>
          <t>SuperGrok · distinct from OFC branch</t>
        </is>
      </c>
    </row>
    <row r="35">
      <c r="B35" s="56" t="inlineStr">
        <is>
          <t>The Community Coffee (Hamilton)</t>
        </is>
      </c>
      <c r="C35" s="57" t="inlineStr">
        <is>
          <t>Singapore</t>
        </is>
      </c>
      <c r="D35" s="57">
        <f>COUNTIF('Coffee Audit'!C2:C2000,B35)</f>
        <v/>
      </c>
      <c r="E35" s="57">
        <f>SUMPRODUCT(('Coffee Audit'!C2:C2000=B35)*('Coffee Audit'!W2:W2000="⭐ GESHA"))</f>
        <v/>
      </c>
      <c r="F35" s="57">
        <f>IFERROR(ROUND(AVERAGEIFS('Coffee Audit'!Q2:Q2000,'Coffee Audit'!C2:C2000,B35,'Coffee Audit'!Q2:Q2000,"&gt;0"),2),"—")</f>
        <v/>
      </c>
      <c r="G35" s="57" t="inlineStr">
        <is>
          <t>Hamilton Road, Singapore (exact unit unconfirmed)</t>
        </is>
      </c>
      <c r="H35" s="57" t="inlineStr">
        <is>
          <t>Unknown</t>
        </is>
      </c>
      <c r="I35" s="57" t="inlineStr">
        <is>
          <t>Unknown</t>
        </is>
      </c>
      <c r="J35" s="57" t="inlineStr">
        <is>
          <t>⚠️ LOW</t>
        </is>
      </c>
      <c r="K35" s="57" t="inlineStr">
        <is>
          <t>Small independent · area verified only</t>
        </is>
      </c>
    </row>
    <row r="36">
      <c r="B36" s="18" t="inlineStr">
        <is>
          <t>Alchemist (Ocean Financial Centre)</t>
        </is>
      </c>
      <c r="C36" s="19" t="inlineStr">
        <is>
          <t>Singapore</t>
        </is>
      </c>
      <c r="D36" s="19">
        <f>COUNTIF('Coffee Audit'!C2:C2000,B36)</f>
        <v/>
      </c>
      <c r="E36" s="19">
        <f>SUMPRODUCT(('Coffee Audit'!C2:C2000=B36)*('Coffee Audit'!W2:W2000="⭐ GESHA"))</f>
        <v/>
      </c>
      <c r="F36" s="19">
        <f>IFERROR(ROUND(AVERAGEIFS('Coffee Audit'!Q2:Q2000,'Coffee Audit'!C2:C2000,B36,'Coffee Audit'!Q2:Q2000,"&gt;0"),2),"—")</f>
        <v/>
      </c>
      <c r="G36" s="19" t="inlineStr">
        <is>
          <t>10 Collyer Quay, #01-K1, Singapore 049315</t>
        </is>
      </c>
      <c r="H36" s="19" t="inlineStr">
        <is>
          <t>@alchemist.global</t>
        </is>
      </c>
      <c r="I36" s="19" t="inlineStr">
        <is>
          <t>alchemist.global</t>
        </is>
      </c>
      <c r="J36" s="19" t="inlineStr">
        <is>
          <t>✅ HIGH</t>
        </is>
      </c>
      <c r="K36" s="19" t="inlineStr">
        <is>
          <t>SuperGrok (official stores page)</t>
        </is>
      </c>
    </row>
    <row r="37">
      <c r="B37" s="16" t="inlineStr">
        <is>
          <t>PPP Coffee (Funan)</t>
        </is>
      </c>
      <c r="C37" s="17" t="inlineStr">
        <is>
          <t>Singapore</t>
        </is>
      </c>
      <c r="D37" s="17">
        <f>COUNTIF('Coffee Audit'!C2:C2000,B37)</f>
        <v/>
      </c>
      <c r="E37" s="17">
        <f>SUMPRODUCT(('Coffee Audit'!C2:C2000=B37)*('Coffee Audit'!W2:W2000="⭐ GESHA"))</f>
        <v/>
      </c>
      <c r="F37" s="17">
        <f>IFERROR(ROUND(AVERAGEIFS('Coffee Audit'!Q2:Q2000,'Coffee Audit'!C2:C2000,B37,'Coffee Audit'!Q2:Q2000,"&gt;0"),2),"—")</f>
        <v/>
      </c>
      <c r="G37" s="17" t="inlineStr">
        <is>
          <t>Funan Mall, 107 North Bridge Road, Singapore</t>
        </is>
      </c>
      <c r="H37" s="17" t="inlineStr">
        <is>
          <t>Unknown</t>
        </is>
      </c>
      <c r="I37" s="17" t="inlineStr">
        <is>
          <t>Unknown</t>
        </is>
      </c>
      <c r="J37" s="17" t="inlineStr">
        <is>
          <t>✅ HIGH</t>
        </is>
      </c>
      <c r="K37" s="17" t="inlineStr">
        <is>
          <t>Project KB + mall directory</t>
        </is>
      </c>
    </row>
    <row r="38">
      <c r="B38" s="18" t="inlineStr">
        <is>
          <t>2050 Coffee</t>
        </is>
      </c>
      <c r="C38" s="19" t="inlineStr">
        <is>
          <t>Singapore</t>
        </is>
      </c>
      <c r="D38" s="19">
        <f>COUNTIF('Coffee Audit'!C2:C2000,B38)</f>
        <v/>
      </c>
      <c r="E38" s="19">
        <f>SUMPRODUCT(('Coffee Audit'!C2:C2000=B38)*('Coffee Audit'!W2:W2000="⭐ GESHA"))</f>
        <v/>
      </c>
      <c r="F38" s="19">
        <f>IFERROR(ROUND(AVERAGEIFS('Coffee Audit'!Q2:Q2000,'Coffee Audit'!C2:C2000,B38,'Coffee Audit'!Q2:Q2000,"&gt;0"),2),"—")</f>
        <v/>
      </c>
      <c r="G38" s="19" t="inlineStr">
        <is>
          <t>267 Beach Road, #01-01, Singapore 199545</t>
        </is>
      </c>
      <c r="H38" s="19" t="inlineStr">
        <is>
          <t>@2050.coffee</t>
        </is>
      </c>
      <c r="I38" s="19" t="inlineStr">
        <is>
          <t>Unknown (IG primary)</t>
        </is>
      </c>
      <c r="J38" s="19" t="inlineStr">
        <is>
          <t>✅ HIGH</t>
        </is>
      </c>
      <c r="K38" s="19" t="inlineStr">
        <is>
          <t>ChatGPT + Gemini · automated tap concept · opened Jan 2025</t>
        </is>
      </c>
    </row>
    <row r="39">
      <c r="B39" s="16" t="inlineStr">
        <is>
          <t>Corner Corner</t>
        </is>
      </c>
      <c r="C39" s="17" t="inlineStr">
        <is>
          <t>Singapore</t>
        </is>
      </c>
      <c r="D39" s="17">
        <f>COUNTIF('Coffee Audit'!C2:C2000,B39)</f>
        <v/>
      </c>
      <c r="E39" s="17">
        <f>SUMPRODUCT(('Coffee Audit'!C2:C2000=B39)*('Coffee Audit'!W2:W2000="⭐ GESHA"))</f>
        <v/>
      </c>
      <c r="F39" s="17">
        <f>IFERROR(ROUND(AVERAGEIFS('Coffee Audit'!Q2:Q2000,'Coffee Audit'!C2:C2000,B39,'Coffee Audit'!Q2:Q2000,"&gt;0"),2),"—")</f>
        <v/>
      </c>
      <c r="G39" s="17" t="inlineStr">
        <is>
          <t>16 Duxton Road, Singapore 089482 (daytime vinyl concept inside RPM)</t>
        </is>
      </c>
      <c r="H39" s="17" t="inlineStr">
        <is>
          <t>@corner___corner</t>
        </is>
      </c>
      <c r="I39" s="17" t="inlineStr">
        <is>
          <t>Unknown</t>
        </is>
      </c>
      <c r="J39" s="17" t="inlineStr">
        <is>
          <t>✅ HIGH</t>
        </is>
      </c>
      <c r="K39" s="17" t="inlineStr">
        <is>
          <t>ChatGPT + Gemini · daytime only ~11am-5pm</t>
        </is>
      </c>
    </row>
    <row r="40">
      <c r="B40" s="58" t="inlineStr">
        <is>
          <t>Clod Coffee Bar &amp; Roasters</t>
        </is>
      </c>
      <c r="C40" s="59" t="inlineStr">
        <is>
          <t>Johor Bahru</t>
        </is>
      </c>
      <c r="D40" s="59">
        <f>COUNTIF('Coffee Audit'!C2:C2000,B40)</f>
        <v/>
      </c>
      <c r="E40" s="59">
        <f>SUMPRODUCT(('Coffee Audit'!C2:C2000=B40)*('Coffee Audit'!W2:W2000="⭐ GESHA"))</f>
        <v/>
      </c>
      <c r="F40" s="59">
        <f>IFERROR(ROUND(AVERAGEIFS('Coffee Audit'!Q2:Q2000,'Coffee Audit'!C2:C2000,B40,'Coffee Audit'!Q2:Q2000,"&gt;0"),2),"—")</f>
        <v/>
      </c>
      <c r="G40" s="59" t="inlineStr">
        <is>
          <t>123, Jln Beringin, Taman Melodies, 80250 Johor Bahru, Johor, Malaysia</t>
        </is>
      </c>
      <c r="H40" s="59" t="inlineStr">
        <is>
          <t>Unknown</t>
        </is>
      </c>
      <c r="I40" s="59" t="inlineStr">
        <is>
          <t>Unknown</t>
        </is>
      </c>
      <c r="J40" s="59" t="inlineStr">
        <is>
          <t>✅ LOCK</t>
        </is>
      </c>
      <c r="K40" s="59" t="inlineStr">
        <is>
          <t>Direct confirmation — replaces Unknown</t>
        </is>
      </c>
    </row>
    <row r="41">
      <c r="B41" s="16" t="inlineStr">
        <is>
          <t>Equate Coffee</t>
        </is>
      </c>
      <c r="C41" s="17" t="inlineStr">
        <is>
          <t>Singapore</t>
        </is>
      </c>
      <c r="D41" s="17">
        <f>COUNTIF('Coffee Audit'!C2:C2000,B41)</f>
        <v/>
      </c>
      <c r="E41" s="17">
        <f>SUMPRODUCT(('Coffee Audit'!C2:C2000=B41)*('Coffee Audit'!W2:W2000="⭐ GESHA"))</f>
        <v/>
      </c>
      <c r="F41" s="17">
        <f>IFERROR(ROUND(AVERAGEIFS('Coffee Audit'!Q2:Q2000,'Coffee Audit'!C2:C2000,B41,'Coffee Audit'!Q2:Q2000,"&gt;0"),2),"—")</f>
        <v/>
      </c>
      <c r="G41" s="17" t="inlineStr">
        <is>
          <t>1 Tanjong Pagar Plaza, #02-25, Singapore 082001</t>
        </is>
      </c>
      <c r="H41" s="17" t="inlineStr">
        <is>
          <t>@equatecoffee</t>
        </is>
      </c>
      <c r="I41" s="17" t="inlineStr">
        <is>
          <t>equate.sg</t>
        </is>
      </c>
      <c r="J41" s="17" t="inlineStr">
        <is>
          <t>✅ HIGH</t>
        </is>
      </c>
      <c r="K41" s="17" t="inlineStr">
        <is>
          <t>SuperGrok (IG + Wanderlog)</t>
        </is>
      </c>
    </row>
    <row r="42">
      <c r="B42" s="18" t="inlineStr">
        <is>
          <t>Pocket by Flip (Flip Coffee Roasters)</t>
        </is>
      </c>
      <c r="C42" s="19" t="inlineStr">
        <is>
          <t>Singapore</t>
        </is>
      </c>
      <c r="D42" s="19">
        <f>COUNTIF('Coffee Audit'!C2:C2000,B42)</f>
        <v/>
      </c>
      <c r="E42" s="19">
        <f>SUMPRODUCT(('Coffee Audit'!C2:C2000=B42)*('Coffee Audit'!W2:W2000="⭐ GESHA"))</f>
        <v/>
      </c>
      <c r="F42" s="19">
        <f>IFERROR(ROUND(AVERAGEIFS('Coffee Audit'!Q2:Q2000,'Coffee Audit'!C2:C2000,B42,'Coffee Audit'!Q2:Q2000,"&gt;0"),2),"—")</f>
        <v/>
      </c>
      <c r="G42" s="19" t="inlineStr">
        <is>
          <t>619H Bukit Timah Road, Singapore</t>
        </is>
      </c>
      <c r="H42" s="19" t="inlineStr">
        <is>
          <t>@flipcoffeeroasters</t>
        </is>
      </c>
      <c r="I42" s="19" t="inlineStr">
        <is>
          <t>Unknown</t>
        </is>
      </c>
      <c r="J42" s="19" t="inlineStr">
        <is>
          <t>✅ HIGH</t>
        </is>
      </c>
      <c r="K42" s="19" t="inlineStr">
        <is>
          <t>Project KB</t>
        </is>
      </c>
    </row>
    <row r="43">
      <c r="B43" s="16" t="inlineStr">
        <is>
          <t>Cowpresso Coffee Roasters</t>
        </is>
      </c>
      <c r="C43" s="17" t="inlineStr">
        <is>
          <t>Singapore</t>
        </is>
      </c>
      <c r="D43" s="17">
        <f>COUNTIF('Coffee Audit'!C2:C2000,B43)</f>
        <v/>
      </c>
      <c r="E43" s="17">
        <f>SUMPRODUCT(('Coffee Audit'!C2:C2000=B43)*('Coffee Audit'!W2:W2000="⭐ GESHA"))</f>
        <v/>
      </c>
      <c r="F43" s="17">
        <f>IFERROR(ROUND(AVERAGEIFS('Coffee Audit'!Q2:Q2000,'Coffee Audit'!C2:C2000,B43,'Coffee Audit'!Q2:Q2000,"&gt;0"),2),"—")</f>
        <v/>
      </c>
      <c r="G43" s="17" t="inlineStr">
        <is>
          <t>21 Lor Kilat, #01-07, Singapore 598123</t>
        </is>
      </c>
      <c r="H43" s="17" t="inlineStr">
        <is>
          <t>@cowpressocoffee</t>
        </is>
      </c>
      <c r="I43" s="17" t="inlineStr">
        <is>
          <t>cowpressocoffee.sg</t>
        </is>
      </c>
      <c r="J43" s="17" t="inlineStr">
        <is>
          <t>✅ HIGH</t>
        </is>
      </c>
      <c r="K43" s="17" t="inlineStr">
        <is>
          <t>SuperGrok (ClassPass + Wanderlog)</t>
        </is>
      </c>
    </row>
    <row r="44">
      <c r="B44" s="18" t="inlineStr">
        <is>
          <t>Pinhole Coffee Bar</t>
        </is>
      </c>
      <c r="C44" s="19" t="inlineStr">
        <is>
          <t>Singapore</t>
        </is>
      </c>
      <c r="D44" s="19">
        <f>COUNTIF('Coffee Audit'!C2:C2000,B44)</f>
        <v/>
      </c>
      <c r="E44" s="19">
        <f>SUMPRODUCT(('Coffee Audit'!C2:C2000=B44)*('Coffee Audit'!W2:W2000="⭐ GESHA"))</f>
        <v/>
      </c>
      <c r="F44" s="19">
        <f>IFERROR(ROUND(AVERAGEIFS('Coffee Audit'!Q2:Q2000,'Coffee Audit'!C2:C2000,B44,'Coffee Audit'!Q2:Q2000,"&gt;0"),2),"—")</f>
        <v/>
      </c>
      <c r="G44" s="19" t="inlineStr">
        <is>
          <t>27 Purvis Street, #01-02, Singapore 188604</t>
        </is>
      </c>
      <c r="H44" s="19" t="inlineStr">
        <is>
          <t>@pinholecoffeebar</t>
        </is>
      </c>
      <c r="I44" s="19" t="inlineStr">
        <is>
          <t>pinhole.cafe</t>
        </is>
      </c>
      <c r="J44" s="19" t="inlineStr">
        <is>
          <t>✅ HIGH</t>
        </is>
      </c>
      <c r="K44" s="19" t="inlineStr">
        <is>
          <t>SuperGrok (middleclass.sg + TimeOut)</t>
        </is>
      </c>
    </row>
    <row r="45">
      <c r="B45" s="58" t="inlineStr">
        <is>
          <t>Oaks Coffee Co.</t>
        </is>
      </c>
      <c r="C45" s="59" t="inlineStr">
        <is>
          <t>Singapore</t>
        </is>
      </c>
      <c r="D45" s="59">
        <f>COUNTIF('Coffee Audit'!C2:C2000,B45)</f>
        <v/>
      </c>
      <c r="E45" s="59">
        <f>SUMPRODUCT(('Coffee Audit'!C2:C2000=B45)*('Coffee Audit'!W2:W2000="⭐ GESHA"))</f>
        <v/>
      </c>
      <c r="F45" s="59">
        <f>IFERROR(ROUND(AVERAGEIFS('Coffee Audit'!Q2:Q2000,'Coffee Audit'!C2:C2000,B45,'Coffee Audit'!Q2:Q2000,"&gt;0"),2),"—")</f>
        <v/>
      </c>
      <c r="G45" s="59" t="inlineStr">
        <is>
          <t>619H Bukit Timah Road, Singapore 269728</t>
        </is>
      </c>
      <c r="H45" s="59" t="inlineStr">
        <is>
          <t>@oakscoffeeco</t>
        </is>
      </c>
      <c r="I45" s="59" t="inlineStr">
        <is>
          <t>oakscoffeeco.com</t>
        </is>
      </c>
      <c r="J45" s="59" t="inlineStr">
        <is>
          <t>✅ LOCK</t>
        </is>
      </c>
      <c r="K45" s="59" t="inlineStr">
        <is>
          <t>Direct confirmation · Day 4 of operations at visit</t>
        </is>
      </c>
    </row>
    <row r="46">
      <c r="B46" s="18" t="inlineStr">
        <is>
          <t>Abseil</t>
        </is>
      </c>
      <c r="C46" s="19" t="inlineStr">
        <is>
          <t>Singapore</t>
        </is>
      </c>
      <c r="D46" s="19">
        <f>COUNTIF('Coffee Audit'!C2:C2000,B46)</f>
        <v/>
      </c>
      <c r="E46" s="19">
        <f>SUMPRODUCT(('Coffee Audit'!C2:C2000=B46)*('Coffee Audit'!W2:W2000="⭐ GESHA"))</f>
        <v/>
      </c>
      <c r="F46" s="19">
        <f>IFERROR(ROUND(AVERAGEIFS('Coffee Audit'!Q2:Q2000,'Coffee Audit'!C2:C2000,B46,'Coffee Audit'!Q2:Q2000,"&gt;0"),2),"—")</f>
        <v/>
      </c>
      <c r="G46" s="19" t="inlineStr">
        <is>
          <t>70 Shenton Way, #01-14, Eon Shenton, Singapore 079118</t>
        </is>
      </c>
      <c r="H46" s="19" t="inlineStr">
        <is>
          <t>@abseil.coffee</t>
        </is>
      </c>
      <c r="I46" s="19" t="inlineStr">
        <is>
          <t>abseilcoffee.com</t>
        </is>
      </c>
      <c r="J46" s="19" t="inlineStr">
        <is>
          <t>✅ HIGH</t>
        </is>
      </c>
      <c r="K46" s="19" t="inlineStr">
        <is>
          <t>SuperGrok (indulgentism + eatbook) · hours vary — verify IG</t>
        </is>
      </c>
    </row>
    <row r="49">
      <c r="B49" s="9" t="inlineStr">
        <is>
          <t>🔑  ADDRESS VERIFICATION LEGEND</t>
        </is>
      </c>
      <c r="C49" s="10" t="n"/>
      <c r="D49" s="10" t="n"/>
      <c r="E49" s="10" t="n"/>
      <c r="F49" s="10" t="n"/>
      <c r="G49" s="10" t="n"/>
      <c r="H49" s="10" t="n"/>
      <c r="I49" s="10" t="n"/>
      <c r="J49" s="10" t="n"/>
      <c r="K49" s="10" t="n"/>
    </row>
    <row r="51">
      <c r="B51" s="32" t="inlineStr">
        <is>
          <t>✅ HIGH</t>
        </is>
      </c>
      <c r="C51" s="59" t="inlineStr">
        <is>
          <t>2+ independent sources agree (SuperGrok + ChatGPT/Gemini/Project KB)</t>
        </is>
      </c>
    </row>
    <row r="52">
      <c r="B52" s="60" t="inlineStr">
        <is>
          <t>✅ LOCK</t>
        </is>
      </c>
      <c r="C52" s="61" t="inlineStr">
        <is>
          <t>Direct confirmation by Hari — overrides all AI sources</t>
        </is>
      </c>
    </row>
    <row r="53">
      <c r="B53" s="62" t="inlineStr">
        <is>
          <t>◐ MEDIUM</t>
        </is>
      </c>
      <c r="C53" s="55" t="inlineStr">
        <is>
          <t>1 source only or area-level verified — archive observation primary</t>
        </is>
      </c>
    </row>
    <row r="54">
      <c r="B54" s="30" t="inlineStr">
        <is>
          <t>⚠️ LOW</t>
        </is>
      </c>
      <c r="C54" s="63" t="inlineStr">
        <is>
          <t>No fixed address found — stand/pop-up or micro-independent</t>
        </is>
      </c>
    </row>
  </sheetData>
  <mergeCells count="1">
    <mergeCell ref="B5:J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
  <sheetViews>
    <sheetView showGridLines="0" workbookViewId="0">
      <selection activeCell="A1" sqref="A1"/>
    </sheetView>
  </sheetViews>
  <sheetFormatPr baseColWidth="8" defaultRowHeight="15"/>
  <cols>
    <col width="2" customWidth="1" min="1" max="1"/>
    <col width="6" customWidth="1" min="2" max="2"/>
    <col width="70" customWidth="1" min="3" max="3"/>
  </cols>
  <sheetData>
    <row r="1">
      <c r="A1" s="6" t="n"/>
      <c r="B1" s="7" t="inlineStr">
        <is>
          <t>📖  LEGEND &amp; MAINTENANCE GUIDE</t>
        </is>
      </c>
      <c r="C1" s="6" t="n"/>
      <c r="D1" s="6" t="n"/>
      <c r="E1" s="6" t="n"/>
      <c r="F1" s="6" t="n"/>
      <c r="G1" s="6" t="n"/>
      <c r="H1" s="6" t="n"/>
      <c r="I1" s="6" t="n"/>
      <c r="J1" s="6" t="n"/>
    </row>
    <row r="2">
      <c r="A2" s="6" t="n"/>
      <c r="B2" s="8" t="inlineStr">
        <is>
          <t>How to read — and how to grow — this archive</t>
        </is>
      </c>
      <c r="C2" s="6" t="n"/>
      <c r="D2" s="6" t="n"/>
      <c r="E2" s="6" t="n"/>
      <c r="F2" s="6" t="n"/>
      <c r="G2" s="6" t="n"/>
      <c r="H2" s="6" t="n"/>
      <c r="I2" s="6" t="n"/>
      <c r="J2" s="6" t="n"/>
    </row>
    <row r="4">
      <c r="B4" s="9" t="inlineStr">
        <is>
          <t>🎨  COLOUR LEGEND — Coffee Audit sheet</t>
        </is>
      </c>
      <c r="C4" s="10" t="n"/>
      <c r="D4" s="10" t="n"/>
      <c r="E4" s="10" t="n"/>
      <c r="F4" s="10" t="n"/>
      <c r="G4" s="10" t="n"/>
      <c r="H4" s="10" t="n"/>
      <c r="I4" s="10" t="n"/>
    </row>
    <row r="5">
      <c r="B5" s="44" t="inlineStr"/>
      <c r="C5" s="45" t="inlineStr">
        <is>
          <t>Even-row banding (auto via conditional formatting)</t>
        </is>
      </c>
    </row>
    <row r="6">
      <c r="B6" s="46" t="inlineStr"/>
      <c r="C6" s="45" t="inlineStr">
        <is>
          <t>Odd-row banding (auto)</t>
        </is>
      </c>
    </row>
    <row r="7">
      <c r="B7" s="47" t="inlineStr"/>
      <c r="C7" s="45" t="inlineStr">
        <is>
          <t>⭐ GESHA row — auto-applied when Varietal contains Gesha/Geisha</t>
        </is>
      </c>
    </row>
    <row r="8">
      <c r="B8" s="48" t="inlineStr"/>
      <c r="C8" s="45" t="inlineStr">
        <is>
          <t>Header — dark espresso with cream text</t>
        </is>
      </c>
    </row>
    <row r="10">
      <c r="B10" s="9" t="inlineStr">
        <is>
          <t>🛠️  HOW TO ADD A NEW ENTRY (keeps everything live)</t>
        </is>
      </c>
      <c r="C10" s="10" t="n"/>
      <c r="D10" s="10" t="n"/>
      <c r="E10" s="10" t="n"/>
      <c r="F10" s="10" t="n"/>
      <c r="G10" s="10" t="n"/>
      <c r="H10" s="10" t="n"/>
      <c r="I10" s="10" t="n"/>
    </row>
    <row r="11">
      <c r="B11" s="34" t="inlineStr">
        <is>
          <t>1. Add the new row directly below the last entry on the Coffee Audit sheet (columns A–V).</t>
        </is>
      </c>
    </row>
    <row r="12">
      <c r="B12" s="34" t="inlineStr">
        <is>
          <t>2. Copy the Gesha_Alert formula (column W) down from the row above — it self-detects Gesha/Geisha.</t>
        </is>
      </c>
    </row>
    <row r="13">
      <c r="B13" s="34" t="inlineStr">
        <is>
          <t>3. Row colours, Dashboard vitals, Directory counts, Timeline, heatmap and price stats all update automatically (formulas scan to row 2000).</t>
        </is>
      </c>
    </row>
    <row r="14">
      <c r="B14" s="34" t="inlineStr">
        <is>
          <t>4. Enter Price/Dose/Yield as numbers where known; text "Unknown" is safely ignored by all statistics.</t>
        </is>
      </c>
    </row>
    <row r="15">
      <c r="B15" s="34" t="inlineStr">
        <is>
          <t>5. New café? Add one row to the Café Directory table (name must match column C exactly) — counts go live instantly.</t>
        </is>
      </c>
    </row>
    <row r="16">
      <c r="B16" s="34" t="inlineStr">
        <is>
          <t>6. New origin or process family? Add a row to the relevant league table on Origin/Palate sheets and copy the COUNTIF pattern.</t>
        </is>
      </c>
    </row>
    <row r="17">
      <c r="B17" s="34" t="inlineStr">
        <is>
          <t>7. Charts read the helper tables — no chart editing needed for routine entries.</t>
        </is>
      </c>
    </row>
    <row r="18">
      <c r="B18" s="34" t="inlineStr">
        <is>
          <t>8. Editorial panels (Thesis, Honours, Chapters, Value Verdicts) are curated by hand — update after milestone visits.</t>
        </is>
      </c>
    </row>
    <row r="20">
      <c r="B20" s="9" t="inlineStr">
        <is>
          <t>📜  ARCHIVE INTEGRITY RULES</t>
        </is>
      </c>
      <c r="C20" s="10" t="n"/>
      <c r="D20" s="10" t="n"/>
      <c r="E20" s="10" t="n"/>
      <c r="F20" s="10" t="n"/>
      <c r="G20" s="10" t="n"/>
      <c r="H20" s="10" t="n"/>
      <c r="I20" s="10" t="n"/>
    </row>
    <row r="21">
      <c r="B21" s="49" t="inlineStr">
        <is>
          <t>Uploaded files are the authoritative baseline — entries are appended, never reconstructed from memory.</t>
        </is>
      </c>
    </row>
    <row r="22">
      <c r="B22" s="49" t="inlineStr">
        <is>
          <t>Entry numbers derive from sequential archive count only.</t>
        </is>
      </c>
    </row>
    <row r="23">
      <c r="B23" s="49" t="inlineStr">
        <is>
          <t>No silent corrections — all discrepancies flagged before changes.</t>
        </is>
      </c>
    </row>
    <row r="24">
      <c r="B24" s="49" t="inlineStr">
        <is>
          <t>Barista confirmation overrides visual inference for hardware.</t>
        </is>
      </c>
    </row>
    <row r="25">
      <c r="B25" s="49" t="inlineStr">
        <is>
          <t>Sources hierarchy: receipts &gt; photos &gt; barista confirmation &gt; café DM &gt; AI reconstruction.</t>
        </is>
      </c>
    </row>
    <row r="26">
      <c r="B26" s="49" t="inlineStr">
        <is>
          <t>Sensory record is primary from Entry #031 onward; parameters logged when offered or observable.</t>
        </is>
      </c>
    </row>
    <row r="27">
      <c r="B27" s="49" t="inlineStr">
        <is>
          <t>The archive records one palate only — external notes are reference, never overwrite.</t>
        </is>
      </c>
    </row>
  </sheetData>
  <mergeCells count="15">
    <mergeCell ref="B12:I12"/>
    <mergeCell ref="B13:I13"/>
    <mergeCell ref="B18:I18"/>
    <mergeCell ref="B21:I21"/>
    <mergeCell ref="B15:I15"/>
    <mergeCell ref="B26:I26"/>
    <mergeCell ref="B11:I11"/>
    <mergeCell ref="B25:I25"/>
    <mergeCell ref="B24:I24"/>
    <mergeCell ref="B16:I16"/>
    <mergeCell ref="B22:I22"/>
    <mergeCell ref="B14:I14"/>
    <mergeCell ref="B23:I23"/>
    <mergeCell ref="B27:I27"/>
    <mergeCell ref="B17:I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6" customWidth="1" min="1" max="1"/>
    <col width="34" customWidth="1" min="2" max="2"/>
  </cols>
  <sheetData>
    <row r="1">
      <c r="A1" s="50" t="inlineStr">
        <is>
          <t>Consolidation Summary</t>
        </is>
      </c>
    </row>
    <row r="2"/>
    <row r="3">
      <c r="A3" s="51" t="inlineStr">
        <is>
          <t>Total unique entries</t>
        </is>
      </c>
      <c r="B3" s="52">
        <f>COUNTA('Coffee Audit'!A2:A2000)</f>
        <v/>
      </c>
    </row>
    <row r="4">
      <c r="A4" s="51" t="inlineStr">
        <is>
          <t>Merged (both sources)</t>
        </is>
      </c>
      <c r="B4" s="52" t="n">
        <v>15</v>
      </c>
    </row>
    <row r="5">
      <c r="A5" s="51" t="inlineStr">
        <is>
          <t>ChatGPT-only (new)</t>
        </is>
      </c>
      <c r="B5" s="52" t="n">
        <v>8</v>
      </c>
    </row>
    <row r="6">
      <c r="A6" s="51" t="inlineStr">
        <is>
          <t>Gemini-only (retained)</t>
        </is>
      </c>
      <c r="B6" s="52" t="n">
        <v>5</v>
      </c>
    </row>
    <row r="7">
      <c r="A7" s="51" t="inlineStr">
        <is>
          <t>Cities covered</t>
        </is>
      </c>
      <c r="B7" s="52">
        <f>SUMPRODUCT(('Coffee Audit'!B2:B2000&lt;&gt;"")/COUNTIF('Coffee Audit'!B2:B2000,'Coffee Audit'!B2:B2000&amp;""))</f>
        <v/>
      </c>
    </row>
    <row r="8">
      <c r="A8" s="51" t="inlineStr">
        <is>
          <t>Unique cafes</t>
        </is>
      </c>
      <c r="B8" s="52">
        <f>SUMPRODUCT(('Coffee Audit'!C2:C2000&lt;&gt;"")/COUNTIF('Coffee Audit'!C2:C2000,'Coffee Audit'!C2:C2000&amp;""))</f>
        <v/>
      </c>
    </row>
    <row r="9">
      <c r="A9" s="51" t="inlineStr">
        <is>
          <t>Date range</t>
        </is>
      </c>
      <c r="B9" s="52">
        <f>TEXT(MIN('Coffee Audit'!A2:A2000),"YYYY-MM-DD")&amp;"  →  "&amp;TEXT(MAX('Coffee Audit'!A2:A2000),"YYYY-MM-DD")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2026-07-10T23:01:02Z</dcterms:created>
  <dcterms:modified xmlns:dcterms="http://purl.org/dc/terms/" xmlns:xsi="http://www.w3.org/2001/XMLSchema-instance" xsi:type="dcterms:W3CDTF">2026-07-10T23:57:34Z</dcterms:modified>
</cp:coreProperties>
</file>