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sheetId="5" state="visible" r:id="rId7"/>
    <sheet name="🏙️ Café Directory" sheetId="6" state="visible" r:id="rId8"/>
    <sheet name="📖 Legend" sheetId="7" state="visible" r:id="rId9"/>
    <sheet name="Stats" sheetId="8" state="visible"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0" authorId="0">
      <text>
        <r>
          <rPr>
            <sz val="10"/>
            <rFont val="Arial"/>
            <family val="2"/>
          </rPr>
          <t xml:space="preserve">Corrected: user confirms only ever visited the OFC outlet. 'Raffles Place' was a mislabel. Now matches row 32/34 (same venue). 11Jul2026 audit.</t>
        </r>
      </text>
    </comment>
    <comment ref="C41" authorId="0">
      <text>
        <r>
          <rPr>
            <sz val="10"/>
            <rFont val="Arial"/>
            <family val="2"/>
          </rPr>
          <t xml:space="preserve">Capitalization standardized to Google's canonical listing. 11Jul2026 audit.</t>
        </r>
      </text>
    </comment>
    <comment ref="C44" authorId="0">
      <text>
        <r>
          <rPr>
            <sz val="10"/>
            <rFont val="Arial"/>
            <family val="2"/>
          </rPr>
          <t xml:space="preserve">Renamed per user instruction to distinguish from Apartment (Selegie Rd). 11Jul2026 audit.</t>
        </r>
      </text>
    </comment>
    <comment ref="C46" authorId="0">
      <text>
        <r>
          <rPr>
            <sz val="10"/>
            <rFont val="Arial"/>
            <family val="2"/>
          </rPr>
          <t xml:space="preserve">Renamed per user instruction to distinguish from Apartment (Selegie Rd). 11Jul2026 audit.</t>
        </r>
      </text>
    </comment>
    <comment ref="C47" authorId="0">
      <text>
        <r>
          <rPr>
            <sz val="10"/>
            <rFont val="Arial"/>
            <family val="2"/>
          </rPr>
          <t xml:space="preserve">Capitalization standardized to Google's canonical listing. 11Jul2026 audit.</t>
        </r>
      </text>
    </comment>
  </commentList>
</comments>
</file>

<file path=xl/sharedStrings.xml><?xml version="1.0" encoding="utf-8"?>
<sst xmlns="http://schemas.openxmlformats.org/spreadsheetml/2006/main" count="2406" uniqueCount="1379">
  <si>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</si>
  <si>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</si>
  <si>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</si>
  <si>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</si>
  <si>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</si>
  <si>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</si>
  <si>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</si>
  <si>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</si>
  <si>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</si>
  <si>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</si>
  <si>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</si>
  <si>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</si>
  <si>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</si>
  <si>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</si>
  <si>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</si>
  <si>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</si>
  <si>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</si>
  <si>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</si>
  <si>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</si>
  <si>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</si>
  <si>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</si>
  <si>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</si>
  <si>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</si>
  <si>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Address</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</si>
  <si>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</si>
  <si>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</si>
  <si>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</si>
  <si>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</si>
  <si>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</si>
  <si>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</si>
  <si>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</si>
  <si>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</si>
  <si>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</si>
  <si>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</si>
  <si>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</si>
  <si>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</si>
  <si>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</si>
  <si>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Jl. Sri Wedari No.5, Ubud, Gianyar, Bali 80571, Indonesia</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</si>
  <si>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</si>
  <si>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</si>
  <si>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</si>
  <si>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</si>
  <si>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</si>
  <si>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</si>
  <si>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</si>
  <si>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</si>
  <si>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</si>
  <si>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</si>
  <si>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</si>
  <si>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</si>
  <si>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</si>
  <si>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</si>
  <si>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</si>
  <si>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</si>
  <si>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</si>
  <si>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</si>
  <si>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</si>
  <si>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</si>
  <si>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</si>
  <si>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</si>
  <si>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1:16</t>
  </si>
  <si>
    <t xml:space="preserve">93</t>
  </si>
  <si>
    <t xml:space="preserve">120mm Hybrid Burr</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</si>
  <si>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</si>
  <si>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</si>
  <si>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</si>
  <si>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</si>
  <si>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</si>
  <si>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121 Bukit Merah Lane 1, #01-06, Singapore 150121</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</si>
  <si>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</si>
  <si>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</si>
  <si>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</si>
  <si>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</si>
  <si>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</si>
  <si>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</si>
  <si>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</si>
  <si>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</si>
  <si>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</si>
  <si>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</si>
  <si>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Mary Lodge, 21A Chapel Rd, Ranwar, Bandra West, Mumbai 400050, India</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</si>
  <si>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</si>
  <si>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</si>
  <si>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</si>
  <si>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</si>
  <si>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</si>
  <si>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</si>
  <si>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</si>
  <si>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Dr Ambedkar Rd, Pali Village, Bandra West, Mumbai 400050, India</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</si>
  <si>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</si>
  <si>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</si>
  <si>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</si>
  <si>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</si>
  <si>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</si>
  <si>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</si>
  <si>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</si>
  <si>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</si>
  <si>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Blk 231 Bain St, #01-05, Singapore 180231</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</si>
  <si>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</si>
  <si>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</si>
  <si>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</si>
  <si>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</si>
  <si>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</si>
  <si>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</si>
  <si>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</si>
  <si>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</si>
  <si>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</si>
  <si>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</si>
  <si>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</si>
  <si>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</si>
  <si>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</si>
  <si>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</si>
  <si>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32 Seah St, Singapore 188388</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</si>
  <si>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</si>
  <si>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</si>
  <si>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</si>
  <si>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</si>
  <si>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</si>
  <si>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</si>
  <si>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</si>
  <si>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</si>
  <si>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</si>
  <si>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</si>
  <si>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</si>
  <si>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</si>
  <si>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</si>
  <si>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139 Selegie Rd, #01-01, Singapore 188309</t>
  </si>
  <si>
    <t xml:space="preserve">Kenya Ndiaini AA</t>
  </si>
  <si>
    <t xml:space="preserve">Kenya</t>
  </si>
  <si>
    <t xml:space="preserve">SL28 / SL34 / Ruiru 11</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</si>
  <si>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</si>
  <si>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</si>
  <si>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</si>
  <si>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</si>
  <si>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</si>
  <si>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</si>
  <si>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</si>
  <si>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</si>
  <si>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</si>
  <si>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</si>
  <si>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</si>
  <si>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</si>
  <si>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31 Club St, #01-02, Singapore 069468</t>
  </si>
  <si>
    <t xml:space="preserve">Ethiopia Yirgacheffe Beloya</t>
  </si>
  <si>
    <t xml:space="preserve">Beloya</t>
  </si>
  <si>
    <t xml:space="preserve">Yirgacheffe, Ethiopia</t>
  </si>
  <si>
    <t xml:space="preserve">Heirloom</t>
  </si>
  <si>
    <t xml:space="preserve">Filter Roast</t>
  </si>
  <si>
    <t xml:space="preserve">V60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</si>
  <si>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</si>
  <si>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</si>
  <si>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</si>
  <si>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</si>
  <si>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</si>
  <si>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Tiong Hoe Specialty Coffee</t>
  </si>
  <si>
    <t xml:space="preserve">Brazil Mogiana</t>
  </si>
  <si>
    <t xml:space="preserve">Mogiana, Brazil</t>
  </si>
  <si>
    <t xml:space="preserve">1:15</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</si>
  <si>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</si>
  <si>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</si>
  <si>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</si>
  <si>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1 Harbourfront Walk, VivoCity Fairprice Xtra, #B2-23, Singapore 098585</t>
  </si>
  <si>
    <t xml:space="preserve">Smoky Quartz Blend</t>
  </si>
  <si>
    <t xml:space="preserve">Brazil + India</t>
  </si>
  <si>
    <t xml:space="preserve">Piccolo Latte</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</si>
  <si>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</si>
  <si>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</si>
  <si>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</si>
  <si>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</si>
  <si>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</si>
  <si>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</si>
  <si>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</si>
  <si>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</si>
  <si>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</si>
  <si>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</si>
  <si>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</si>
  <si>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</si>
  <si>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</si>
  <si>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</si>
  <si>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311 Jln Besar, Singapore 208970</t>
  </si>
  <si>
    <t xml:space="preserve">Maxi Coffee Bar</t>
  </si>
  <si>
    <t xml:space="preserve">La Laja</t>
  </si>
  <si>
    <t xml:space="preserve">James Fernandez</t>
  </si>
  <si>
    <t xml:space="preserve">Cauca, Colombia</t>
  </si>
  <si>
    <t xml:space="preserve">Sudan Rume</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</si>
  <si>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</si>
  <si>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</si>
  <si>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</si>
  <si>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</si>
  <si>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</si>
  <si>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</si>
  <si>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</si>
  <si>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64 Club St, Back Entrance, Singapore 069438</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</si>
  <si>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</si>
  <si>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</si>
  <si>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</si>
  <si>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</si>
  <si>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</si>
  <si>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</si>
  <si>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</si>
  <si>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</si>
  <si>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</si>
  <si>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</si>
  <si>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</si>
  <si>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108 Robinson Rd, #01-01, Singapore 068900</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</si>
  <si>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</si>
  <si>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</si>
  <si>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</si>
  <si>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</si>
  <si>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</si>
  <si>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</si>
  <si>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</si>
  <si>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</si>
  <si>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</si>
  <si>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</si>
  <si>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</si>
  <si>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</si>
  <si>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</si>
  <si>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</si>
  <si>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</si>
  <si>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</si>
  <si>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</si>
  <si>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</si>
  <si>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</si>
  <si>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</si>
  <si>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</si>
  <si>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</si>
  <si>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</si>
  <si>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Johor Bahru</t>
  </si>
  <si>
    <t xml:space="preserve">Clod Coffee Bar &amp; Roasters</t>
  </si>
  <si>
    <t xml:space="preserve">Hacienda La Florida</t>
  </si>
  <si>
    <t xml:space="preserve">Typica Mejorado</t>
  </si>
  <si>
    <t xml:space="preserve">Anaerobic Washed</t>
  </si>
  <si>
    <t xml:space="preserve">Origami (Conical)</t>
  </si>
  <si>
    <t xml:space="preserve">1:15.4</t>
  </si>
  <si>
    <t xml:space="preserve">42g / 30s (1:2.3)</t>
  </si>
  <si>
    <t xml:space="preserve">Mahlkönig EK Omnia</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</si>
  <si>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</si>
  <si>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</si>
  <si>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</si>
  <si>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</si>
  <si>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123 Jalan Beringin, Taman Melodies, 80250 Johor Bahru, Malaysia</t>
  </si>
  <si>
    <t xml:space="preserve">Brazil Santuário Sul</t>
  </si>
  <si>
    <t xml:space="preserve">Carmo de Minas, Brazil</t>
  </si>
  <si>
    <t xml:space="preserve">Natural Fermentation</t>
  </si>
  <si>
    <t xml:space="preserve">Light-Medium</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</si>
  <si>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</si>
  <si>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</si>
  <si>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</si>
  <si>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</si>
  <si>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</si>
  <si>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</si>
  <si>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Nylon Coffee Roasters</t>
  </si>
  <si>
    <t xml:space="preserve">Brazil FAF Organic</t>
  </si>
  <si>
    <t xml:space="preserve">Brazil</t>
  </si>
  <si>
    <t xml:space="preserve">Arara</t>
  </si>
  <si>
    <t xml:space="preserve">xBloom (Flat-Bottom)</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</si>
  <si>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</si>
  <si>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</si>
  <si>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</si>
  <si>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4 Everton Park, #01-40, Singapore 080004</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</si>
  <si>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</si>
  <si>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</si>
  <si>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</si>
  <si>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</si>
  <si>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</si>
  <si>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Ethiopia Banko Gotiti</t>
  </si>
  <si>
    <t xml:space="preserve">Ethiopia</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</si>
  <si>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</si>
  <si>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</si>
  <si>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</si>
  <si>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</si>
  <si>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</si>
  <si>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</si>
  <si>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</si>
  <si>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</si>
  <si>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</si>
  <si>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</si>
  <si>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</si>
  <si>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Alchemist (Ocean Financial Centre)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</si>
  <si>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</si>
  <si>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</si>
  <si>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</si>
  <si>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</si>
  <si>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</si>
  <si>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</si>
  <si>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</si>
  <si>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</si>
  <si>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</si>
  <si>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10 Collyer Quay, #01-K1, Singapore 049315</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</si>
  <si>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</si>
  <si>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</si>
  <si>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</si>
  <si>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</si>
  <si>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</si>
  <si>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</si>
  <si>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</si>
  <si>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</si>
  <si>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</si>
  <si>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</si>
  <si>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</si>
  <si>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</si>
  <si>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261 Waterloo St, #01-24, Singapore 180261</t>
  </si>
  <si>
    <t xml:space="preserve">The Community Coffee (Hamilton)</t>
  </si>
  <si>
    <t xml:space="preserve">Jose Mancia Honduras</t>
  </si>
  <si>
    <t xml:space="preserve">Jose Mancia</t>
  </si>
  <si>
    <t xml:space="preserve">Typica</t>
  </si>
  <si>
    <t xml:space="preserve">Pour-over (Hario Switch — Immersion/Percolation)</t>
  </si>
  <si>
    <t xml:space="preserve">Mahlkönig EK43 (98mm Flat Burr)</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</si>
  <si>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</si>
  <si>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</si>
  <si>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</si>
  <si>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</si>
  <si>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38 Hamilton Rd, Singapore 209208</t>
  </si>
  <si>
    <t xml:space="preserve">Ijen Laurina</t>
  </si>
  <si>
    <t xml:space="preserve">Ijen Plateau</t>
  </si>
  <si>
    <t xml:space="preserve">East Java, Indonesia</t>
  </si>
  <si>
    <t xml:space="preserve">Hybrid Laurina</t>
  </si>
  <si>
    <t xml:space="preserve">90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</si>
  <si>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</si>
  <si>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</si>
  <si>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</si>
  <si>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</si>
  <si>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Fluid Collective</t>
  </si>
  <si>
    <t xml:space="preserve">El Obraje</t>
  </si>
  <si>
    <t xml:space="preserve">Flatbed Dripper (Flat-Bottom)</t>
  </si>
  <si>
    <t xml:space="preserve">92</t>
  </si>
  <si>
    <t xml:space="preserve">Option-O Lagom P64 (64mm Flat Burr)</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</si>
  <si>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</si>
  <si>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</si>
  <si>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</si>
  <si>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</si>
  <si>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24 Opal Cres, Singapore 328418</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</si>
  <si>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</si>
  <si>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</si>
  <si>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</si>
  <si>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</si>
  <si>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</si>
  <si>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</si>
  <si>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</si>
  <si>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</si>
  <si>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</si>
  <si>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</si>
  <si>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</si>
  <si>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30 Stevens Rd, #01-08, Singapore 257840</t>
  </si>
  <si>
    <t xml:space="preserve">20 Grams Coffee Roastery</t>
  </si>
  <si>
    <t xml:space="preserve">Rwanda Nyabihu — Red Bourbon</t>
  </si>
  <si>
    <t xml:space="preserve">Josue Dusengiyumva, Shyira Washing Station</t>
  </si>
  <si>
    <t xml:space="preserve">Nyabihu District, Rwanda</t>
  </si>
  <si>
    <t xml:space="preserve">Red Bourbon</t>
  </si>
  <si>
    <t xml:space="preserve">Light (Nordic Roast)</t>
  </si>
  <si>
    <t xml:space="preserve">Pourover</t>
  </si>
  <si>
    <t xml:space="preserve">Ditting 804 (Flat Burr)</t>
  </si>
  <si>
    <t xml:space="preserve">Hibiscus; Raspberry; Tropical Fruit</t>
  </si>
  <si>
    <t xml:space="preserve">Palate confirmed: peach, stone fruit, malic clarity. "Soft, peach-forward, malic clarity — light and approachable. First Rwanda origin entry. Terroir-pure expression of Nyabihu volcanic terroir." 4/5 stars.</t>
  </si>
  <si>
    <t xml:space="preserve">1:16 lean ratio (vs 1:15 standard) suppresses body/TDS to amplify volatile aromatics — deliberate strategy to showcase Rwandan terroir delicacy. Malic-acid-dominant, smooth rounded onset consistent with washed Red Bourbon genetics.</t>
  </si>
  <si>
    <t xml:space="preserve">Twenty Grams Roastery, MacPherson — first Rwanda origin entry</t>
  </si>
  <si>
    <t xml:space="preserve">Field entry (infographic-derived)</t>
  </si>
  <si>
    <t xml:space="preserve">14 Arumugam Rd, #01-05 LTC Building C, Singapore 409959</t>
  </si>
  <si>
    <t xml:space="preserve">Kenya Nyeri Hill — SL28</t>
  </si>
  <si>
    <t xml:space="preserve">Nyeri Hill Factory</t>
  </si>
  <si>
    <t xml:space="preserve">Kiambu District, Kenya</t>
  </si>
  <si>
    <t xml:space="preserve">SL28</t>
  </si>
  <si>
    <t xml:space="preserve">Cortado (Espresso-based)</t>
  </si>
  <si>
    <t xml:space="preserve">~1:1 (espresso/milk)</t>
  </si>
  <si>
    <t xml:space="preserve">N/A — espresso format</t>
  </si>
  <si>
    <t xml:space="preserve">Ditting Lab Sweet 403</t>
  </si>
  <si>
    <t xml:space="preserve">Apple; Grape; Blackcurrant</t>
  </si>
  <si>
    <t xml:space="preserve">Palate confirmed: clean, nice, excellent lingering finish. "Clean, structured, with an exceptional lingering phosphoric finish — textbook SL28 Kenyan expression perfectly delivered in cortado format." 4/5 stars.</t>
  </si>
  <si>
    <t xml:space="preserve">9-bar extraction emulsifies coffee lipids into the crema matrix; ~1:1 milk ratio softens entry while SL28's signature phosphoric acid structure dominates the finish — classic Kenyan cortado profile.</t>
  </si>
  <si>
    <t xml:space="preserve">Twenty Grams Roastery, MacPherson — same visit as Rwanda pourover</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</si>
  <si>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</si>
  <si>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</si>
  <si>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</si>
  <si>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</si>
  <si>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</si>
  <si>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</si>
  <si>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</si>
  <si>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</si>
  <si>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</si>
  <si>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</si>
  <si>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</si>
  <si>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</si>
  <si>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</si>
  <si>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465 North Bridge Rd, #02-5063, Singapore 188720</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</si>
  <si>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</si>
  <si>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</si>
  <si>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</si>
  <si>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</si>
  <si>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</si>
  <si>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</si>
  <si>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</si>
  <si>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</si>
  <si>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</si>
  <si>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Rwanda Nkara Soil Project Lot 1204</t>
  </si>
  <si>
    <t xml:space="preserve">Nkara Soil Project</t>
  </si>
  <si>
    <t xml:space="preserve">Rwanda</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</si>
  <si>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</si>
  <si>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</si>
  <si>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</si>
  <si>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</si>
  <si>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</si>
  <si>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</si>
  <si>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</si>
  <si>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</si>
  <si>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</si>
  <si>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</si>
  <si>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</si>
  <si>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</si>
  <si>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</si>
  <si>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</si>
  <si>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</si>
  <si>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</si>
  <si>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</si>
  <si>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</si>
  <si>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</si>
  <si>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161 Lavender St, #01-08, Singapore 338750</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</si>
  <si>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</si>
  <si>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</si>
  <si>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</si>
  <si>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</si>
  <si>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</si>
  <si>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</si>
  <si>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</si>
  <si>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</si>
  <si>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</si>
  <si>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</si>
  <si>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</si>
  <si>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</si>
  <si>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</si>
  <si>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</si>
  <si>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16 Duxton Rd, Singapore 089482</t>
  </si>
  <si>
    <t xml:space="preserve">Equate Coffee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</si>
  <si>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</si>
  <si>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</si>
  <si>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</si>
  <si>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</si>
  <si>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</si>
  <si>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</si>
  <si>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</si>
  <si>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</si>
  <si>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</si>
  <si>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</si>
  <si>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1 Tanjong Pagar Plaza, #02-25, Singapore 082001</t>
  </si>
  <si>
    <t xml:space="preserve">Apartment Roastery</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</si>
  <si>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</si>
  <si>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</si>
  <si>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</si>
  <si>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</si>
  <si>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</si>
  <si>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</si>
  <si>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</si>
  <si>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</si>
  <si>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</si>
  <si>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</si>
  <si>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</si>
  <si>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Jln Riang, #15-9, Singapore 358987</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</si>
  <si>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</si>
  <si>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</si>
  <si>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</si>
  <si>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</si>
  <si>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</si>
  <si>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</si>
  <si>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</si>
  <si>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</si>
  <si>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</si>
  <si>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</si>
  <si>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</si>
  <si>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</si>
  <si>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107 N Bridge Rd, #02-19, Singapore 179105</t>
  </si>
  <si>
    <t xml:space="preserve">China Yunnan Meng Hai</t>
  </si>
  <si>
    <t xml:space="preserve">Blang and Dai Family Farms</t>
  </si>
  <si>
    <t xml:space="preserve">Menghai, Xishuangbanna, Yunnan, China</t>
  </si>
  <si>
    <t xml:space="preserve">Purple Leaf Caturra</t>
  </si>
  <si>
    <t xml:space="preserve">Double Washed</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</si>
  <si>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</si>
  <si>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</si>
  <si>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</si>
  <si>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</si>
  <si>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</si>
  <si>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</si>
  <si>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</si>
  <si>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</si>
  <si>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</si>
  <si>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</si>
  <si>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</si>
  <si>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</si>
  <si>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</si>
  <si>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</si>
  <si>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</si>
  <si>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</si>
  <si>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</si>
  <si>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</si>
  <si>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</si>
  <si>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</si>
  <si>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</si>
  <si>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</si>
  <si>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</si>
  <si>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</si>
  <si>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</si>
  <si>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</si>
  <si>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</si>
  <si>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</si>
  <si>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</si>
  <si>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</si>
  <si>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</si>
  <si>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</si>
  <si>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</si>
  <si>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</si>
  <si>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</si>
  <si>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</si>
  <si>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</si>
  <si>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</si>
  <si>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</si>
  <si>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</si>
  <si>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267 Beach Rd, #01-01, Singapore 199545</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</si>
  <si>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</si>
  <si>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</si>
  <si>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</si>
  <si>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</si>
  <si>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</si>
  <si>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</si>
  <si>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</si>
  <si>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</si>
  <si>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</si>
  <si>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</si>
  <si>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</si>
  <si>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</si>
  <si>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</si>
  <si>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</si>
  <si>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</si>
  <si>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</si>
  <si>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</si>
  <si>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</si>
  <si>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</si>
  <si>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</si>
  <si>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</si>
  <si>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</si>
  <si>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</si>
  <si>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</si>
  <si>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</si>
  <si>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Oaks Coffee Co.</t>
  </si>
  <si>
    <t xml:space="preserve">Floripondio 90 Hours</t>
  </si>
  <si>
    <t xml:space="preserve">Los Rodriguez</t>
  </si>
  <si>
    <t xml:space="preserve">Bolivia</t>
  </si>
  <si>
    <t xml:space="preserve">Lactic Honey</t>
  </si>
  <si>
    <t xml:space="preserve">Origami Dripper (Flat-Bottom)</t>
  </si>
  <si>
    <t xml:space="preserve">88 (constant)</t>
  </si>
  <si>
    <t xml:space="preserve">80-90g first pour (3-pour protocol)</t>
  </si>
  <si>
    <t xml:space="preserve">Option-O Lagom P80 (80mm Flat Burr)</t>
  </si>
  <si>
    <t xml:space="preserve">Mango; Passionfruit</t>
  </si>
  <si>
    <t xml:space="preserve">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</si>
  <si>
    <t xml:space="preserve">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</si>
  <si>
    <t xml:space="preserve">Solo visit — Oaks Coffee Co., Bukit Timah Road, 4 Jul 2026, 16:00. Café Day 4 of operations. Milestones: First Bolivia, First Pacamara, First Lactic Honey, First P80 platform. Barista warm and knowledgeable.</t>
  </si>
  <si>
    <t xml:space="preserve">Direct observation + bean card photo + barista confirmation</t>
  </si>
  <si>
    <t xml:space="preserve">223 Upper Thomson Rd, Singapore 574355</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</si>
  <si>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</si>
  <si>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</si>
  <si>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</si>
  <si>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</si>
  <si>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</si>
  <si>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86-90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</si>
  <si>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</si>
  <si>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</si>
  <si>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</si>
  <si>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</si>
  <si>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</si>
  <si>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911 Bukit Timah Rd, Singapore 589622</t>
  </si>
  <si>
    <t xml:space="preserve">Bolivia Los Rodriguez Caturra Washed</t>
  </si>
  <si>
    <t xml:space="preserve">Samaipata, Bolivia</t>
  </si>
  <si>
    <t xml:space="preserve">Caturra</t>
  </si>
  <si>
    <t xml:space="preserve">1:16.2</t>
  </si>
  <si>
    <t xml:space="preserve">90-93</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</si>
  <si>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</si>
  <si>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</si>
  <si>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</si>
  <si>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</si>
  <si>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</si>
  <si>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</si>
  <si>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</si>
  <si>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</si>
  <si>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</si>
  <si>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</si>
  <si>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</si>
  <si>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</si>
  <si>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</si>
  <si>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</si>
  <si>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</si>
  <si>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21 Lor Kilat, #01-07, Singapore 598123</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</si>
  <si>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</si>
  <si>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</si>
  <si>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</si>
  <si>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</si>
  <si>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</si>
  <si>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</si>
  <si>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</si>
  <si>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</si>
  <si>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</si>
  <si>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</si>
  <si>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</si>
  <si>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</si>
  <si>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</si>
  <si>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</si>
  <si>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</si>
  <si>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</si>
  <si>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</si>
  <si>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</si>
  <si>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</si>
  <si>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</si>
  <si>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</si>
  <si>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</si>
  <si>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</si>
  <si>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</si>
  <si>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1:14.8</t>
  </si>
  <si>
    <t xml:space="preserve">92°C (Constant)</t>
  </si>
  <si>
    <t xml:space="preserve">52g (3.85× dose)</t>
  </si>
  <si>
    <t xml:space="preserve">Mahlkönig EK43 Mini (64mm Flat Burr)</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</si>
  <si>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</si>
  <si>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</si>
  <si>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</si>
  <si>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</si>
  <si>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</si>
  <si>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27 Purvis St, #01-02, Singapore 188604</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</si>
  <si>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</si>
  <si>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</si>
  <si>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</si>
  <si>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</si>
  <si>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</si>
  <si>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</si>
  <si>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</si>
  <si>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</si>
  <si>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</si>
  <si>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</si>
  <si>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</si>
  <si>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</si>
  <si>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</si>
  <si>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</si>
  <si>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19 Kampong Bahru Rd, L1, Singapore 169348</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</si>
  <si>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</si>
  <si>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</si>
  <si>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</si>
  <si>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</si>
  <si>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</si>
  <si>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</si>
  <si>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</si>
  <si>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</si>
  <si>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</si>
  <si>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</si>
  <si>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</si>
  <si>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</si>
  <si>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</si>
  <si>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1:15.5</t>
  </si>
  <si>
    <t xml:space="preserve">91°C (Constant throughout)</t>
  </si>
  <si>
    <t xml:space="preserve">80g (~5.3× dose) — Aggressive CO₂ purge bloom</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</si>
  <si>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</si>
  <si>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</si>
  <si>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</si>
  <si>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</si>
  <si>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</si>
  <si>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70 Shenton Way, #01-14 Eon Shenton, Singapore 079118</t>
  </si>
  <si>
    <t xml:space="preserve">Finca El Diviso</t>
  </si>
  <si>
    <t xml:space="preserve">Nestor Lasso</t>
  </si>
  <si>
    <t xml:space="preserve">Aji Bourbon</t>
  </si>
  <si>
    <t xml:space="preserve">Thermal Shock Anaerobic Natural</t>
  </si>
  <si>
    <t xml:space="preserve">Option-O Lagom P80 (80mm Flat Burr — assumed)</t>
  </si>
  <si>
    <t xml:space="preserve">Lychee; Blueberry Jam; Cranberry</t>
  </si>
  <si>
    <t xml:space="preserve">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</si>
  <si>
    <t xml:space="preserve">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</si>
  <si>
    <t xml:space="preserve">With friend Alex — Oaks Coffee Co., Bukit Timah Road, 10 Jul 2026, 16:30, before Homeground mock-judge session. Second Oaks visit. Milestones: First Thermal Shock Anaerobic Natural, First Aji Bourbon, First Finca El Diviso (Nestor Lasso).</t>
  </si>
  <si>
    <t xml:space="preserve">Pour.traits Roasters</t>
  </si>
  <si>
    <t xml:space="preserve">Thailand Sirinya Geisha Amarone</t>
  </si>
  <si>
    <t xml:space="preserve">Sirinya Farm</t>
  </si>
  <si>
    <t xml:space="preserve">Chiang Rai, Thailand</t>
  </si>
  <si>
    <t xml:space="preserve">Solo Dripper by Mazelab (Flat-Bottom, 40° angle, Wave 155 filter)</t>
  </si>
  <si>
    <t xml:space="preserve">92→75→92→75°C (alternating 4-pour)</t>
  </si>
  <si>
    <t xml:space="preserve">Rose, Plum, Mandarin Orange, Honey</t>
  </si>
  <si>
    <t xml:space="preserve">HOT: Bright citric front with vivid rose geraniol — aromatic and immediate; rose florals dominant and unmistakable. MID-COOL: Mandarin orange emerges cleanly as citric volatiles dissipate — Harry's signature malic acid marker arriving on schedule. Body noticeably full and structured — medium-strong tea weight, not the light tea elegance of washed Geisha expressions; fuller than any prior washed Geisha entry. COOL: Plum (not peach — darker malic stone fruit consistent with Anaerobic Natural fermentation profile shifting acid toward wine-adjacent fruit rather than bright nectarine); honey-type sweetness rounds the finish — sucrose ester retention from Natural process mucilage rather than fructose-type bright fruit sugar; slight bitterness present at cool phase but fades cleanly — likely residual CGA lactone from Natural process fermentation rather than hardware-derived; clean finish confirms it did not persist. Verdict: Moderately aggressive Geisha — varietal genetics clearly present but Anaerobic Natural process adds lipid body and fermentation weight absent from washed expressions. SGD $10 exceptional value for a Thailand Geisha. Archive firsts: first Thailand origin, first Thailand Geisha, first Nippy Coffee Roaster (Chiang Rai) entry. First Geisha roasted on Stronghold S7X smart electric roaster.</t>
  </si>
  <si>
    <t xml:space="preserve">Nippy Coffee Roaster (Chiang Rai, Thailand) — roasted on Stronghold S7X (electric smart roaster with programmable roast curves — high precision). 4-pour alternating temperature protocol (92→75→92→75°C) is a sophisticated extraction engineering choice: 92°C bloom releases CO₂ and extracts volatile geraniol/rose and linalool Geisha aromatics; 75°C cool pour suppresses CGA acid extraction preventing Anaerobic Natural acetic fermentation load from tipping into sourness; 92°C third pour extracts mid-range sucrose esters — honey and plum sweetness from Natural process mucilage; 75°C final pour completes volume while suppressing late-stage CGA lactone bitterness. Residual cool-phase bitterness (fades) consistent with V60 conical bypass fraction rather than process fault — flat-bottom geometry would likely eliminate entirely. EK43S 98mm flat burrs (S-variant: smaller footprint, same burr geometry as EK43) delivered clean floral terpene separation. 1:15 ratio at 15g/225g preserved full lipid body mass — correct choice for Anaerobic Natural's elevated polysaccharide and lipid content. Anaerobic Natural fermentation at Chiang Rai specifically produces elevated geraniol (rose), plum malic esters, and honey sucrose retention vs washed process which strips mucilage entirely.</t>
  </si>
  <si>
    <t xml:space="preserve">Solo post-gym visit — Pour.traits Roasters, Outram Park, Singapore. Saturday 11 July 2026, 13:30 SGT. Café relaxed and quiet at this hour — comfortable extended sit. Barista Elaine: exceptional engagement, warm, knowledgeable, and friendly. 2022 barista competition winner — now focused on training other baristas and travelling. Pre-session menu analysis conducted live with Claude (pre-gym morning). Guest bean board featured 20+ offerings from international roasters including Livid Coffee Roasters, flowerchild coffee, nippy coffee roaster, Shake Coffee, Glyph Supply Co and others — extremely rich rotating guest bean program. TUESDAY INTEL: Guest barista from Thailand visiting Pour.traits next Tuesday 15 July 2026, 10AM–2PM — bringing special Thai coffee lot, limited quantity with high sell-out risk. Arrive at 10AM to secure a cup. Serving vessel: bulbous pink ceramic cup (no handle) — concentrates aromatics. First café visit to Pour.traits Roasters.</t>
  </si>
  <si>
    <t xml:space="preserve">Live Field Audit — menu photos + bean card photo (Nippy Coffee Roaster bag) + barista confirmation (Elaine) + hardware observation</t>
  </si>
  <si>
    <t xml:space="preserve">2 Havelock Rd, #01-14, Singapore 059763</t>
  </si>
  <si>
    <t xml:space="preserve">Alo Peaberry — Washed Ethiopia</t>
  </si>
  <si>
    <t xml:space="preserve">74158 (Peaberry)</t>
  </si>
  <si>
    <t xml:space="preserve">15</t>
  </si>
  <si>
    <t xml:space="preserve">225</t>
  </si>
  <si>
    <t xml:space="preserve">70 → 90 → 70°C (Thermal Oscillation Protocol — Fluid Standard)</t>
  </si>
  <si>
    <t xml:space="preserve">Option-O Lagom P64 (64mm Flat Steel Burrs)</t>
  </si>
  <si>
    <t xml:space="preserve">10</t>
  </si>
  <si>
    <t xml:space="preserve">Bergamot | Honeysuckle | Mandarin Orange | White Peach</t>
  </si>
  <si>
    <t xml:space="preserve">HOT: Excellent clarity and brightness from the very first sip. Bergamot and honeysuckle arrive clean and immediate — floral, refined, quiet. Smooth washed character from the start; zero fermentation noise. Mandarin orange not yet present — patience required. WARM: "Goddamn mandarin orange clearly coming on mid phase." Heavier citrus compounds unlock as the volatile florals recede — a delayed reveal, not an absence. COOL: Honeysuckle, white peach and mandarin orange pop together in balance. The full flavour picture assembles at cool temperature simultaneously. Very nice to drink at this stage. Verdict: Clear, clean and elegant coffee — in simple words.</t>
  </si>
  <si>
    <t xml:space="preserve">CONTROLLED 74158 EXPERIMENT — NOW COMPLETE. Same producer (Tamiru Tadesse), same varietal (74158), compared against Entry #056 (Alo Natural Anaerobic, 6 Jul 2026): Washed process strips all fermentation character entirely — no lychee, no winey grape, no tropical ferment signature. Instead: pure floral-citrus varietal expression via bergamot (linalyl acetate, C₁₂H₂₀O₂) and honeysuckle (geraniol, C₁₀H₁₈O). Mandarin orange delayed expression = limonene/hesperidin unlocking as volatile florals recede in the warm phase — masked at high temperature, not absent. WHITE PEACH CONFIRMED IN BOTH 74158 CUPS: appeared in Natural Anaerobic and confirmed again today in Washed Peaberry — this is 74158's intrinsic genetic fingerprint, process-independent. Peaberry format: single round bean (vs standard two flat halves), higher nutrient concentration per cherry → elevated floral intensity. Fluid's 70→90→70°C thermal oscillation protocol confirmed consistent across all four visits — Ong Shen Choy present on bar.</t>
  </si>
  <si>
    <t xml:space="preserve">Fourth visit to Fluid Collective, Saturday 12 July 2026, lunch. Ong Shen Choy — 2025 Singapore National Brewers Cup Champion — confirmed on bar. His presence is a consistent highlight across all Fluid visits. Menu: Kainamui PB Washed Kenya (SGD 9), Alo Peaberry Washed Ethiopia 74158 (SGD 10), Alo Anaerobic Natural Ethiopia 74158 (SGD 11). Notably: two versions of the same 74158 varietal on the menu simultaneously — washed and anaerobic natural. Fluid Collective benchmark status confirmed across four consecutive visits.</t>
  </si>
  <si>
    <t xml:space="preserve">Live Field Audit — Fourth Visit | Bean card + menu photo</t>
  </si>
  <si>
    <t xml:space="preserve">Finca Sophia Torcaza Grand Reserve Washed Geisha</t>
  </si>
  <si>
    <t xml:space="preserve">Finca Sophia, Torcaza</t>
  </si>
  <si>
    <t xml:space="preserve">Panama</t>
  </si>
  <si>
    <t xml:space="preserve">Hario x Tri-Up FLOW Dripper by Erik Liao (Flat-Bottom, Ceramic, Taiwan)</t>
  </si>
  <si>
    <t xml:space="preserve">1:15.2</t>
  </si>
  <si>
    <t xml:space="preserve">91→91→82°C (3-pour descending — WBRC competition protocol)</t>
  </si>
  <si>
    <t xml:space="preserve">Lemon Honey, Bergamot, Orange</t>
  </si>
  <si>
    <t xml:space="preserve">HOT: Bright orange and lemon arriving simultaneously in perfect co-expression — citric and malic acid neither dominating the other. Honey present in background as sweetness foundation, not feature. Supreme clarity — all flavours hitting at once; every volatile aromatic compound in simultaneous perfect expression without any single note overwhelming. MID-COOL: Clarity builds rather than fades — lemon becomes more visible as citric top notes thermally stabilise; malic acid backbone structured and persistent. COOL: Orange and bergamot settle as lime tinge emerges — tartaric acid expressing as clean lime whisper once volatile citric and malic compounds dissipate. Slight lime aftertaste lingers on tongue — fine, sophisticated, pure. No bitterness, no CGA lactone, no fermentation noise. Verdict: THE finest cup in the archive. New #1 — displaces El Obraje Washed Colombia Gesha (Fluid Collective, Entry #016, 6-month champion). 'Fine and sophisticated — not because of the $60, because of what was in the cup.' SGD $60 most expensive cup in archive history (previous record SGD $18). Worth every cent without qualification. Archive firsts: First Panama Washed Geisha from Finca Sophia/Torcaza, first Hario x Tri-Up FLOW Dripper entry, first WBRC competitor guest brew, first Livid Coffee Roasters entry.</t>
  </si>
  <si>
    <t xml:space="preserve">Hario x Tri-Up FLOW Dripper designed by Erik Liao (2023 Taiwan Brewers Cup Champion, founder Tri-Up Coffee) — ceramic flat-bottom with thinner bed depth; single central column with embedded magnets serves three functions: (1) secures filter paper in place without adhesive, (2) prevents fine coffee grounds from compacting and settling at the base which would clog and stall flow, (3) encourages water to saturate the coffee bed evenly rather than channelling down the sides — ensuring a constant vertical flow path throughout the entire brew. Body ribbed design reduces bypass water; base rib design stabilises overall flow rate. Developed over 4 years in partnership with Hario — the FLOW name reflects the design goal: steady, unobstructed, limitation-free flow at any grind size. TaoTao (Inthat Ueasakaree) chose this dripper for his WBRC Brussels 2026 competition routine — the central column's even saturation guarantee is precisely why the cup expressed every flavour simultaneously with supreme clarity and zero channelling noise. 3-pour descending temperature protocol (91→91→82°C): dual 91°C pours extract full volatile aromatic spectrum — linalool florals, citric/malic acid esters, sucrose foundations; 82°C final pour suppresses CGA lactone bitterness completely, preserving clean tartaric acid lime finish. 12.5g/190g at 1:15.2 — within Harry's preferred 1:15–1:17 band. EK43 98mm flat burrs delivered competition-level particle uniformity.</t>
  </si>
  <si>
    <t xml:space="preserve">Livid Coffee Roasters x Pour.traits Guest Pop-Up — Tuesday 14 July 2026, 10:00–14:00 SGT. Guest brewer: Inthat Ueasakaree (TaoTao) — Thailand Brewers Cup Champion, WBRC 7th Place Brussels 2026, architectural designer by trade (credits structural precision thinking to brewing approach). Pop-up announced via @grindandshinepodcast Monthly Singapore Coffee Agenda. TaoTao brewing his actual WBRC Brussels 2026 competition coffee and routine concept — beans and recipe fresh off the world stage, days after Brussels. Four competition coffees offered: (1) Mt. Totumas Dela Rosa Natural Geisha — Red Berries, Floral, Stone Fruits; (2) Finca Sophia Torcaza Grand Reserve Washed Geisha — Lemon Honey, Bergamot, Orange [ORDERED]; (3) Los Lajones 8B Geisha Natural — Red Berries, Tropical Fruits, Floral; (4) Los Cenizos Geisha Lot 172 Natural — Red Grape, Black Currant, Floral. SGD $60 — archive price record (previous ceiling SGD $18). Second Pour.traits visit (first: 11 July 2026, Entry #063). Return driven by Elaine's Tuesday intel from first visit — intel confirmed and far exceeded all expectations.</t>
  </si>
  <si>
    <t xml:space="preserve">Live Field Audit — competition menu photo + direct competitor confirmation (Inthat Ueasakaree / TaoTao) + WBRC Brussels 2026 official graphic confirmation</t>
  </si>
  <si>
    <t xml:space="preserve">Peru Cajamarca Lorenzo Arbildo — Washed Gesha</t>
  </si>
  <si>
    <t xml:space="preserve">Lorenzo Arbildo</t>
  </si>
  <si>
    <t xml:space="preserve">OREA V4 — OPEN Bottom (Flat-Bottom)</t>
  </si>
  <si>
    <t xml:space="preserve">92°C → 65°C (descending — pours 1–3 at 92°C, pour 4 at 65°C)</t>
  </si>
  <si>
    <t xml:space="preserve">60g bloom (4-pour: 60g / 120g / 170g / 210g — 0:30 / 0:55 / 1:20 / 2:00)</t>
  </si>
  <si>
    <t xml:space="preserve">Raspberry; Peach; Floral</t>
  </si>
  <si>
    <t xml:space="preserve">HOT: Bright immediate malic brightness — simultaneous raspberry ester + peach lactone hit; both official notes tracking accurately from first sip. High-energy, clean opening. MID-COOL: Flavours mellowed; linalool florals emerging as ester volatiles dissipate — textbook Gesha terpene thermal behaviour. Cajamarca citric tinge appearing as a background dimension (terroir marker, not recipe flaw). Excellent clarity, nothing coating the tongue. Peach and berry settling to background with good separation. COOL (Best Phase): Clean short berry aftertaste persisting post-ester dissipation; sucrose-ester tail lingering cleanly. Nice body for washed process. No bitter phenolics — 65°C final pour executed correctly. Overall: First Peru Gesha in archive. Significant upgrade on Entry #040 (Colombia Huila La Pradera, Equate, same ratio 1:14, 19 Jun 2026) — Peru Arbildo lot intrinsically more expressive at this concentration. Washed Peru × Gesha axis confirmed as archive-calibre. Second Equate visit redeems the café Gesha record.</t>
  </si>
  <si>
    <t xml:space="preserve">EK43 98mm flat burr delivered uniform PSD with zero fines migration — protected malic acid ester clarity (raspberry, peach) and linalool terpene architecture (floral) across all three thermal phases. OREA V4 OPEN Bottom flat geometry: single central drainage hole ensures full bed saturation and even dwell time; zero bypass; uniform extraction front across flat coffee bed. Aggressive 92°C → 65°C descending temperature protocol: first three pours at 92°C front-loaded volatile ester and sugar extraction from Gesha lipid and sucrose fraction; 65°C final pour (pour 4) suppressed chlorogenic acid lactone extraction in back half, preventing bitter finish at cool phase — explaining clean aftertaste. TROGAMID brewer construction insulates heat in coffee bed during low-temp final pour, maintaining extraction efficiency despite cool input. Ratio 1:14 below Palate DNA band (1:15–1:17) but Peru Arbildo Cajamarca terroir has sufficient malic acid density to express clearly at this concentration — explains upgrade over prior 1:14 Colombia Gesha entry at same café.</t>
  </si>
  <si>
    <t xml:space="preserve">Solo visit — Equate Coffee, Tanjong Pagar (1 Tanjong Pagar Plaza, #02-25, Singapore 082001). Wednesday 15 July 2026. Second Equate visit (Entry #040 ref: Colombia Huila La Pradera Gesha Washed, 19 Jun 2026). Barista: new joiner, few days on the job — following written recipe card (photographed). Recipe card confirmed: LORENZO / (FAST)(SLOW) designations; GS:15g / T:92°&amp;65°C / W:210g; pour structure 60-120-170-210g; timings 0:30/0:55/1:20/2:00; OPEN DAMPER noted. First Peru × Washed × Gesha axis in archive. Archive entry #065.</t>
  </si>
  <si>
    <t xml:space="preserve">Live Field Audit — barista recipe card photo (authoritative) + bean card photo + direct barista confirmation</t>
  </si>
  <si>
    <t xml:space="preserve">Mame (SIGEP Asia booth)</t>
  </si>
  <si>
    <t xml:space="preserve">Bambito Estate</t>
  </si>
  <si>
    <t xml:space="preserve">Bambito Estate — Priscilla Amar Sitton</t>
  </si>
  <si>
    <t xml:space="preserve">Panama (1660–1800 m.a.s.l., per bean card)</t>
  </si>
  <si>
    <t xml:space="preserve">Pour-over — 2 pours only (7g microdose festival format; brewer not stated → Unknown)</t>
  </si>
  <si>
    <t xml:space="preserve">93°C (barista-confirmed)</t>
  </si>
  <si>
    <t xml:space="preserve">Timemore (model unstated — official SIGEP Asia / SNCC 2026 event grinder)</t>
  </si>
  <si>
    <t xml:space="preserve">Jasmine · Orange Blossom · Yellow Peach</t>
  </si>
  <si>
    <t xml:space="preserve">HOT: orange blossom dominant with a distinct "orange hit" — intensely floral, pronounced tea-like structure. MID-COOL→COOL: drinks beautifully cool; orange blossom sweetens and steps forward; clean citric-orange tinge lands on the aftertaste. Verdict: "a fine Geisha." Tea-like character persistent across all phases. S$16 (¥1,990) for a 7g microdose pour ≈ S$34 full-cup equivalent — second most expensive in the portfolio on a full-cup-equivalent basis, behind Finca Sophia Torcaza (S$60, Pour.traits). Menu correction logged: S$25 = 20g beans price; S$16 = per-cup price.</t>
  </si>
  <si>
    <t xml:space="preserve">7g microdose at 1:15 (105g yield) with only 2 pours at 93°C compressed the extraction into a short, high-clarity window — fewer pour cycles limited agitation and fines migration, favouring volatile linalool/geraniol aromatics (jasmine, orange blossom) over body and sugar-browning depth. Timemore burrs (SIGEP official event grinder) held washed-process clarity; tea-like tactile profile consistent with lean microdose format rather than under-extraction.</t>
  </si>
  <si>
    <t xml:space="preserve">SIGEP Asia 2026, Day 2 (16 Jul), Roaster Village — Harry's first-ever coffee festival. MAME booth: Zurich roastery founded 2016 by Emi Fukahori (2018 World Brewers Cup Champion) &amp; Mathieu Theis; "Mame" = "beans" in Japanese. Cup served with personalised bean card ("HARISH"). Same visit: watched Singapore National Brewers Cup live (Timemore official sponsor), SCA/BETTR education, Hario booth tasters, Timemore hardware browsing (purchase deferred), Dutch Colony oat piccolo (excluded — milk drink).</t>
  </si>
  <si>
    <t xml:space="preserve">Live Field Audit — Mame menu board photo + bean card photo (authoritative: Geisha spelling, Panama 1660–1800 masl, Washed) + barista-confirmed parameters (7g/105g, 1:15, 93°C, 2 pours, Timemore) + price corrected by Harry (¥1,990 / S$16 per cup; S$25 = 20g beans)</t>
  </si>
  <si>
    <t xml:space="preserve">Sands Expo &amp; Convention Centre, 10 Bayfront Ave, Singapore 018956 (SIGEP Asia 2026, Roaster Village)</t>
  </si>
  <si>
    <t xml:space="preserve">Toki</t>
  </si>
  <si>
    <t xml:space="preserve">Galyani Vadhana, Chiang Mai, Thailand · 1500 masl</t>
  </si>
  <si>
    <t xml:space="preserve">Mixed Local</t>
  </si>
  <si>
    <t xml:space="preserve">Solo Dripper by Mazelab (Flat-Bottom, 40° angle, Wave 155 filter) — consistent with 11 Jul visit house setup, not barista-reconfirmed this visit</t>
  </si>
  <si>
    <t xml:space="preserve">~1:15 (taste-inferred by Harry, not barista-confirmed)</t>
  </si>
  <si>
    <t xml:space="preserve">Mahlkönig EK43S (98mm Flat Burr) — consistent with 11 Jul visit house setup, not barista-reconfirmed this visit</t>
  </si>
  <si>
    <t xml:space="preserve">Pear, Apple, Orange</t>
  </si>
  <si>
    <t xml:space="preserve">HOT: Very bright and acidic — vivid, high-toned opening. Apple notes present from hot through mid-phase, consistent with the official card. MID: Apple continuing to carry the cup. COOL: Orange blossom and apple emerge together, with a clean citric acid lift; texture very smooth throughout. Verdict: exceptionally high clarity for a Natural process coffee — Harry noted the cup did not carry the fermentation weight typically expected from Natural processing; drinks more like a clean washed cup despite the process tag. Strong value: SGD $10 for a Chiang Mai Thailand origin, second Thailand-origin entry in the archive after the Sirinya Amarone (Entry #063). Archive first: first Toki (roaster) entry, first Galyani Vadhana Chiang Mai origin, first 'Mixed Local' varietal entry.</t>
  </si>
  <si>
    <t xml:space="preserve">Roaster: Toki (Thailand) — bean card confirms Galyani Vadhana, Chiang Mai, 1500 masl, Mixed Local varietal, Natural process. High elevation (1500 masl) for a Thai origin likely supports the acid clarity Harry noted despite Natural processing — higher-altitude Naturals typically retain brighter, cleaner acidity versus lowland Naturals which trend toward heavier fermentation-forward profiles. Brew hardware (Solo Dripper by Mazelab, flat-bottom, EK43S 98mm flat burr) carried over from the 11 Jul visit house setup as a reasonable assumption, NOT independently reconfirmed by barista this visit — dose, yield, precise ratio, and temperature are logged as Unknown accordingly. Harry's taste-inferred ~1:15 ratio is plausible given the flat-bottom brewer's typical operating band but is not archive-verified data.</t>
  </si>
  <si>
    <t xml:space="preserve">Lunchtime solo visit — Pour.traits Roasters, Outram Park, Singapore. Monday 21 July 2026, 13:10 SGT. Third visit to Pour.traits (previous: 11 Jul Entry #063 Thailand Sirinya Geisha Amarone; 14 Jul Entry #065 TaoTao WBRC crown entry). Coffee ordered from Livid Coffee Roasters guest bean rotation. Quick lunchtime session — parameters not confirmed with barista this visit; logged per archive integrity rules as Unknown where unconfirmed rather than assumed.</t>
  </si>
  <si>
    <t xml:space="preserve">Live Field Audit — bean card photo (Toki roaster bag) + Harry's sensory notes; brew hardware carried forward from prior visit as reasonable but unconfirmed assumption</t>
  </si>
  <si>
    <t xml:space="preserve">Alchemist (Khong Guan Building)</t>
  </si>
  <si>
    <t xml:space="preserve">El Frutal</t>
  </si>
  <si>
    <t xml:space="preserve">Efraín Castillo</t>
  </si>
  <si>
    <t xml:space="preserve">Huehuetenango, Guatemala</t>
  </si>
  <si>
    <t xml:space="preserve">V60 Pour-over (Ceramic Conical)</t>
  </si>
  <si>
    <t xml:space="preserve">Orange, Apple, Milk Chocolate</t>
  </si>
  <si>
    <t xml:space="preserve">HOT: bright, acidic apple hit. MID: mild sourness reading as ripe orange, not a flaw. COOL: mellows to a chocolate-adjacent note, distinct from apple/orange. Sequential note release matched official notes across all three thermal phases — good cup, clean process expression.</t>
  </si>
  <si>
    <t xml:space="preserve">EK43S 98mm flat burrs + ceramic V60 conical at 1:15/90°C delivered classic sequential acid handoff: malic apple esters release first (fast, volatile, hot-phase dominant), citric orange notes emerge mid-phase as malic top notes recede, chocolate-adjacent Maillard/sucrose-browning compounds surface last as volatiles dissipate cool. Castillo varietal + 18hr ferment washed process (Efraín Castillo, farm since 2004) preserved structural clarity while allowing the softer sweetness through. First Guatemala + first Castillo varietal + first El Frutal in archive.</t>
  </si>
  <si>
    <t xml:space="preserve">Working from home, new Alchemist branch (Khong Guan Building), Friday 24 Jul 2026, discussion with barista on brew recipe. Coffee selection was barista-recommended — she suggested El Frutal specifically citing the washed process for superior clarity over other options on the menu; recommendation confirmed accurate, cup delivered as promised. Barista friendliness: high — warm, engaged, receptive to questions (name not captured this visit). Café notes: this Khong Guan Building branch differs structurally from the typical small-format, mostly-takeaway Alchemist branches — proper seating available, including bar seating directly facing the brew station allowing direct observation of the barista's process. Housed in a heritage/old building; strong ambiance, felt like a genuine sit-down café experience rather than a grab-and-go counter.</t>
  </si>
  <si>
    <t xml:space="preserve">Live Field Audit — barista confirmation + menu screenshot + direct observation; Varietal/Producer/Roast confirmed via alchemist.global/products/el-frutal</t>
  </si>
  <si>
    <t xml:space="preserve">2 MacTaggart Rd, #01-01 Khong Guan Building, Singapore 368078</t>
  </si>
  <si>
    <t xml:space="preserve">Prodigal Roasters</t>
  </si>
  <si>
    <t xml:space="preserve">Rea</t>
  </si>
  <si>
    <t xml:space="preserve">Finca Los Santos</t>
  </si>
  <si>
    <t xml:space="preserve">Origami V60 (Ribbed, Conical)</t>
  </si>
  <si>
    <t xml:space="preserve">40g / 45 sec (4-pour, center-pour technique)</t>
  </si>
  <si>
    <t xml:space="preserve">Grape jello, orange marmalade, jasmine florals</t>
  </si>
  <si>
    <t xml:space="preserve">HOT: floral, bright, acidic clarity — jasmine and malic brightness leading. MID-COOL: jasmine fades as florals de-gas; grape and orange marmalade sweetness dominates, flavor calms and becomes very fruity. COOL: sweetness rounds out further, favorite phase — aided by the larger 272g yield giving the fermentation-derived sugars room to develop without cloying. Interesting, well-balanced Geisha.</t>
  </si>
  <si>
    <t xml:space="preserve">16g/1:17 lean ratio + EK43 98mm flat burr particle uniformity preserved floral/acid clarity at HOT despite Natural process; as the cup cooled, fermentation-driven sugars (grape, orange marmalade) emerged predictably per Natural-process chemistry, with the larger 272g yield giving those sugars room to round out rather than concentrate into cloying sweetness. Origami ribbed conical geometry with center-pour technique limited channeling despite conical bypass risk.</t>
  </si>
  <si>
    <t xml:space="preserve">Second café of the day, lunchtime, Friday 24 Jul 2026 — visited after Alchemist (Khong Guan Building) same morning, logged in a separate session window. Roastery visit, not a standalone café (Prodigal has no public seating/service yet — serves visitors on-site by arrangement). Spent ~30 minutes in conversation with Jason, who works green beans, roasting, and brewing at Prodigal — self-motivated, passionate, knowledgeable, and generous in sharing information; invited Hari back when in the area. Jason added to Hari's 'great barista/roaster conversations' recognition (alongside Ong Shen Choy, Aqil, Elysia Tan) — separate from the friendliness leaderboard.</t>
  </si>
  <si>
    <t xml:space="preserve">Live Field Audit — barista-confirmed brew parameters (Jason) + direct observation</t>
  </si>
  <si>
    <t xml:space="preserve">1 MacTaggart Rd, #02-02, Singapore 368089</t>
  </si>
  <si>
    <t xml:space="preserve">La Betania</t>
  </si>
  <si>
    <t xml:space="preserve">Tolima, Colombia</t>
  </si>
  <si>
    <t xml:space="preserve">1:16.1</t>
  </si>
  <si>
    <t xml:space="preserve">46g bloom, circular pour to 180-186g, straight center final pour to 242g</t>
  </si>
  <si>
    <t xml:space="preserve">Red Apple, Nectarine, Toffee</t>
  </si>
  <si>
    <t xml:space="preserve">HOT: apple + orange, bright, high clarity. MID-COOL: apple carries, nectarine sweetness emerges. COOL: nectarine + toffee, clarity continues improving (unusual — most entries peak mid-phase), toffee finish with brief milk-like impression that fades quickly and pleasantly. Excellent — layered, bright, clarity throughout. Fully worth $10.5.</t>
  </si>
  <si>
    <t xml:space="preserve">1:16.1 ratio via EK43S 98mm flat burr + ceramic V60 conical, 90°C. Straight center final pour (vs. circular) reduced late-stage turbulence/fines migration, likely driving the atypical cool-phase clarity increase. New Tolima Colombia sub-region for archive; first La Betania entry.</t>
  </si>
  <si>
    <t xml:space="preserve">Second visit to Alchemist (Khong Guan Building) within 24 hours, Saturday 25 Jul 2026, 11:30 AM weekend visit. Same grinder/brewer setup as prior-day visit, barista-confirmed.</t>
  </si>
  <si>
    <t xml:space="preserve">Live Field Audit — direct observation, barista-confirmed brew parameters</t>
  </si>
  <si>
    <t xml:space="preserve">Peru Wilder Garcia</t>
  </si>
  <si>
    <t xml:space="preserve">Jaén, Cajamarca, Peru</t>
  </si>
  <si>
    <t xml:space="preserve">V60 Hand Brew (Conical)</t>
  </si>
  <si>
    <t xml:space="preserve">Nectarine; White Grape; Honeysuckle</t>
  </si>
  <si>
    <t xml:space="preserve">HOT: Quiet clarity; nectarine and white grape on entry — clean malic acid onset, moderate intensity, not pyrazine-bright. MID-COOL: Honey sweetness forward; nectarine clarifying and coming up more clearly. COOL: Honey dominant, stable; zero bitterness throughout. Cleanest cool-phase Wilder Garcia across all archive encounters. Producer longitudinal study entry #4 (prior: Asylum Iced #017, Asylum Hot #021, Equate #065).</t>
  </si>
  <si>
    <t xml:space="preserve">Option-O Lagom P64 64mm flat burrs on V60 conical: narrower particle size distribution than EK43 98mm burrs, minimal fines generation — eliminates standard conical bypass risk. Explains quiet clean HOT phase and zero cool-phase bitterness. Wilder Garcia 1750–1950 masl Cajamarca altitude: slow cell development concentrates malate esters (nectarine) and linalool/geraniol terpenes (honeysuckle). Harvest 2025. Second Apartment Selegie Rd visit (first: Entry #011, 22 Mar 2026). First Selegie Rd entry with barista-confirmed grinder data.</t>
  </si>
  <si>
    <t xml:space="preserve">Solo lunch visit — Apartment Coffee, 139 Selegie Rd, #01-01, Singapore 188309. Tuesday 28 Jul 2026, 12:45 SGT. Second visit to Apartment (Selegie Rd) — first: 22 Mar 2026 Entry #011. Third Apartment brand visit overall. Barista confirmed grinder: Option-O Lagom P64. Brew parameters (dose/yield/temp) not obtained. Fourth Wilder Garcia encounter in archive.</t>
  </si>
  <si>
    <t xml:space="preserve">Live Field Audit — bean card photo (Origin: Jaén, Cajamarca; Variety: Gesha; Altitude: 1750–1950 masl; Processing: Washed; Harvest: 2025) + barista grinder confirmation (Lagom P64) + direct sensory observation</t>
  </si>
  <si>
    <t xml:space="preserve">Kenya Maganjo</t>
  </si>
  <si>
    <t xml:space="preserve">Rumukia FCS (Cooperative)</t>
  </si>
  <si>
    <t xml:space="preserve">Nyeri, Kenya</t>
  </si>
  <si>
    <t xml:space="preserve">Redcurrant; Pomegranate; Rosehip</t>
  </si>
  <si>
    <t xml:space="preserve">HOT: Bright and pinchy phosphoric acid entry; redcurrant and berries hitting immediately — sharper, more aggressive than Wilder Garcia (same session). MID-COOL: Toned down; pomegranate appearing clearly over berry base. COOL: Best phase — berry juice cocktail character; pomegranate and redcurrant together with SL28 sucrose sweetness underneath; rich, hedonistic, fruity. Barista confirmed ratio changes daily — today 13g/215g (1:16.5). First Ruiru 11 varietal entry in archive.</t>
  </si>
  <si>
    <t xml:space="preserve">Rumukia FCS cooperative, Nyeri Kenya — SL28/SL34/Ruiru 11 triple-varietal blend at 1550–2300 masl, Harvest 2026. Lagom P64 at 1:16.5 lean ratio: deliberate recipe for this blend — Ruiru 11 phenolics amplify into harsh bitterness at higher TDS; lean ratio keeps SL28/SL34 phosphoric brightness clean while Ruiru 11 contributes body. Berry juice cocktail cool phase = SL34 anthocyanin-driven redcurrant + SL28 phosphoric pomegranate layering with SL28 sucrose density providing juice body weight. Ruiru 11 (CABI hybrid, Coffee Research Foundation Kenya) contributes distinctive phenolic complexity — first Ruiru 11 in archive. Hardware constant with Entry #072 (same V60 conical + Lagom P64, same session).</t>
  </si>
  <si>
    <t xml:space="preserve">Solo lunch visit — Apartment Coffee, 139 Selegie Rd, #01-01, Singapore 188309. Tuesday 28 Jul 2026, ~13:30 SGT. Second cup of the session after Entry #072 (Peru Wilder Garcia). Barista confirmed today's ratio: 13g/215g (ratio changes daily). First Kenya hand-brew filter entry at any Apartment branch. Back-to-back comparison with Entry #072 — hardware constant, different origin and varietal.</t>
  </si>
  <si>
    <t xml:space="preserve">Live Field Audit — bean card photo (Origin: Nyeri, Kenya; Cooperative: Rumukia FCS; Variety: SL28/SL34/Ruiru 11; Altitude: 1550–2300 masl; Processing: Washed; Harvest: 2026) + barista-confirmed dose/yield 13g/215g + direct sensory observation</t>
  </si>
  <si>
    <t xml:space="preserve">Alchemist (Funan)</t>
  </si>
  <si>
    <t xml:space="preserve">The Journey — Las Margaritas Geisha</t>
  </si>
  <si>
    <t xml:space="preserve">Las Margaritas</t>
  </si>
  <si>
    <t xml:space="preserve">V60 Pour-over (Stainless Steel, Conical)</t>
  </si>
  <si>
    <t xml:space="preserve">50g bloom, 3-pour structure (bloom + 2), pour timings not recalled — barista-confirmed volumes; observed final pour ran to 252g against the 225g target</t>
  </si>
  <si>
    <t xml:space="preserve">Hibiscus, Strawberry, Manuka</t>
  </si>
  <si>
    <t xml:space="preserve">HOT: jasmine floral hit, sweetness already present unusually early. MID-COOL: more grounded and settled, light berry note emerging, honey moving to dominant position. COOL: honey fully takes over — sweet, moreish, thoroughly enjoyed and repeatedly highlighted as the standout character. Strong, well-liked cup; Geisha varietal identity held clearly under the honey layer.</t>
  </si>
  <si>
    <t xml:space="preserve">85°C flat-temperature protocol (no descending pours) paired with a stainless steel V60's higher thermal conductivity and lower thermal mass likely compressed the usual floral-then-sugar sequencing, bringing mucilage sweetness forward into the HOT phase rather than reserving it for COOL. Honey-process sugars asserted progressively and became dominant by the cool phase — clean, well-managed process expression with no fermentation noise. Barista-stated 1:15 / 225g logged as authoritative per archive source hierarchy; observed final pour (252g ≈ 1:16.8) noted as minor on-the-day variance, not used to override. ARCHIVE FIRSTS: first stainless steel V60 (all prior V60 entries ceramic); first Las Margaritas farm; third Alchemist branch logged.</t>
  </si>
  <si>
    <t xml:space="preserve">Lunchtime visit, Wednesday 29 Jul 2026, 12:30 PM — Alchemist (Funan), 107 N Bridge Rd, #01-01, Singapore 179105. Ordered the limited 10th-anniversary Geisha, available one week only. Menu also offered Our Beginning (La Joyeria, Antioquia Washed, S$6.50) and Clarity in The Present (La Papaya Typica Anaerobic 120H, Loja Ecuador, S$8.50). Served in a plastic takeaway cup despite the S$10.50 price point — noted as a presentation gap typical of Alchemist's compact pop-up-format outlets. Second Valle del Cauca farm in archive after Inmaculada Estate (Homeground, 5 Jul) — same region, different farm and process.</t>
  </si>
  <si>
    <t xml:space="preserve">Live Field Audit — barista-confirmed brew parameters + menu screen photo + brewer material confirmed via direct photo</t>
  </si>
  <si>
    <t xml:space="preserve">107 N Bridge Rd, #01-01, Singapore 179105</t>
  </si>
  <si>
    <t xml:space="preserve">El Origen</t>
  </si>
  <si>
    <t xml:space="preserve">Quindío, Colombia</t>
  </si>
  <si>
    <t xml:space="preserve">92 (flat, all pours)</t>
  </si>
  <si>
    <t xml:space="preserve">Yellow Floral; Tangerines; Plum</t>
  </si>
  <si>
    <t xml:space="preserve">HOT: plum forward with light orange and a clear nectarine layer — nectarine not on the roaster card, detected independently. MID-COOL: floral lift present but hedged and uncertain; brightness rising; tangerine emerging distinctly as plum recedes; clarity increasing through the phase. COOL: best phase — orange and tangerine fully dominant, structure completely legible, no bitter tail. Washed transparency explicitly named as the driver of increasing clarity across the arc. Strong palate-DNA alignment on malic nectarine and integrated citric brightness; floral axis under-delivered relative to the roaster card despite a fresh 23-day bean and full-temperature extraction.</t>
  </si>
  <si>
    <t xml:space="preserve">Barista-confirmed protocol: 92°C FLAT across all pours (no descending-temperature stage), 1:15, Mahlkönig EK43. This inverts the extraction model carried over from Entry #019 at the same venue, where a 90°C→70°C descending pour was credited with truncating the late chlorogenic-acid-lactone tail. With no thermal brake in play here, the clean cool phase must be attributed elsewhere: the EK43's unimodal particle distribution limiting fines-driven late extraction, plus low bean density. Quindío Pink Bourbon at 1350 masl is a soft, high-solubility seed with a thin phenolic reserve — it surrenders solubles early and has less bitter material available to over-extract into, so low altitude protected the cup where temperature curve did at Lume in April. Pink Bourbon genotyping places the variety outside the true Bourbon lineage, closer to Ethiopian landrace material, explaining a floral-citric expression rather than Bourbon sugar-brown density. Thermal arc inversion (plum HOT → citrus COOL) is diagnostic washed behaviour: declining sucrose perception combined with rising acid perception unmasks citric acid as the cup drops. Hedged floral note is NOT staling — at 23 days off roast the linalool fraction should be intact. More likely sustained 92°C through full drawdown drove additional dissolved-solids weight that masked delicate monoterpenes retronasally, compounded by a modest intrinsic floral ceiling for Pink Bourbon at this altitude. ARCHIVE VALUE: forms a controlled two-point hardware comparison with Entry #019 — same venue, same grinder, same 1:15 ratio, same conical V60, only the thermal protocol differs (90+70 dual-temp vs 92 flat). First Pink Bourbon varietal in archive; first non-Gesha coffee logged at Lume.</t>
  </si>
  <si>
    <t xml:space="preserve">Solo lunch visit — Lume Café, 108 Robinson Rd, #01-01, Singapore 068900. Friday 31 Jul 2026, 13:30 SGT. First return to Lume since Entry #019 (1 Apr 2026, Corpachi Panama Geisha) — approx. four-month gap. Selected from a four-card board over Brazil Santa Ines Natural and PNG Arufa Natural (both espresso roast) and a Panama lot. ROAST DATE CORRECTION CHAIN: counter bean card read 31/5 (61 days); barista subsequently produced the actual bag in use, roast-stamped 8 Jul 2026 = 23 days off roast, an optimal window. Counter card did not correspond to the bag being brewed. OPEN DISCREPANCY (unresolved): whiteboard card listed Panama Agricola WASHED (blueberry / white tea / plum) while the physical bag on the counter was Panama El Pergamino NATURAL Bourbon, Bambito, producer Yaneth Lucich, 1900 masl, roast-stamped 24 APR 2026 — different farm and different process. Not reconciled; barista confirmation still pending. El Pergamino declined on roast-age grounds (98 days, natural process, elevated lipid oxidation exposure) and profile misalignment. ACTION ITEMS: (1) confirm whether Lume's counter cards are being kept current against hopper contents; (2) confirm Panama lot identity; (3) revisit El Origen to assess full floral ceiling.</t>
  </si>
  <si>
    <t xml:space="preserve">Live Field Audit — BARISTA-CONFIRMED (authoritative): roast date 8 Jul 2026 (bag physically shown), ratio 1:15, water temperature 92°C constant, grinder unchanged from prior visit. Bean card photo (El Origen, Pink Bourbon, Quindío, Washed, 1350 masl, Filter Roast) used for green data only. Direct three-phase sensory observation by Hari. DOSE/YIELD NOT BARISTA-STATED: 15g/225g applied per standing archive convention for a stated 1:15 — flagged as convention, not confirmation. Grinder logged as Mahlkönig EK43 per Entry #019 precedent at this venue; EK43 vs EK43S badge not visually confirmed on the day. Brewer material (ceramic/glass/plastic/steel) not confirmed — logged as conical geometry only. Bloom volume and time not stated.</t>
  </si>
  <si>
    <t xml:space="preserve">Finca Sophia — Natural Panama Geisha</t>
  </si>
  <si>
    <t xml:space="preserve">Willem Boot, Kelly Hartmann &amp; David Pohl</t>
  </si>
  <si>
    <t xml:space="preserve">155 (beverage; 210g water)</t>
  </si>
  <si>
    <t xml:space="preserve">1:14 (water) → 155g beverage</t>
  </si>
  <si>
    <t xml:space="preserve">93°C first 2 pours → 65°C last 2 pours (Split-Temp, barista-confirmed)</t>
  </si>
  <si>
    <t xml:space="preserve">Honeysuckle | Clementine | Nectarine | Apple Candy</t>
  </si>
  <si>
    <t xml:space="preserve">HOT: Bright, floral and fruity with excellent clarity from the first sip. Sweet lingering taste present right from the beginning. Clementine/mandarin hits after the opening. A sudden balanced 'punch' of slight orange-type taste and honeysuckle appears then quickly fades — aromatic notes flash and disappear; lingering finish short while hot. Nothing over-extracted. MID→COOL (best window): Nectarine and apple candy become much more prominent; fruitiness rises clearly; sweetness turns sugary-syrup and lingers longer and more pleasantly. Clarity gets higher as it cools while the fruity signature stays constant — the signature of this cup. The most enjoyable and generous stage; it felt great to drink. VERDICT: JOINT #1 IN ARCHIVE — ties with Finca Sophia Torcaza Grand Reserve Washed (Entry, 14 Jul 2026). If forced to choose one, the Washed edges it — but this Natural is extremely close. Every dollar of the SGD 32 was worth it. A great coffee to start August.</t>
  </si>
  <si>
    <t xml:space="preserve">SPECIAL TEMPERATURE PROTOCOL — barista-confirmed by Ong Shen Choy: first 2 pours at 93°C, last 2 pours at 65°C (4-pour split-temperature architecture). This INVERTS Fluid's standard 70→90→70°C oscillation: hot opening maximises volatile aromatic extraction (honeysuckle/clementine linalool-geraniol stack), dramatically cool 65°C close protects delicate natural-process sugars from phenolic bitterness — explains the clean apple-candy sweetness with zero over-extraction. Recipe: 15g : 210g water → 155g final beverage (~1:14 water ratio). Ong Shen noted this bean is complex to brew and requires real sophistication — the precise, clean result matched. Natural process at 2,000 masl Chiriquí: sugar concentration from whole-cherry drying delivers the apple candy + syrup body in the cool phase while Geisha florals stay clarity-forward. FARM A/B COMPLETE: same farm as archive #1 (Torcaza Grand Reserve Washed, TaoTao, 14 Jul, SGD 60) — process now the isolated variable across the two best cups in the archive. Also completes the Fluid Geisha Process Trilogy: Washed (El Obraje) → Honey (Hiu Los Lajones) → Natural (Finca Sophia). Grinder and filter unchanged from prior Fluid visits (Lagom P64, Hario Switch flat-bottom).</t>
  </si>
  <si>
    <t xml:space="preserve">Fifth visit to Fluid Collective, Saturday 1 August 2026, ~10:20am. Payment SGD 32 via PayNow confirmed. Ong Shen Choy was on his OFF DAY but came in specifically because they were brewing the Panama Geisha — he worked the bar to brew this Limited Release himself. A SGD 32 cup, Finca Sophia, brewed personally by the 2025 Singapore National Brewers Cup Champion on his day off — a special conversation and a special cup. Menu: Alo Peaberry Washed Ethiopia SGD 10 / Magma Natural Panama Pacamara SGD 10 / Finca Sophia Natural Panama Geisha SGD 32 (Limited Release, announced on Instagram the night before). Highest-priced cup at Fluid in archive history; second-highest overall after the SGD 60 Torcaza.</t>
  </si>
  <si>
    <t xml:space="preserve">Live Field Audit — Fifth Visit | Bean card + menu + payment receipt</t>
  </si>
  <si>
    <t xml:space="preserve">El Romerillo</t>
  </si>
  <si>
    <t xml:space="preserve">Luis Abarca</t>
  </si>
  <si>
    <t xml:space="preserve">OREA (Flat-Bottom)</t>
  </si>
  <si>
    <t xml:space="preserve">93°C (Constant — barista-confirmed house standard)</t>
  </si>
  <si>
    <t xml:space="preserve">Blood Orange | Red Plum | Currant | Pomegranate</t>
  </si>
  <si>
    <t xml:space="preserve">HOT: Bright and acidic with medium body and a quickly disappearing aftertaste. Tartaric acid hit identified — read as pomegranate. MID: Plum and orange emerge slowly as the volatile citrics burn off. MID-COOL: Acidity persists, mouth-filling, malic acid dominant, clarity notably improved. COOL: Mellowed further into soft red berries — pomegranate character but lighter, like a diluted pomegranate juice. OVERALL: Quite acidic and bright for a washed coffee. Clean three-phase evolution with zero bitter tail. Strong Palate DNA alignment.</t>
  </si>
  <si>
    <t xml:space="preserve">CONTROLLED PAIR vs the 08 Jul 2026 La Flor de la Palma at the same café: identical grinder (EK Omnia 98mm flat), identical ratio (1:17), identical temperature (93°C), same café, same flat-bottom geometry — opposite outcome. Washed process carries minimal cherry-skin polyphenol load into the brew, so there is little chlorogenic acid lactone in solution for a lean ratio to expose; the July bitterness is therefore attributable to PROCESS, not ratio. This is the empirical confirmation of Extraction Law 3 from the opposite direction. OREA flat-bottom (barista-confirmed and visually verified by Hari) delivers wide, near-unrestricted drainage — fast draw-down, even bed saturation, minimal fines contact time — which accounts for the clarity gain registered at mid-cool. 93°C is well matched to Caturra's lower-density bean (it was conservative on the denser Bourbon in July). Acidity persisting into the cool phase rather than collapsing indicates high organic acid concentration from slow high-altitude maturation.</t>
  </si>
  <si>
    <t xml:space="preserve">Solo visit — 05 Aug 2026, 13:30 SGT. Sixth Nylon audit. Filter menu rotation confirmed: Colombia Juan Martin and Peru La Flor de la Palma both rotated off; current filter line is Colombia El Pinal (Liliana Gembuel Paja, Castillo/Washed, S$7.00) and Peru El Romerillo (S$7.50). Espresso line: Colombia Juan Martin (Red Striped Bourbon/Washed) and Peru Los Cedros (Caturra/Washed). Ordered on Claude's recommendation over El Pinal on Palate DNA grounds (malic/citric acid stack, washed clarity, varietal novelty). First Caturra Washed Peru in the archive; first Luis Abarca lot. Barista confirmed 1:17 and 93°C as house standard, rarely modified. Roast date deliberately NOT logged — retail bag dates disregarded per Hari's instruction as the brewed batch may differ from shelf stock.</t>
  </si>
  <si>
    <t xml:space="preserve">Live Field Audit — Sixth Visit | Barista confirmation (ratio 1:17, temp 93°C, OREA dripper) + Hari direct visual verification of brewer + retail bag photo (name and tasting notes only; roast date excluded per instruction) + menu board photo</t>
  </si>
  <si>
    <t xml:space="preserve">☕   T H E   H A R I   C O F F E E   A R C H I V E   ·   2 0 2 6</t>
  </si>
  <si>
    <t xml:space="preserve">Master Extraction Archivist  ·  Singapore · Bali · Mumbai · Johor Bahru  ·  Clarity over Complexity  ·  three-phase thermal record</t>
  </si>
  <si>
    <t xml:space="preserve">  ▸  ARCHIVE VITALS   —   every figure below is a live formula; add a row and the dashboard moves with it</t>
  </si>
  <si>
    <t xml:space="preserve">TOTAL ENTRIES</t>
  </si>
  <si>
    <t xml:space="preserve">UNIQUE CAFÉS</t>
  </si>
  <si>
    <t xml:space="preserve">CITIES</t>
  </si>
  <si>
    <t xml:space="preserve">⭐ GESHA CUPS</t>
  </si>
  <si>
    <t xml:space="preserve">WASHED SHARE</t>
  </si>
  <si>
    <t xml:space="preserve">ARCHIVE SPEND</t>
  </si>
  <si>
    <t xml:space="preserve">AVG CUP</t>
  </si>
  <si>
    <t xml:space="preserve">AVG GESHA</t>
  </si>
  <si>
    <t xml:space="preserve">PEAK CUP</t>
  </si>
  <si>
    <t xml:space="preserve">ORIGINS</t>
  </si>
  <si>
    <t xml:space="preserve">field-audited cups</t>
  </si>
  <si>
    <t xml:space="preserve">venues audited</t>
  </si>
  <si>
    <t xml:space="preserve">SG · Bali · Mumbai · JB</t>
  </si>
  <si>
    <t xml:space="preserve">process-family share</t>
  </si>
  <si>
    <t xml:space="preserve">total S$ logged</t>
  </si>
  <si>
    <t xml:space="preserve">live</t>
  </si>
  <si>
    <t xml:space="preserve">  ▸  LATEST CUP IN THE ARCHIVE   —   auto-pulls the final row; never needs editing</t>
  </si>
  <si>
    <t xml:space="preserve">DATE</t>
  </si>
  <si>
    <t xml:space="preserve">CAFÉ</t>
  </si>
  <si>
    <t xml:space="preserve">COFFEE</t>
  </si>
  <si>
    <t xml:space="preserve">ORIGIN</t>
  </si>
  <si>
    <t xml:space="preserve">VARIETAL</t>
  </si>
  <si>
    <t xml:space="preserve">PROCESS</t>
  </si>
  <si>
    <t xml:space="preserve">RATIO</t>
  </si>
  <si>
    <t xml:space="preserve">TEMP °C</t>
  </si>
  <si>
    <t xml:space="preserve">PRICE</t>
  </si>
  <si>
    <t xml:space="preserve">#</t>
  </si>
  <si>
    <t xml:space="preserve">Café</t>
  </si>
  <si>
    <t xml:space="preserve">Origin · Farm</t>
  </si>
  <si>
    <t xml:space="preserve">Price</t>
  </si>
  <si>
    <t xml:space="preserve">Archive Flag</t>
  </si>
  <si>
    <t xml:space="preserve">Panama · Finca Sophia Torcaza</t>
  </si>
  <si>
    <t xml:space="preserve">👑 ARCHIVE #1</t>
  </si>
  <si>
    <t xml:space="preserve">Colombia · El Sauce</t>
  </si>
  <si>
    <t xml:space="preserve">Colombia · Valle (Inmaculada)</t>
  </si>
  <si>
    <t xml:space="preserve">Pocket by Flip</t>
  </si>
  <si>
    <t xml:space="preserve">Ecuador · Loja</t>
  </si>
  <si>
    <t xml:space="preserve">Panama · Boquete (Kotowa)</t>
  </si>
  <si>
    <t xml:space="preserve">Panama · Bambito Estate</t>
  </si>
  <si>
    <t xml:space="preserve">Colombia · La Esmaralda</t>
  </si>
  <si>
    <t xml:space="preserve">Colombia · Huila</t>
  </si>
  <si>
    <t xml:space="preserve">Colombia · El Obraje</t>
  </si>
  <si>
    <t xml:space="preserve">★ 6-mo former #1</t>
  </si>
  <si>
    <t xml:space="preserve">Peru · Jaén</t>
  </si>
  <si>
    <t xml:space="preserve">Panama · Boquerón</t>
  </si>
  <si>
    <t xml:space="preserve">Peru · Cajamarca</t>
  </si>
  <si>
    <t xml:space="preserve">Peru · Finca Los Santos</t>
  </si>
  <si>
    <t xml:space="preserve">Colombia · Valle (Las Margaritas)</t>
  </si>
  <si>
    <t xml:space="preserve">🆕 29 JUL 2026</t>
  </si>
  <si>
    <t xml:space="preserve">Thailand · Chiang Rai (Sirinya)</t>
  </si>
  <si>
    <t xml:space="preserve">Anaerobic Nat.</t>
  </si>
  <si>
    <t xml:space="preserve">Colombia · Valle (Las Nubes)</t>
  </si>
  <si>
    <t xml:space="preserve">Peru · Wilder Garcia</t>
  </si>
  <si>
    <t xml:space="preserve">  ▸  PROCESS FINGERPRINT   —   live wildcard families; hybrids intentionally count in both parents</t>
  </si>
  <si>
    <t xml:space="preserve">Process Family</t>
  </si>
  <si>
    <t xml:space="preserve">Cups</t>
  </si>
  <si>
    <t xml:space="preserve">% Archive</t>
  </si>
  <si>
    <t xml:space="preserve">Palate Signal</t>
  </si>
  <si>
    <t xml:space="preserve">Affinity &amp; Archive Note</t>
  </si>
  <si>
    <t xml:space="preserve">Washed (all forms)</t>
  </si>
  <si>
    <t xml:space="preserve">Malic clarity · jasmine lift · clean thermal arcs</t>
  </si>
  <si>
    <t xml:space="preserve">★★★★★  PRIMARY — the palate's home ground</t>
  </si>
  <si>
    <t xml:space="preserve">Natural (all forms)</t>
  </si>
  <si>
    <t xml:space="preserve">Stone fruit · berry depth · terroir expression</t>
  </si>
  <si>
    <t xml:space="preserve">★★★★  SECONDARY — best when altitude keeps it clean</t>
  </si>
  <si>
    <t xml:space="preserve">Honey / Mucilage</t>
  </si>
  <si>
    <t xml:space="preserve">Sucrose bridge · ketone fruit layer · rounded finish</t>
  </si>
  <si>
    <t xml:space="preserve">★★★★  BRIDGE — Las Margaritas (29 Jul) the newest proof</t>
  </si>
  <si>
    <t xml:space="preserve">Anaerobic (all forms)</t>
  </si>
  <si>
    <t xml:space="preserve">Controlled funk · ester density · tropical edge</t>
  </si>
  <si>
    <t xml:space="preserve">★★★  EXPERIMENTAL — ceiling confirmed at Entry #059</t>
  </si>
  <si>
    <t xml:space="preserve">Co-Ferment / Mosto / Yeast</t>
  </si>
  <si>
    <t xml:space="preserve">Frontier zone — yeast, mosto, watermelon co-ferment</t>
  </si>
  <si>
    <t xml:space="preserve">★★  EXPLORATORY — logged as data, rarely reordered</t>
  </si>
  <si>
    <t xml:space="preserve">Wet-Hulled (Giling Basah)</t>
  </si>
  <si>
    <t xml:space="preserve">Earthy · syrupy body · Indonesian terroir marker</t>
  </si>
  <si>
    <t xml:space="preserve">★  REFERENCE — single-entry texture study</t>
  </si>
  <si>
    <t xml:space="preserve">  ▸  ORIGIN LEAGUE   —   live COUNTIF; Colombia's lead is the archive's defining terroir story</t>
  </si>
  <si>
    <t xml:space="preserve">Share</t>
  </si>
  <si>
    <t xml:space="preserve">Bar</t>
  </si>
  <si>
    <t xml:space="preserve">Terroir Signal</t>
  </si>
  <si>
    <t xml:space="preserve">HIGHEST — malic depth + Gesha heartland of the archive</t>
  </si>
  <si>
    <t xml:space="preserve">HIGH — linalool florals · 74158 white-peach fingerprint</t>
  </si>
  <si>
    <t xml:space="preserve">HIGH — Cajamarca washed clarity, repeatedly excellent</t>
  </si>
  <si>
    <t xml:space="preserve">HIGH — phosphoric acid · blackcurrant benchmark</t>
  </si>
  <si>
    <t xml:space="preserve">MED — body and Maillard sweetness baseline</t>
  </si>
  <si>
    <t xml:space="preserve">HIGHEST — Gesha heartland (Sophia · Kotowa · Bambito)</t>
  </si>
  <si>
    <t xml:space="preserve">Indonesia</t>
  </si>
  <si>
    <t xml:space="preserve">MED — wet-hulled texture study · Bali chapter</t>
  </si>
  <si>
    <t xml:space="preserve">HIGH — malic stone fruit · clean finish</t>
  </si>
  <si>
    <t xml:space="preserve">Thailand</t>
  </si>
  <si>
    <t xml:space="preserve">EMERGING — 2026 discovery, high clarity at altitude</t>
  </si>
  <si>
    <t xml:space="preserve">Guatemala</t>
  </si>
  <si>
    <t xml:space="preserve">NEW — Huehuetenango debut 24 Jul (El Frutal, Castillo)</t>
  </si>
  <si>
    <t xml:space="preserve">  ▸  BREW RATIO INTELLIGENCE   —   the 1:15–1:17 Palate DNA band, measured live</t>
  </si>
  <si>
    <t xml:space="preserve">Ratio Band</t>
  </si>
  <si>
    <t xml:space="preserve">Reading</t>
  </si>
  <si>
    <t xml:space="preserve">Extraction Chemistry Note</t>
  </si>
  <si>
    <t xml:space="preserve">1:13 – 1:14  (concentrated)</t>
  </si>
  <si>
    <t xml:space="preserve">⚠️ Below band</t>
  </si>
  <si>
    <t xml:space="preserve">High TDS. Documented CGA-lactone and polyphenolic bitterness at cool phase — Law 2.</t>
  </si>
  <si>
    <t xml:space="preserve">1:15  (archive default)</t>
  </si>
  <si>
    <t xml:space="preserve">✅ In band</t>
  </si>
  <si>
    <t xml:space="preserve">Highest-frequency setting. Balances body against clarity; the archive's reference point.</t>
  </si>
  <si>
    <t xml:space="preserve">1:16  (lean-balanced)</t>
  </si>
  <si>
    <t xml:space="preserve">Sweet spot for honey and washed lots — La Betania 25 Jul at 1:16.1 scored excellent.</t>
  </si>
  <si>
    <t xml:space="preserve">1:17  (lean)</t>
  </si>
  <si>
    <t xml:space="preserve">✅ Band edge</t>
  </si>
  <si>
    <t xml:space="preserve">Protects floral clarity on Naturals but risks thin sucrose mass — Law 3.</t>
  </si>
  <si>
    <t xml:space="preserve">  ▸  HARDWARE SNAPSHOT   —   flat burrs and flat beds keep winning</t>
  </si>
  <si>
    <t xml:space="preserve">Hardware Signal</t>
  </si>
  <si>
    <t xml:space="preserve">Physics Note</t>
  </si>
  <si>
    <t xml:space="preserve">EK43 / EK43S (98mm flat)</t>
  </si>
  <si>
    <t xml:space="preserve">Café workhorse and the archive's most-logged grinder. Competition-grade particle uniformity.</t>
  </si>
  <si>
    <t xml:space="preserve">Option-O Lagom (P64/P80)</t>
  </si>
  <si>
    <t xml:space="preserve">Precision boutique platform — Fluid, Asylum, Abseil, Oaks. Minimal fines migration.</t>
  </si>
  <si>
    <t xml:space="preserve">Flat-bottom brewers</t>
  </si>
  <si>
    <t xml:space="preserve">✅ PRIMARY GEOMETRY — even bed saturation, zero bypass. Delivers the highest-rated cups.</t>
  </si>
  <si>
    <t xml:space="preserve">Conical V60 (all materials)</t>
  </si>
  <si>
    <t xml:space="preserve">⚠️ Standing over-extraction flag (Law 1). Steel V60 debut 29 Jul at Alchemist Funan.</t>
  </si>
  <si>
    <t xml:space="preserve">Immersion hybrids (Switch etc.)</t>
  </si>
  <si>
    <t xml:space="preserve">Full saturation before drawdown — strongest on honey-process lots.</t>
  </si>
  <si>
    <t xml:space="preserve">🧬  PALATE DNA FINGERPRINT</t>
  </si>
  <si>
    <t xml:space="preserve">  📖  THE PALATE THESIS</t>
  </si>
  <si>
    <t xml:space="preserve">  🌡️  TEMPERATURE PROTOCOLS  —  88–93°C sweet spot</t>
  </si>
  <si>
    <t xml:space="preserve">Entries</t>
  </si>
  <si>
    <t xml:space="preserve">%</t>
  </si>
  <si>
    <t xml:space="preserve">Affinity</t>
  </si>
  <si>
    <t xml:space="preserve">Protocol</t>
  </si>
  <si>
    <t xml:space="preserve">Context</t>
  </si>
  <si>
    <t xml:space="preserve">Malic acid clarity · jasmine lift · clean thermal arcs</t>
  </si>
  <si>
    <t xml:space="preserve">★★★★★ Primary</t>
  </si>
  <si>
    <t xml:space="preserve">85–89°C</t>
  </si>
  <si>
    <t xml:space="preserve">1</t>
  </si>
  <si>
    <t xml:space="preserve">Delicate / Nordic style — Abseil 88°C constant for LAB ester preservation</t>
  </si>
  <si>
    <t xml:space="preserve">Stone fruit · berry complexity · terroir depth</t>
  </si>
  <si>
    <t xml:space="preserve">★★★★ Secondary</t>
  </si>
  <si>
    <t xml:space="preserve">90–91°C</t>
  </si>
  <si>
    <t xml:space="preserve">9</t>
  </si>
  <si>
    <t xml:space="preserve">Clean balanced extraction — Keryi descending protocol</t>
  </si>
  <si>
    <t xml:space="preserve">Mucilage sweetness bridge · ketone fruit layer</t>
  </si>
  <si>
    <t xml:space="preserve">★★★★ Bridge</t>
  </si>
  <si>
    <t xml:space="preserve">92–94°C ⭐</t>
  </si>
  <si>
    <t xml:space="preserve">Sweet spot — dominant single-temp protocol in Singapore cafés</t>
  </si>
  <si>
    <t xml:space="preserve">Anaerobic</t>
  </si>
  <si>
    <t xml:space="preserve">Controlled funk · ester complexity · tropical esters</t>
  </si>
  <si>
    <t xml:space="preserve">★★★ Experimental</t>
  </si>
  <si>
    <t xml:space="preserve">95°C</t>
  </si>
  <si>
    <t xml:space="preserve">3</t>
  </si>
  <si>
    <t xml:space="preserve">Full extraction — bold washed profiles · Apartment Jalan Riang</t>
  </si>
  <si>
    <t xml:space="preserve">Co-Ferment / Yeast / Mosto</t>
  </si>
  <si>
    <t xml:space="preserve">Frontier zone — logged as data, rarely reordered</t>
  </si>
  <si>
    <t xml:space="preserve">★★ Exploratory</t>
  </si>
  <si>
    <t xml:space="preserve">70→90→70°C 🏆</t>
  </si>
  <si>
    <t xml:space="preserve">7</t>
  </si>
  <si>
    <t xml:space="preserve">Fluid Collective signature oscillation — highest-rated cups in archive</t>
  </si>
  <si>
    <t xml:space="preserve">Indonesian terroir · syrupy body · reference entry</t>
  </si>
  <si>
    <t xml:space="preserve">★ Reference</t>
  </si>
  <si>
    <t xml:space="preserve">90→70°C (descending)</t>
  </si>
  <si>
    <t xml:space="preserve">4</t>
  </si>
  <si>
    <t xml:space="preserve">Keryi / Pinhole / Double Shot — terpene preservation on honey/gesha</t>
  </si>
  <si>
    <t xml:space="preserve">80→95→80°C</t>
  </si>
  <si>
    <t xml:space="preserve">Kurasu Frinsa — honey process mucilage management</t>
  </si>
  <si>
    <t xml:space="preserve">88°C constant</t>
  </si>
  <si>
    <t xml:space="preserve">Oaks — LAB lactic ester preservation (Bolivia Pacamara)</t>
  </si>
  <si>
    <t xml:space="preserve">  ⭐  COLOMBIA GESHA PROCESS TRILOGY  —  Completed 2026 · Three processes · One verdict</t>
  </si>
  <si>
    <t xml:space="preserve">  ⚖️  RATIO BAND ANALYSIS  —  1:15–1:17 Optimal Window</t>
  </si>
  <si>
    <t xml:space="preserve">Sensory Arc</t>
  </si>
  <si>
    <t xml:space="preserve">Verdict</t>
  </si>
  <si>
    <t xml:space="preserve">Band</t>
  </si>
  <si>
    <t xml:space="preserve">Count</t>
  </si>
  <si>
    <t xml:space="preserve">Status</t>
  </si>
  <si>
    <t xml:space="preserve">Chemistry Note</t>
  </si>
  <si>
    <t xml:space="preserve">Washed ⭐</t>
  </si>
  <si>
    <t xml:space="preserve">Fluid Collective (El Obraje)</t>
  </si>
  <si>
    <t xml:space="preserve">Mango · Orange Blossom · Nectarine · Honey — linalool apex</t>
  </si>
  <si>
    <t xml:space="preserve">CUP OF THE YEAR</t>
  </si>
  <si>
    <t xml:space="preserve">&lt;1:13</t>
  </si>
  <si>
    <t xml:space="preserve">⚠️ Espresso</t>
  </si>
  <si>
    <t xml:space="preserve">Concentration removes filter brewing purpose</t>
  </si>
  <si>
    <t xml:space="preserve">Keryi Coffee (Finca La Esmaralda)</t>
  </si>
  <si>
    <t xml:space="preserve">Jasmine · Caramel · Stone Fruit · Tangerine — smooth arc</t>
  </si>
  <si>
    <t xml:space="preserve">EXCELLENT</t>
  </si>
  <si>
    <t xml:space="preserve">1:13–1:14</t>
  </si>
  <si>
    <t xml:space="preserve">⚠️ Dense</t>
  </si>
  <si>
    <t xml:space="preserve">Polyphenolic bitterness amplified · sucrose suppressed (Entry #055)</t>
  </si>
  <si>
    <t xml:space="preserve">Pinhole Coffee Bar (Santa Barbara #1)</t>
  </si>
  <si>
    <t xml:space="preserve">Bergamot · Lychee · Mandarin · Honey — cold-cup revelation</t>
  </si>
  <si>
    <t xml:space="preserve">VERY GOOD</t>
  </si>
  <si>
    <t xml:space="preserve">1:14–1:15</t>
  </si>
  <si>
    <t xml:space="preserve">⚠️ Edge</t>
  </si>
  <si>
    <t xml:space="preserve">Aromatic headspace compressed vs optimal</t>
  </si>
  <si>
    <t xml:space="preserve">Homeground (Inmaculada Estate)</t>
  </si>
  <si>
    <t xml:space="preserve">Hibiscus · Pomegranate · Darjeeling Tea — relaxing depth</t>
  </si>
  <si>
    <t xml:space="preserve">1:15–1:17 ✅</t>
  </si>
  <si>
    <t xml:space="preserve">34</t>
  </si>
  <si>
    <t xml:space="preserve">✅ OPTIMAL</t>
  </si>
  <si>
    <t xml:space="preserve">Core extraction philosophy — 58% of all logged entries</t>
  </si>
  <si>
    <t xml:space="preserve">Cowpresso (Las Nubes)</t>
  </si>
  <si>
    <t xml:space="preserve">Lychee · Berry · Tropical — aggressive Natural expression</t>
  </si>
  <si>
    <t xml:space="preserve">GOOD</t>
  </si>
  <si>
    <t xml:space="preserve">&gt;1:17</t>
  </si>
  <si>
    <t xml:space="preserve">0</t>
  </si>
  <si>
    <t xml:space="preserve">—</t>
  </si>
  <si>
    <t xml:space="preserve">CGA lactone risk on Naturals — confirmed Entry #056 Nylon</t>
  </si>
  <si>
    <t xml:space="preserve">Archive verdict on the Colombia Gesha Trilogy: Washed = genetic purity (apex). Honey = sweetness amplified. Natural = fermentation over clarity. Washed remains unmatched.</t>
  </si>
  <si>
    <t xml:space="preserve">16</t>
  </si>
  <si>
    <t xml:space="preserve">Early entries pre-hardware protocol · improving each visit</t>
  </si>
  <si>
    <t xml:space="preserve">🌍  ORIGIN &amp; TERROIR ATLAS</t>
  </si>
  <si>
    <t xml:space="preserve">  🗺️  ORIGIN LEAGUE TABLE  —  live formula, auto-updates with new entries</t>
  </si>
  <si>
    <t xml:space="preserve">Gesha?</t>
  </si>
  <si>
    <t xml:space="preserve">Palate DNA Fit</t>
  </si>
  <si>
    <t xml:space="preserve">Metric</t>
  </si>
  <si>
    <t xml:space="preserve">Value</t>
  </si>
  <si>
    <t xml:space="preserve">HIGHEST — malic + Gesha depth</t>
  </si>
  <si>
    <t xml:space="preserve">Total Gesha/Geisha entries</t>
  </si>
  <si>
    <t xml:space="preserve">HIGH — linalool florals · heirloom terroir</t>
  </si>
  <si>
    <t xml:space="preserve">Washed Gesha</t>
  </si>
  <si>
    <t xml:space="preserve">MED — body · Maillard sweetness baseline</t>
  </si>
  <si>
    <t xml:space="preserve">Honey Gesha</t>
  </si>
  <si>
    <t xml:space="preserve">Natural Gesha</t>
  </si>
  <si>
    <t xml:space="preserve">MED — wet-hulled texture study</t>
  </si>
  <si>
    <t xml:space="preserve">Avg Gesha price (SGD)</t>
  </si>
  <si>
    <t xml:space="preserve">HIGH — washed Gesha clarity (Wilder Garcia)</t>
  </si>
  <si>
    <t xml:space="preserve">Avg non-Gesha price (SGD)</t>
  </si>
  <si>
    <t xml:space="preserve">Gesha price premium</t>
  </si>
  <si>
    <t xml:space="preserve">HIGHEST — Gesha heartland (Kotowa · Corpachi)</t>
  </si>
  <si>
    <t xml:space="preserve">Origins with Gesha entry</t>
  </si>
  <si>
    <t xml:space="preserve">Colombia · Peru · Panama · Ecuador · Honduras</t>
  </si>
  <si>
    <t xml:space="preserve">MED — clean washed + anaerobic contrast</t>
  </si>
  <si>
    <t xml:space="preserve">Highest-priced Gesha</t>
  </si>
  <si>
    <t xml:space="preserve">HIGH — Lactic Honey Pacamara · new frontier</t>
  </si>
  <si>
    <t xml:space="preserve">Best-value Gesha</t>
  </si>
  <si>
    <t xml:space="preserve">Ecuador</t>
  </si>
  <si>
    <t xml:space="preserve">HIGHEST — #1 palate fit (Loja Gesha)</t>
  </si>
  <si>
    <t xml:space="preserve">Archive verdict — apex process</t>
  </si>
  <si>
    <t xml:space="preserve">Washed (genetic purity over fermentation)</t>
  </si>
  <si>
    <t xml:space="preserve">MED — anaerobic exploration · Subko/Grey Soul</t>
  </si>
  <si>
    <t xml:space="preserve">Malaysia</t>
  </si>
  <si>
    <t xml:space="preserve">REF — Liberica · archive first non-Arabica</t>
  </si>
  <si>
    <t xml:space="preserve">China</t>
  </si>
  <si>
    <t xml:space="preserve">REF — Yunnan Purple Leaf Caturra · surprise entry</t>
  </si>
  <si>
    <t xml:space="preserve">MED — baked apple · citric-malic duality</t>
  </si>
  <si>
    <t xml:space="preserve">Myanmar</t>
  </si>
  <si>
    <t xml:space="preserve">REF — batch-brew study · Catimor lineage</t>
  </si>
  <si>
    <t xml:space="preserve">MED — Pacamara Natural · Aanya's first filter</t>
  </si>
  <si>
    <t xml:space="preserve">EMERGING — 2026 discovery; high clarity at Chiang Rai / Chiang Mai altitude</t>
  </si>
  <si>
    <t xml:space="preserve">  🎯  VARIETAL TARGET REGISTER  —  what's been captured &amp; what remains</t>
  </si>
  <si>
    <t xml:space="preserve">Archive Entry</t>
  </si>
  <si>
    <t xml:space="preserve">Process Encountered</t>
  </si>
  <si>
    <t xml:space="preserve">Note</t>
  </si>
  <si>
    <t xml:space="preserve">Gesha/Geisha</t>
  </si>
  <si>
    <t xml:space="preserve">✅ CAPTURED</t>
  </si>
  <si>
    <t xml:space="preserve">Multiple — Entry #017 onward</t>
  </si>
  <si>
    <t xml:space="preserve">Washed · Honey · Natural · Anaerobic Washed</t>
  </si>
  <si>
    <t xml:space="preserve">Entry #049 — Oaks Coffee Co.</t>
  </si>
  <si>
    <t xml:space="preserve">Lactic Honey (90hr)</t>
  </si>
  <si>
    <t xml:space="preserve">First Bolivia · first Pacamara</t>
  </si>
  <si>
    <t xml:space="preserve">Entry #059 — Oaks Coffee Co.</t>
  </si>
  <si>
    <t xml:space="preserve">Finca El Diviso · Nestor Lasso</t>
  </si>
  <si>
    <t xml:space="preserve">Entry #018 — Maxi Coffee Bar</t>
  </si>
  <si>
    <t xml:space="preserve">Yellow variant also at Asylum #038</t>
  </si>
  <si>
    <t xml:space="preserve">Entry #048 — Zerah Roasters</t>
  </si>
  <si>
    <t xml:space="preserve">Finca Villarazo · DF83V debut · 2nd capture Entry #075 (El Origen, Quindío — Lume)</t>
  </si>
  <si>
    <t xml:space="preserve">Entry #011 — Apartment Selegie</t>
  </si>
  <si>
    <t xml:space="preserve">Tea-like clarity standout</t>
  </si>
  <si>
    <t xml:space="preserve">Entry #035 — Alchemist OFC</t>
  </si>
  <si>
    <t xml:space="preserve">Low-caffeine mutation</t>
  </si>
  <si>
    <t xml:space="preserve">Entry #025 — Zerah Roasters</t>
  </si>
  <si>
    <t xml:space="preserve">Elongated Gesha-adjacent cell</t>
  </si>
  <si>
    <t xml:space="preserve">Liberica</t>
  </si>
  <si>
    <t xml:space="preserve">Entry #039 — Corner Corner</t>
  </si>
  <si>
    <t xml:space="preserve">JH Natural</t>
  </si>
  <si>
    <t xml:space="preserve">Archive's only non-Arabica</t>
  </si>
  <si>
    <t xml:space="preserve">Entry #036 — Apartment</t>
  </si>
  <si>
    <t xml:space="preserve">China Yunnan · anthocyanin clarity</t>
  </si>
  <si>
    <t xml:space="preserve">Entry #023 — Clod Coffee Bar</t>
  </si>
  <si>
    <t xml:space="preserve">JB cross-border audit</t>
  </si>
  <si>
    <t xml:space="preserve">Maragogipe</t>
  </si>
  <si>
    <t xml:space="preserve">❌ MISSING</t>
  </si>
  <si>
    <t xml:space="preserve">Large-bean ancestor of Pacamara — watchlist</t>
  </si>
  <si>
    <t xml:space="preserve">Eugenioides</t>
  </si>
  <si>
    <t xml:space="preserve">HIGHEST PRIORITY MISSING VARIETAL</t>
  </si>
  <si>
    <t xml:space="preserve">Sidra</t>
  </si>
  <si>
    <t xml:space="preserve">Watchlist — Fahrenheit Coffee target</t>
  </si>
  <si>
    <t xml:space="preserve">⚙️  HARDWARE &amp; EXTRACTION PHYSICS</t>
  </si>
  <si>
    <t xml:space="preserve">  🔩  GRINDER PLATFORM REGISTER  —  flat burr platforms deliver the archive's best cups</t>
  </si>
  <si>
    <t xml:space="preserve">Platform</t>
  </si>
  <si>
    <t xml:space="preserve">Burr Size</t>
  </si>
  <si>
    <t xml:space="preserve">Palate Impact</t>
  </si>
  <si>
    <t xml:space="preserve">Archive Entries</t>
  </si>
  <si>
    <t xml:space="preserve">Option-O Lagom P80</t>
  </si>
  <si>
    <t xml:space="preserve">80mm flat</t>
  </si>
  <si>
    <t xml:space="preserve">First P80 in archive — Entry #049 Oaks. Unimodal PSD on oversized Pacamara beans.</t>
  </si>
  <si>
    <t xml:space="preserve">Oaks Coffee Co. ×2</t>
  </si>
  <si>
    <t xml:space="preserve">64mm flat</t>
  </si>
  <si>
    <t xml:space="preserve">Preferred precision platform — Fluid, Asylum, Abseil. Minimal fines.</t>
  </si>
  <si>
    <t xml:space="preserve">Fluid · Asylum · Zerah · Abseil</t>
  </si>
  <si>
    <t xml:space="preserve">Mahlkönig EK43/EK43S</t>
  </si>
  <si>
    <t xml:space="preserve">98mm flat</t>
  </si>
  <si>
    <t xml:space="preserve">Café workhorse — widest flat burr in archive. High throughput, competition heritage.</t>
  </si>
  <si>
    <t xml:space="preserve">Homeground · Lume · Keryi · Agora</t>
  </si>
  <si>
    <t xml:space="preserve">EK43 successor — Nylon standard grinder across all 6 visits.</t>
  </si>
  <si>
    <t xml:space="preserve">Nylon Coffee Roasters ×4</t>
  </si>
  <si>
    <t xml:space="preserve">Ditting (63.5/98mm)</t>
  </si>
  <si>
    <t xml:space="preserve">63.5–98mm flat</t>
  </si>
  <si>
    <t xml:space="preserve">Lab-grade narrow PSD — Double Shot + Keryi. Licensed aggressive ratios.</t>
  </si>
  <si>
    <t xml:space="preserve">Double Shot · Keryi Coffee</t>
  </si>
  <si>
    <t xml:space="preserve">DF83V (83mm flat)</t>
  </si>
  <si>
    <t xml:space="preserve">83mm flat</t>
  </si>
  <si>
    <t xml:space="preserve">First DF83 in archive — Zerah Pink Bourbon. Zero fines at 83mm.</t>
  </si>
  <si>
    <t xml:space="preserve">78mm flat</t>
  </si>
  <si>
    <t xml:space="preserve">Compact 78mm — Maxi Coffee Bar · mid-range precision tier.</t>
  </si>
  <si>
    <t xml:space="preserve">Maxi Coffee Bar ×2</t>
  </si>
  <si>
    <t xml:space="preserve">FM 120mm Hybrid</t>
  </si>
  <si>
    <t xml:space="preserve">120mm hybrid</t>
  </si>
  <si>
    <t xml:space="preserve">Largest burr in archive — extreme fines reduction for SL28/SL34 Kenya.</t>
  </si>
  <si>
    <t xml:space="preserve">Kyuukei Coffee × 2</t>
  </si>
  <si>
    <t xml:space="preserve">Mazzer MM (83mm)</t>
  </si>
  <si>
    <t xml:space="preserve">PPP Funan — wider fines than 98mm reference. Over-extraction documented.</t>
  </si>
  <si>
    <t xml:space="preserve">Timemore Conical Gold</t>
  </si>
  <si>
    <t xml:space="preserve">Conical</t>
  </si>
  <si>
    <t xml:space="preserve">Corner Corner — Liberica. Only conical burr in archive. Softer extraction.</t>
  </si>
  <si>
    <t xml:space="preserve">  ☕  BREWER GEOMETRY ANALYSIS  —  flat-bottom wins every documented comparison</t>
  </si>
  <si>
    <t xml:space="preserve">Geometry</t>
  </si>
  <si>
    <t xml:space="preserve">Archive Status</t>
  </si>
  <si>
    <t xml:space="preserve">Flat-Bottom (Origami/OREA/April/xBloom/Alpha/Switch)</t>
  </si>
  <si>
    <t xml:space="preserve">✅ PRIMARY PREFERENCE</t>
  </si>
  <si>
    <t xml:space="preserve">Even bed saturation · zero bypass · full contact geometry. Delivers archive's highest-rated cups consistently.</t>
  </si>
  <si>
    <t xml:space="preserve">CT62 (Engineered Conical — 24-groove flow compensation)</t>
  </si>
  <si>
    <t xml:space="preserve">✅ EXEMPTED</t>
  </si>
  <si>
    <t xml:space="preserve">Entry #057 Abseil. 12 long + 12 short grooves regulate flow rate = flat-bottom equivalent extraction consistency.</t>
  </si>
  <si>
    <t xml:space="preserve">Standard Conical (V60)</t>
  </si>
  <si>
    <t xml:space="preserve">⚠️ OVER-EXTRACTION FLAG</t>
  </si>
  <si>
    <t xml:space="preserve">Documented over-extraction pattern at Agora (Beloya), Kurasu (Rwanda), PPP (Suke Quto), Cowpresso. Fine particle apex creates CGA bitterness.</t>
  </si>
  <si>
    <t xml:space="preserve">Automated (xBloom batch)</t>
  </si>
  <si>
    <t xml:space="preserve">⚠️ METHODOLOGY NOTE</t>
  </si>
  <si>
    <t xml:space="preserve">xBloom at Nylon — flat-bottom geometry, but automation removes barista pour adjustment. Clips thermal arc expressiveness.</t>
  </si>
  <si>
    <t xml:space="preserve">Immersion-assist (Hario Switch/Deep27)</t>
  </si>
  <si>
    <t xml:space="preserve">✅ SECONDARY PREFERENCE</t>
  </si>
  <si>
    <t xml:space="preserve">Full bed saturation in immersion phase before drawdown. Strong on honey process (Keryi). Deep27 debut Entry #047 Kyuukei.</t>
  </si>
  <si>
    <t xml:space="preserve">Automated Tap Dispenser</t>
  </si>
  <si>
    <t xml:space="preserve">❌ REJECTED CONCEPT</t>
  </si>
  <si>
    <t xml:space="preserve">Entry #045 — 2050 Coffee. Hari's verdict: automation and pourover are philosophically incompatible. Not a return target.</t>
  </si>
  <si>
    <t xml:space="preserve">Law 1:  Flat-bottom geometry outperforms conical for this palate. Every conical V60 entry carries a standing over-extraction risk flag in this archive.</t>
  </si>
  <si>
    <t xml:space="preserve">Law 2:  1:13–1:14 concentration amplifies polyphenolic bitterness at cool phase and suppresses sucrose emergence. Documented at Double Shot (Entry #055) and Equate (Entry #039).</t>
  </si>
  <si>
    <t xml:space="preserve">Law 3:  1:17 lean on Natural-process coffees risks CGA lactone bitterness at cool phase by failing to build adequate sucrose-ester mass. Confirmed at Nylon (Entry #056).</t>
  </si>
  <si>
    <t xml:space="preserve">Law 4:  Barista confirmation overrides visual inference for hardware identification — always. This is the archive's primary source hierarchy rule.</t>
  </si>
  <si>
    <t xml:space="preserve">Law 5:  Large flat burrs (63–98mm) are non-negotiable for oversized varietals (Pacamara, Maragogipe-lineage). P80 80mm confirmed at Oaks Entry #049.</t>
  </si>
  <si>
    <t xml:space="preserve">Law 6:  Thermal Shock Anaerobic Natural (Finca El Diviso, Entry #059) confirmed the archive's upper intensity threshold. Fermentation signal dominated all three thermal phases without evolution — process-preference misalignment ceiling established.</t>
  </si>
  <si>
    <t xml:space="preserve">Law 7:  Brewer MATERIAL is a live variable, not a footnote. The stainless steel V60 logged at Alchemist Funan (29 Jul 2026) carries lower thermal mass and higher conductivity than ceramic — the cup sheds heat faster through the brew, compressing the usual florals-first / sugars-later sequence and pulling mucilage sweetness forward into the HOT phase. Log brewer material explicitly from this entry forward.</t>
  </si>
  <si>
    <t xml:space="preserve">  🌏  CITY COVERAGE OVERVIEW</t>
  </si>
  <si>
    <t xml:space="preserve">Cafés</t>
  </si>
  <si>
    <t xml:space="preserve">Coverage</t>
  </si>
  <si>
    <t xml:space="preserve">Character</t>
  </si>
  <si>
    <t xml:space="preserve">Roaster-owned specialty scene · transparent parameters · competition hardware standard</t>
  </si>
  <si>
    <t xml:space="preserve">Archive origin chapter — Seniman Coffee Studio</t>
  </si>
  <si>
    <t xml:space="preserve">India frontier chapter — Subko + Grey Soul</t>
  </si>
  <si>
    <t xml:space="preserve">Cross-border audit — Clod Coffee Bar &amp; Roasters</t>
  </si>
  <si>
    <t xml:space="preserve">  ☕  COMPLETE VERIFIED DIRECTORY  —  38 venues (37 visited + 1 listed) · live entry counts · verified addresses</t>
  </si>
  <si>
    <t xml:space="preserve">Avg</t>
  </si>
  <si>
    <t xml:space="preserve">Verified Address</t>
  </si>
  <si>
    <t xml:space="preserve">Instagram</t>
  </si>
  <si>
    <t xml:space="preserve">Website</t>
  </si>
  <si>
    <t xml:space="preserve">Conf.</t>
  </si>
  <si>
    <t xml:space="preserve">Notes</t>
  </si>
  <si>
    <t xml:space="preserve">4 Everton Park, #01-40</t>
  </si>
  <si>
    <t xml:space="preserve">@nyloncoffeeroasters</t>
  </si>
  <si>
    <t xml:space="preserve">nyloncoffee.sg</t>
  </si>
  <si>
    <t xml:space="preserve">✅ HIGH</t>
  </si>
  <si>
    <t xml:space="preserve">Reliability anchor · 6 visits</t>
  </si>
  <si>
    <t xml:space="preserve">24 Opal Crescent, Singapore</t>
  </si>
  <si>
    <t xml:space="preserve">@fluidcollective</t>
  </si>
  <si>
    <t xml:space="preserve">Cup of Year · 2025 Brewers Cup champion</t>
  </si>
  <si>
    <t xml:space="preserve">311 Jalan Besar, S208970</t>
  </si>
  <si>
    <t xml:space="preserve">4 visits · 2 Gesha entries</t>
  </si>
  <si>
    <t xml:space="preserve">465 North Bridge Road, #02-5063</t>
  </si>
  <si>
    <t xml:space="preserve">@zerahroasters</t>
  </si>
  <si>
    <t xml:space="preserve">zerahcoffeeroasters.com</t>
  </si>
  <si>
    <t xml:space="preserve">Barista Aqil — joint #2</t>
  </si>
  <si>
    <t xml:space="preserve">121 Bukit Merah Ln 1 #01-06 · 5 Kadayanallur St #01-04</t>
  </si>
  <si>
    <t xml:space="preserve">@kyuukeicoffee</t>
  </si>
  <si>
    <t xml:space="preserve">kyuukeicoffee.com</t>
  </si>
  <si>
    <t xml:space="preserve">Two outlets · 3 archive visits</t>
  </si>
  <si>
    <t xml:space="preserve">70 Shenton Way, #01-14, Eon Shenton, S079118</t>
  </si>
  <si>
    <t xml:space="preserve">@abseil.coffee</t>
  </si>
  <si>
    <t xml:space="preserve">abseilcoffee.com</t>
  </si>
  <si>
    <t xml:space="preserve">Barista Glenda — joint #2 · CT62 + P64</t>
  </si>
  <si>
    <t xml:space="preserve">619H Bukit Timah Road, S269728</t>
  </si>
  <si>
    <t xml:space="preserve">@oakscoffeeco</t>
  </si>
  <si>
    <t xml:space="preserve">oakscoffeeco.com</t>
  </si>
  <si>
    <t xml:space="preserve">✅ LOCK</t>
  </si>
  <si>
    <t xml:space="preserve">2 visits · Day 4 at first audit · 5 archive firsts</t>
  </si>
  <si>
    <t xml:space="preserve">911 Bukit Timah Road, Singapore</t>
  </si>
  <si>
    <t xml:space="preserve">@homegroundcoffeeroasters</t>
  </si>
  <si>
    <t xml:space="preserve">homegroundcoffee.sg</t>
  </si>
  <si>
    <t xml:space="preserve">Experience Room concept</t>
  </si>
  <si>
    <t xml:space="preserve">27 Purvis Street, #01-02, S188604</t>
  </si>
  <si>
    <t xml:space="preserve">@pinholecoffeebar</t>
  </si>
  <si>
    <t xml:space="preserve">pinhole.cafe</t>
  </si>
  <si>
    <t xml:space="preserve">19 Kampong Bahru Road, Singapore</t>
  </si>
  <si>
    <t xml:space="preserve">dblshotcoffee.com</t>
  </si>
  <si>
    <t xml:space="preserve">Concentrated 1:13.3 house ratio</t>
  </si>
  <si>
    <t xml:space="preserve">139 Selegie Road, #01-01, S188309</t>
  </si>
  <si>
    <t xml:space="preserve">@apartmentcoffee.co</t>
  </si>
  <si>
    <t xml:space="preserve">apartmentcoffee.co</t>
  </si>
  <si>
    <t xml:space="preserve">#6 world ranked filter café</t>
  </si>
  <si>
    <t xml:space="preserve">Roastery branch of Apartment · 2 visits · weekends only</t>
  </si>
  <si>
    <t xml:space="preserve">161 Lavender Street, #01-08, S338750</t>
  </si>
  <si>
    <t xml:space="preserve">@keryicoffee</t>
  </si>
  <si>
    <t xml:space="preserve">keryicoffee.com</t>
  </si>
  <si>
    <t xml:space="preserve">Closed Fri for production · owners Mel &amp; You Quan · 2 visits</t>
  </si>
  <si>
    <t xml:space="preserve">64 Club Street (back entrance), S069438</t>
  </si>
  <si>
    <t xml:space="preserve">maxicoffeebar.com</t>
  </si>
  <si>
    <t xml:space="preserve">~4.7 Google · Ann Siang Hill</t>
  </si>
  <si>
    <t xml:space="preserve">619H Bukit Timah Road, Singapore</t>
  </si>
  <si>
    <t xml:space="preserve">@flipcoffeeroasters</t>
  </si>
  <si>
    <t xml:space="preserve">S$18 Ecuador Geisha · highest-price Gesha pre-Abseil</t>
  </si>
  <si>
    <t xml:space="preserve">32 Seah Street, S188388</t>
  </si>
  <si>
    <t xml:space="preserve">@askcoffeeroastery</t>
  </si>
  <si>
    <t xml:space="preserve">Experimental ferments · co-ferments</t>
  </si>
  <si>
    <t xml:space="preserve">31 Club Street, #01-02, S069468</t>
  </si>
  <si>
    <t xml:space="preserve">@agoracoffeecs</t>
  </si>
  <si>
    <t xml:space="preserve">3 visits · V60 over-extraction flag</t>
  </si>
  <si>
    <t xml:space="preserve">1 Tanjong Pagar Plaza, #02-25, S082001</t>
  </si>
  <si>
    <t xml:space="preserve">@equatecoffee</t>
  </si>
  <si>
    <t xml:space="preserve">equate.sg</t>
  </si>
  <si>
    <t xml:space="preserve">2 visits · 1 Gesha (Peru Cajamarca Washed)</t>
  </si>
  <si>
    <t xml:space="preserve">21 Lor Kilat, #01-07, S598123</t>
  </si>
  <si>
    <t xml:space="preserve">@cowpressocoffee</t>
  </si>
  <si>
    <t xml:space="preserve">cowpressocoffee.sg</t>
  </si>
  <si>
    <t xml:space="preserve">Barista Aung · complimentary sea salt latte</t>
  </si>
  <si>
    <t xml:space="preserve">10 Collyer Quay, #01-K1, S049315</t>
  </si>
  <si>
    <t xml:space="preserve">@alchemist.sg</t>
  </si>
  <si>
    <t xml:space="preserve">alchemist.global</t>
  </si>
  <si>
    <t xml:space="preserve">Laurina Anaerobic entry</t>
  </si>
  <si>
    <t xml:space="preserve">Alchemist (Raffles Place)</t>
  </si>
  <si>
    <t xml:space="preserve">16 Raffles Quay, #01-08, Hong Leong Bldg, S048581</t>
  </si>
  <si>
    <t xml:space="preserve">El Morito Marshell Washed</t>
  </si>
  <si>
    <t xml:space="preserve">108 Robinson Road, #01-01, S068900</t>
  </si>
  <si>
    <t xml:space="preserve">@lume_sg</t>
  </si>
  <si>
    <t xml:space="preserve">lume.sg</t>
  </si>
  <si>
    <t xml:space="preserve">Panama Geisha Red Honey</t>
  </si>
  <si>
    <t xml:space="preserve">170 Stirling Road, #01-1133, S140170 (flagship)</t>
  </si>
  <si>
    <t xml:space="preserve">tionghoe.com</t>
  </si>
  <si>
    <t xml:space="preserve">10 outlets islandwide</t>
  </si>
  <si>
    <t xml:space="preserve">261 Waterloo Street, #01-24, S180261</t>
  </si>
  <si>
    <t xml:space="preserve">@kurasu.sg</t>
  </si>
  <si>
    <t xml:space="preserve">kurasu.sg</t>
  </si>
  <si>
    <t xml:space="preserve">Japanese origin · honey process lots</t>
  </si>
  <si>
    <t xml:space="preserve">16 Duxton Road, S089482 (daytime inside RPM)</t>
  </si>
  <si>
    <t xml:space="preserve">@corner___corner</t>
  </si>
  <si>
    <t xml:space="preserve">Vinyl/kissaten · Liberica · daytime only</t>
  </si>
  <si>
    <t xml:space="preserve">267 Beach Road, #01-01, S199545</t>
  </si>
  <si>
    <t xml:space="preserve">@2050.coffee</t>
  </si>
  <si>
    <t xml:space="preserve">Automated tap dispenser · rejected format</t>
  </si>
  <si>
    <t xml:space="preserve">Funan Mall, 107 North Bridge Road</t>
  </si>
  <si>
    <t xml:space="preserve">Over-extraction documented on EK Omnia+V60</t>
  </si>
  <si>
    <t xml:space="preserve">Hamilton Road, Singapore</t>
  </si>
  <si>
    <t xml:space="preserve">⚠️ LOW</t>
  </si>
  <si>
    <t xml:space="preserve">Area confirmed · exact unit unverified</t>
  </si>
  <si>
    <t xml:space="preserve">No fixed address (pop-up/stand format)</t>
  </si>
  <si>
    <t xml:space="preserve">Small independent · 2 visits</t>
  </si>
  <si>
    <t xml:space="preserve">Jl. Sriwedari, Ubud, Bali</t>
  </si>
  <si>
    <t xml:space="preserve">@senimancoffee</t>
  </si>
  <si>
    <t xml:space="preserve">senimancoffee.com</t>
  </si>
  <si>
    <t xml:space="preserve">◐ MED</t>
  </si>
  <si>
    <t xml:space="preserve">Archive origin venue · 3 entries</t>
  </si>
  <si>
    <t xml:space="preserve">Bandra/Khar area, Mumbai, India</t>
  </si>
  <si>
    <t xml:space="preserve">@subkocoffee</t>
  </si>
  <si>
    <t xml:space="preserve">subko.coffee</t>
  </si>
  <si>
    <t xml:space="preserve">City-level verified</t>
  </si>
  <si>
    <t xml:space="preserve">Mumbai, India</t>
  </si>
  <si>
    <t xml:space="preserve">@greysoulcoffee</t>
  </si>
  <si>
    <t xml:space="preserve">123, Jln Beringin, Taman Melodies, 80250 JB, Malaysia</t>
  </si>
  <si>
    <t xml:space="preserve">Direct confirmation · cross-border audit</t>
  </si>
  <si>
    <t xml:space="preserve">@prodigalroasters</t>
  </si>
  <si>
    <t xml:space="preserve">prodigalroasters.com</t>
  </si>
  <si>
    <t xml:space="preserve">Roastery, not a standalone café — serves visitors by arrangement, no public seating yet. Barista/roaster Jason — 'great conversations' recognition. Same street as Alchemist (Khong Guan Building).</t>
  </si>
  <si>
    <t xml:space="preserve">2 visits (24–25 Jul 2026) · full sit-down format with bar seating facing brew station, unlike smaller takeaway Alchemist branches · same street as Prodigal Roasters (MacTaggart Rd)</t>
  </si>
  <si>
    <t xml:space="preserve">No fixed address (pop-up / roaster residency format)</t>
  </si>
  <si>
    <t xml:space="preserve">@pour.traits</t>
  </si>
  <si>
    <t xml:space="preserve">🏆 Cup of the Year venue · 3 visits · 2 Gesha · TaoTao (Thailand Brewers Cup Champion, WBRC #7) guest pop-up</t>
  </si>
  <si>
    <t xml:space="preserve">Unknown — pending confirmation</t>
  </si>
  <si>
    <t xml:space="preserve">@20gramsroastery</t>
  </si>
  <si>
    <t xml:space="preserve">2 visits · pour-over menu format · relationship to Alchemist pending Hari confirmation</t>
  </si>
  <si>
    <t xml:space="preserve">Sands Expo &amp; Convention Centre (SIGEP Asia 2026 — event booth, not permanent)</t>
  </si>
  <si>
    <t xml:space="preserve">@mame.coffee</t>
  </si>
  <si>
    <t xml:space="preserve">Festival booth · Bambito Estate Panama Geisha Washed S$16 · Entry #066 · event format, not a standing venue</t>
  </si>
  <si>
    <t xml:space="preserve">10th-anniversary Las Margaritas Geisha (Entry #074) · Funan Mall · stainless steel V60 debut · plastic takeaway cup at S$10.50 price point</t>
  </si>
  <si>
    <t xml:space="preserve">  🔑  ADDRESS VERIFICATION LEGEND</t>
  </si>
  <si>
    <t xml:space="preserve">Badge</t>
  </si>
  <si>
    <t xml:space="preserve">Meaning</t>
  </si>
  <si>
    <t xml:space="preserve">Sources used</t>
  </si>
  <si>
    <t xml:space="preserve">Direct confirmation by Hari — overrides all AI sources</t>
  </si>
  <si>
    <t xml:space="preserve">Personal visit + direct recall</t>
  </si>
  <si>
    <t xml:space="preserve">2+ independent sources agree</t>
  </si>
  <si>
    <t xml:space="preserve">SuperGrok + ChatGPT / Gemini / Project Knowledge</t>
  </si>
  <si>
    <t xml:space="preserve">1 source only or area-level verified</t>
  </si>
  <si>
    <t xml:space="preserve">Single source or archive observation primary</t>
  </si>
  <si>
    <t xml:space="preserve">No fixed address — pop-up or micro-independent</t>
  </si>
  <si>
    <t xml:space="preserve">Archive visit record only</t>
  </si>
  <si>
    <t xml:space="preserve">📖  LEGEND &amp; MAINTENANCE GUIDE</t>
  </si>
  <si>
    <t xml:space="preserve">How to read, how to maintain, and how to grow this archive</t>
  </si>
  <si>
    <t xml:space="preserve">  🎨  COLOUR LEGEND  —  Coffee Audit sheet</t>
  </si>
  <si>
    <t xml:space="preserve">Colour</t>
  </si>
  <si>
    <t xml:space="preserve">Even-row banding — auto conditional formatting</t>
  </si>
  <si>
    <t xml:space="preserve">Odd-row banding — auto conditional formatting</t>
  </si>
  <si>
    <t xml:space="preserve">⭐ GESHA row — auto-applied when Varietal contains Gesha or Geisha</t>
  </si>
  <si>
    <t xml:space="preserve">Header row — dark espresso with cream text</t>
  </si>
  <si>
    <t xml:space="preserve">  🛠️  HOW TO ADD A NEW ENTRY  —  7 steps, keeps everything live</t>
  </si>
  <si>
    <t xml:space="preserve">1.  Add the new row directly below the last entry on the Coffee Audit sheet — columns A through V (22 data columns).</t>
  </si>
  <si>
    <t xml:space="preserve">2.  Copy the Gesha_Alert formula (column W) down from the row above — it self-detects any Gesha or Geisha variant spelling.</t>
  </si>
  <si>
    <t xml:space="preserve">3.  Row colours (blue/yellow banding and Gesha purple) apply automatically via conditional formatting — no manual fill needed.</t>
  </si>
  <si>
    <t xml:space="preserve">4.  The Dashboard KPI tiles, all formula tables, Café Directory counts, Price &amp; Value stats, and Origin league tables all scan to row 2000 and update instantly.</t>
  </si>
  <si>
    <t xml:space="preserve">5.  Enter Price, Dose and Yield as plain numbers where known. Text "Unknown" is safely ignored by all statistical formulas.</t>
  </si>
  <si>
    <t xml:space="preserve">6.  New café not in the Directory? Add one row to the Café Directory table with the exact café name matching column C of the Coffee Audit sheet — live counts update immediately.</t>
  </si>
  <si>
    <t xml:space="preserve">7.  Editorial panels (Archive Thesis, Honours Board, Gesha Hall of Fame, Extraction Laws) are curated by hand — update these after milestone visits or at each month's end.</t>
  </si>
  <si>
    <t xml:space="preserve">  📜  ARCHIVE INTEGRITY RULES</t>
  </si>
  <si>
    <t xml:space="preserve">Uploaded files are the authoritative baseline — entries are appended, never reconstructed from memory.</t>
  </si>
  <si>
    <t xml:space="preserve">Source hierarchy: receipts + bean card photos &gt; barista confirmation &gt; café DM response &gt; direct observation &gt; AI reconstruction.</t>
  </si>
  <si>
    <t xml:space="preserve">No silent corrections — all data discrepancies must be flagged explicitly before any correction is applied.</t>
  </si>
  <si>
    <t xml:space="preserve">Barista confirmation overrides visual inference for hardware identification.</t>
  </si>
  <si>
    <t xml:space="preserve">Gesha spelling: "Gesha" (botanically accurate) and "Geisha" (Panamanian commercial) — archive uses whichever appears on the bean card as authoritative.</t>
  </si>
  <si>
    <t xml:space="preserve">Primary sensory record from Entry #031 onward: sensory notes are the archive record; brew parameters logged only when barista offers or they are observable.</t>
  </si>
  <si>
    <t xml:space="preserve">The archive records one palate only — external roaster or barista tasting notes are reference, never overwrite Hari's direct observation.</t>
  </si>
  <si>
    <t xml:space="preserve">N/A vs Unknown: "Unknown" = data exists but was not captured; "N/A" with reason = structurally inapplicable (e.g. batch-dispensed format).</t>
  </si>
  <si>
    <t xml:space="preserve">Address verification tiers: ✅ LOCK (direct confirmation) &gt; ✅ HIGH (2+ sources) &gt; ◐ MED (area-level) &gt; ⚠️ LOW (archive only).</t>
  </si>
  <si>
    <t xml:space="preserve">Consolidation Summary</t>
  </si>
  <si>
    <t xml:space="preserve">Total unique entries</t>
  </si>
  <si>
    <t xml:space="preserve">Merged (both sources)</t>
  </si>
  <si>
    <t xml:space="preserve">ChatGPT-only (new)</t>
  </si>
  <si>
    <t xml:space="preserve">Gemini-only (retained)</t>
  </si>
  <si>
    <t xml:space="preserve">Cities covered</t>
  </si>
  <si>
    <t xml:space="preserve">Unique cafes</t>
  </si>
  <si>
    <t xml:space="preserve">Date range</t>
  </si>
  <si>
    <t xml:space="preserve">  🛡️  ARCHIVE INTEGRITY MONITOR  —  self-auditing; re-evaluates on every open</t>
  </si>
  <si>
    <t xml:space="preserve">Check</t>
  </si>
  <si>
    <t xml:space="preserve">Result</t>
  </si>
  <si>
    <t xml:space="preserve">What it protects against</t>
  </si>
  <si>
    <t xml:space="preserve">Row count</t>
  </si>
  <si>
    <t xml:space="preserve">Blank or truncated data block</t>
  </si>
  <si>
    <t xml:space="preserve">Gesha flag integrity</t>
  </si>
  <si>
    <t xml:space="preserve">Stale Gesha_Alert formulas after insert_rows (the 21 Jul bug)</t>
  </si>
  <si>
    <t xml:space="preserve">Missing dates</t>
  </si>
  <si>
    <t xml:space="preserve">Text dates or blank date cells breaking chronology</t>
  </si>
  <si>
    <t xml:space="preserve">Café name blanks</t>
  </si>
  <si>
    <t xml:space="preserve">Entries logged without a venue</t>
  </si>
  <si>
    <t xml:space="preserve">Price sanity</t>
  </si>
  <si>
    <t xml:space="preserve">Negative or corrupted price values</t>
  </si>
  <si>
    <t xml:space="preserve">Directory reconciliation</t>
  </si>
  <si>
    <t xml:space="preserve">Venue counts not summing to total entries</t>
  </si>
  <si>
    <t xml:space="preserve">Latest entry date</t>
  </si>
  <si>
    <t xml:space="preserve">Archive not updated with newest visit</t>
  </si>
</sst>
</file>

<file path=xl/styles.xml><?xml version="1.0" encoding="utf-8"?>
<styleSheet xmlns="http://schemas.openxmlformats.org/spreadsheetml/2006/main">
  <numFmts count="6">
    <numFmt numFmtId="164" formatCode="General"/>
    <numFmt numFmtId="165" formatCode="yyyy\-mm\-dd"/>
    <numFmt numFmtId="166" formatCode="&quot;S$&quot;0.00"/>
    <numFmt numFmtId="167" formatCode="General"/>
    <numFmt numFmtId="168" formatCode="&quot;S$&quot;#,##0.00"/>
    <numFmt numFmtId="169" formatCode="dd\ mmm\ yyyy"/>
  </numFmts>
  <fonts count="32">
    <font>
      <sz val="11"/>
      <color theme="1"/>
      <name val="Calibri"/>
      <family val="2"/>
      <charset val="1"/>
    </font>
    <font>
      <sz val="10"/>
      <name val="Arial"/>
      <family val="0"/>
    </font>
    <font>
      <sz val="10"/>
      <name val="Arial"/>
      <family val="0"/>
    </font>
    <font>
      <sz val="10"/>
      <name val="Arial"/>
      <family val="0"/>
    </font>
    <font>
      <b val="true"/>
      <sz val="8"/>
      <color rgb="FFFDF8EE"/>
      <name val="Calibri"/>
      <family val="0"/>
      <charset val="1"/>
    </font>
    <font>
      <sz val="8"/>
      <color rgb="FF2D1F0F"/>
      <name val="Calibri"/>
      <family val="0"/>
      <charset val="1"/>
    </font>
    <font>
      <b val="true"/>
      <sz val="8"/>
      <color rgb="FF6A1B9A"/>
      <name val="Calibri"/>
      <family val="0"/>
      <charset val="1"/>
    </font>
    <font>
      <sz val="8"/>
      <name val="Calibri"/>
      <family val="0"/>
      <charset val="1"/>
    </font>
    <font>
      <sz val="10"/>
      <name val="Arial"/>
      <family val="2"/>
    </font>
    <font>
      <b val="true"/>
      <sz val="18"/>
      <color rgb="FFFDF8EE"/>
      <name val="Calibri"/>
      <family val="0"/>
      <charset val="1"/>
    </font>
    <font>
      <sz val="9"/>
      <color rgb="FFC9902A"/>
      <name val="Calibri"/>
      <family val="0"/>
      <charset val="1"/>
    </font>
    <font>
      <b val="true"/>
      <sz val="10"/>
      <color rgb="FFFDF8EE"/>
      <name val="Calibri"/>
      <family val="0"/>
      <charset val="1"/>
    </font>
    <font>
      <b val="true"/>
      <sz val="7"/>
      <color rgb="FFC9902A"/>
      <name val="Calibri"/>
      <family val="0"/>
      <charset val="1"/>
    </font>
    <font>
      <b val="true"/>
      <sz val="20"/>
      <color rgb="FFC9902A"/>
      <name val="Calibri"/>
      <family val="0"/>
      <charset val="1"/>
    </font>
    <font>
      <b val="true"/>
      <sz val="13"/>
      <color rgb="FFFDF8EE"/>
      <name val="Calibri"/>
      <family val="0"/>
      <charset val="1"/>
    </font>
    <font>
      <sz val="7"/>
      <color rgb="FFCCB48A"/>
      <name val="Calibri"/>
      <family val="0"/>
      <charset val="1"/>
    </font>
    <font>
      <b val="true"/>
      <sz val="7"/>
      <color rgb="FF120A00"/>
      <name val="Calibri"/>
      <family val="0"/>
      <charset val="1"/>
    </font>
    <font>
      <b val="true"/>
      <sz val="8.5"/>
      <color rgb="FF2D1F0F"/>
      <name val="Calibri"/>
      <family val="0"/>
      <charset val="1"/>
    </font>
    <font>
      <b val="true"/>
      <sz val="8"/>
      <color rgb="FF2D1F0F"/>
      <name val="Calibri"/>
      <family val="0"/>
      <charset val="1"/>
    </font>
    <font>
      <b val="true"/>
      <sz val="7"/>
      <color rgb="FF6A1B9A"/>
      <name val="Calibri"/>
      <family val="0"/>
      <charset val="1"/>
    </font>
    <font>
      <sz val="7.5"/>
      <color rgb="FF2D1F0F"/>
      <name val="Calibri"/>
      <family val="0"/>
      <charset val="1"/>
    </font>
    <font>
      <b val="true"/>
      <sz val="7.5"/>
      <color rgb="FF6A4A20"/>
      <name val="Calibri"/>
      <family val="0"/>
      <charset val="1"/>
    </font>
    <font>
      <sz val="7"/>
      <color rgb="FFC9902A"/>
      <name val="Calibri"/>
      <family val="0"/>
      <charset val="1"/>
    </font>
    <font>
      <b val="true"/>
      <sz val="7.5"/>
      <color rgb="FF2D1F0F"/>
      <name val="Calibri"/>
      <family val="0"/>
      <charset val="1"/>
    </font>
    <font>
      <b val="true"/>
      <sz val="7.5"/>
      <color rgb="FF1B5E20"/>
      <name val="Calibri"/>
      <family val="0"/>
      <charset val="1"/>
    </font>
    <font>
      <b val="true"/>
      <sz val="8"/>
      <color rgb="FFC9902A"/>
      <name val="Calibri"/>
      <family val="0"/>
      <charset val="1"/>
    </font>
    <font>
      <i val="true"/>
      <sz val="7.5"/>
      <color rgb="FF2D1F0F"/>
      <name val="Calibri"/>
      <family val="0"/>
      <charset val="1"/>
    </font>
    <font>
      <sz val="8.5"/>
      <color rgb="FF2D1F0F"/>
      <name val="Calibri"/>
      <family val="0"/>
      <charset val="1"/>
    </font>
    <font>
      <i val="true"/>
      <sz val="9"/>
      <color rgb="FFC9902A"/>
      <name val="Calibri"/>
      <family val="0"/>
      <charset val="1"/>
    </font>
    <font>
      <i val="true"/>
      <sz val="8.5"/>
      <color rgb="FF2D1F0F"/>
      <name val="Calibri"/>
      <family val="0"/>
      <charset val="1"/>
    </font>
    <font>
      <sz val="10"/>
      <name val="Calibri"/>
      <family val="0"/>
      <charset val="1"/>
    </font>
    <font>
      <b val="true"/>
      <sz val="10"/>
      <name val="Calibri"/>
      <family val="0"/>
      <charset val="1"/>
    </font>
  </fonts>
  <fills count="16">
    <fill>
      <patternFill patternType="none"/>
    </fill>
    <fill>
      <patternFill patternType="gray125"/>
    </fill>
    <fill>
      <patternFill patternType="solid">
        <fgColor rgb="FF1A0F00"/>
        <bgColor rgb="FF120A00"/>
      </patternFill>
    </fill>
    <fill>
      <patternFill patternType="solid">
        <fgColor rgb="FF120A00"/>
        <bgColor rgb="FF1A0F00"/>
      </patternFill>
    </fill>
    <fill>
      <patternFill patternType="solid">
        <fgColor rgb="FF3B2200"/>
        <bgColor rgb="FF2D1F0F"/>
      </patternFill>
    </fill>
    <fill>
      <patternFill patternType="solid">
        <fgColor rgb="FF7A5230"/>
        <bgColor rgb="FF6A4A20"/>
      </patternFill>
    </fill>
    <fill>
      <patternFill patternType="solid">
        <fgColor rgb="FFC9902A"/>
        <bgColor rgb="FF9E8060"/>
      </patternFill>
    </fill>
    <fill>
      <patternFill patternType="solid">
        <fgColor rgb="FFEDE0FF"/>
        <bgColor rgb="FFE8D5FF"/>
      </patternFill>
    </fill>
    <fill>
      <patternFill patternType="solid">
        <fgColor rgb="FFF5ECD7"/>
        <bgColor rgb="FFFFF3E0"/>
      </patternFill>
    </fill>
    <fill>
      <patternFill patternType="solid">
        <fgColor rgb="FFFFF9C4"/>
        <bgColor rgb="FFFFF3E0"/>
      </patternFill>
    </fill>
    <fill>
      <patternFill patternType="solid">
        <fgColor rgb="FFE8F5E9"/>
        <bgColor rgb="FFE3F2FD"/>
      </patternFill>
    </fill>
    <fill>
      <patternFill patternType="solid">
        <fgColor rgb="FFFDF8EE"/>
        <bgColor rgb="FFFFF3E0"/>
      </patternFill>
    </fill>
    <fill>
      <patternFill patternType="solid">
        <fgColor rgb="FFE8D5FF"/>
        <bgColor rgb="FFEDE0FF"/>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5">
    <border diagonalUp="false" diagonalDown="false">
      <left/>
      <right/>
      <top/>
      <bottom/>
      <diagonal/>
    </border>
    <border diagonalUp="false" diagonalDown="false">
      <left style="thin">
        <color rgb="FF9E8060"/>
      </left>
      <right style="thin">
        <color rgb="FF9E8060"/>
      </right>
      <top style="thin">
        <color rgb="FF9E8060"/>
      </top>
      <bottom style="thin">
        <color rgb="FF9E8060"/>
      </bottom>
      <diagonal/>
    </border>
    <border diagonalUp="false" diagonalDown="false">
      <left style="thin"/>
      <right style="thin"/>
      <top style="thin"/>
      <bottom style="thin"/>
      <diagonal/>
    </border>
    <border diagonalUp="false" diagonalDown="false">
      <left style="medium">
        <color rgb="FF6B4428"/>
      </left>
      <right/>
      <top style="medium">
        <color rgb="FF6B4428"/>
      </top>
      <bottom/>
      <diagonal/>
    </border>
    <border diagonalUp="false" diagonalDown="false">
      <left style="thin">
        <color rgb="FF9E8060"/>
      </left>
      <right/>
      <top style="thin">
        <color rgb="FF9E8060"/>
      </top>
      <bottom style="thin">
        <color rgb="FF9E806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5" fontId="7"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true" applyAlignment="true" applyProtection="false">
      <alignment horizontal="center" vertical="center" textRotation="0" wrapText="false" indent="0" shrinkToFit="false"/>
      <protection locked="true" hidden="false"/>
    </xf>
    <xf numFmtId="164" fontId="11" fillId="4" borderId="0" xfId="0" applyFont="true" applyBorder="true" applyAlignment="true" applyProtection="false">
      <alignment horizontal="left" vertical="center"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false" applyAlignment="true" applyProtection="false">
      <alignment horizontal="center" vertical="center" textRotation="0" wrapText="false" indent="0" shrinkToFit="false"/>
      <protection locked="true" hidden="false"/>
    </xf>
    <xf numFmtId="167" fontId="13" fillId="4" borderId="0" xfId="0" applyFont="true" applyBorder="true" applyAlignment="true" applyProtection="false">
      <alignment horizontal="center" vertical="center" textRotation="0" wrapText="false" indent="0" shrinkToFit="false"/>
      <protection locked="true" hidden="false"/>
    </xf>
    <xf numFmtId="167" fontId="13" fillId="4" borderId="0" xfId="0" applyFont="true" applyBorder="false" applyAlignment="true" applyProtection="false">
      <alignment horizontal="center" vertical="center" textRotation="0" wrapText="false" indent="0" shrinkToFit="false"/>
      <protection locked="true" hidden="false"/>
    </xf>
    <xf numFmtId="168" fontId="14" fillId="4" borderId="0" xfId="0" applyFont="true" applyBorder="false" applyAlignment="true" applyProtection="false">
      <alignment horizontal="center" vertical="center" textRotation="0" wrapText="false" indent="0" shrinkToFit="false"/>
      <protection locked="true" hidden="false"/>
    </xf>
    <xf numFmtId="167" fontId="14" fillId="4" borderId="0" xfId="0" applyFont="true" applyBorder="fals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false" applyAlignment="true" applyProtection="false">
      <alignment horizontal="center" vertical="center" textRotation="0" wrapText="false" indent="0" shrinkToFit="false"/>
      <protection locked="true" hidden="false"/>
    </xf>
    <xf numFmtId="164" fontId="11" fillId="5" borderId="0" xfId="0" applyFont="true" applyBorder="true" applyAlignment="true" applyProtection="false">
      <alignment horizontal="left" vertical="center" textRotation="0" wrapText="false" indent="0" shrinkToFit="false"/>
      <protection locked="true" hidden="false"/>
    </xf>
    <xf numFmtId="164" fontId="16" fillId="6" borderId="0" xfId="0" applyFont="true" applyBorder="true" applyAlignment="true" applyProtection="false">
      <alignment horizontal="center" vertical="center" textRotation="0" wrapText="false" indent="0" shrinkToFit="false"/>
      <protection locked="true" hidden="false"/>
    </xf>
    <xf numFmtId="164" fontId="16" fillId="6" borderId="0" xfId="0" applyFont="true" applyBorder="false" applyAlignment="true" applyProtection="false">
      <alignment horizontal="center" vertical="center" textRotation="0" wrapText="false" indent="0" shrinkToFit="false"/>
      <protection locked="true" hidden="false"/>
    </xf>
    <xf numFmtId="169" fontId="17" fillId="7" borderId="0" xfId="0" applyFont="true" applyBorder="true" applyAlignment="true" applyProtection="false">
      <alignment horizontal="center" vertical="center" textRotation="0" wrapText="true" indent="0" shrinkToFit="false"/>
      <protection locked="true" hidden="false"/>
    </xf>
    <xf numFmtId="164" fontId="17" fillId="7" borderId="0" xfId="0" applyFont="true" applyBorder="false" applyAlignment="true" applyProtection="false">
      <alignment horizontal="center" vertical="center" textRotation="0" wrapText="true" indent="0" shrinkToFit="false"/>
      <protection locked="true" hidden="false"/>
    </xf>
    <xf numFmtId="164" fontId="17" fillId="7" borderId="0" xfId="0" applyFont="true" applyBorder="true" applyAlignment="true" applyProtection="false">
      <alignment horizontal="center" vertical="center" textRotation="0" wrapText="true" indent="0" shrinkToFit="false"/>
      <protection locked="true" hidden="false"/>
    </xf>
    <xf numFmtId="168" fontId="17" fillId="7" borderId="0" xfId="0" applyFont="true" applyBorder="true" applyAlignment="true" applyProtection="false">
      <alignment horizontal="center" vertical="center" textRotation="0" wrapText="tru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18" fillId="6" borderId="0" xfId="0" applyFont="true" applyBorder="fals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general"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8" fontId="18" fillId="6" borderId="0" xfId="0" applyFont="true" applyBorder="false" applyAlignment="true" applyProtection="false">
      <alignment horizontal="center" vertical="center" textRotation="0" wrapText="false" indent="0" shrinkToFit="false"/>
      <protection locked="true" hidden="false"/>
    </xf>
    <xf numFmtId="164" fontId="19" fillId="6" borderId="0" xfId="0" applyFont="true" applyBorder="true" applyAlignment="true" applyProtection="false">
      <alignment horizontal="center" vertical="center" textRotation="0" wrapText="false" indent="0" shrinkToFit="false"/>
      <protection locked="true" hidden="false"/>
    </xf>
    <xf numFmtId="164" fontId="18" fillId="8" borderId="0" xfId="0" applyFont="true" applyBorder="false" applyAlignment="true" applyProtection="false">
      <alignment horizontal="center"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fals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68" fontId="18" fillId="8" borderId="0" xfId="0" applyFont="true" applyBorder="false" applyAlignment="true" applyProtection="false">
      <alignment horizontal="center" vertical="center" textRotation="0" wrapText="false" indent="0" shrinkToFit="false"/>
      <protection locked="true" hidden="false"/>
    </xf>
    <xf numFmtId="164" fontId="19" fillId="8" borderId="0" xfId="0" applyFont="true" applyBorder="true" applyAlignment="true" applyProtection="false">
      <alignment horizontal="center" vertical="center" textRotation="0" wrapText="false" indent="0" shrinkToFit="false"/>
      <protection locked="true" hidden="false"/>
    </xf>
    <xf numFmtId="164" fontId="18" fillId="9" borderId="0" xfId="0" applyFont="true" applyBorder="false" applyAlignment="true" applyProtection="false">
      <alignment horizontal="center" vertical="center" textRotation="0" wrapText="false" indent="0" shrinkToFit="false"/>
      <protection locked="true" hidden="false"/>
    </xf>
    <xf numFmtId="164" fontId="5" fillId="9" borderId="0" xfId="0" applyFont="true" applyBorder="false" applyAlignment="true" applyProtection="false">
      <alignment horizontal="general" vertical="center"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68" fontId="18" fillId="9" borderId="0" xfId="0" applyFont="true" applyBorder="false" applyAlignment="true" applyProtection="false">
      <alignment horizontal="center" vertical="center" textRotation="0" wrapText="false" indent="0" shrinkToFit="false"/>
      <protection locked="true" hidden="false"/>
    </xf>
    <xf numFmtId="164" fontId="19" fillId="9" borderId="0" xfId="0" applyFont="true" applyBorder="true" applyAlignment="true" applyProtection="false">
      <alignment horizontal="center" vertical="center" textRotation="0" wrapText="false" indent="0" shrinkToFit="false"/>
      <protection locked="true" hidden="false"/>
    </xf>
    <xf numFmtId="164" fontId="18" fillId="7" borderId="0" xfId="0" applyFont="true" applyBorder="false" applyAlignment="true" applyProtection="false">
      <alignment horizontal="center" vertical="center" textRotation="0" wrapText="false" indent="0" shrinkToFit="false"/>
      <protection locked="true" hidden="false"/>
    </xf>
    <xf numFmtId="164" fontId="5" fillId="7" borderId="0" xfId="0" applyFont="true" applyBorder="false" applyAlignment="true" applyProtection="false">
      <alignment horizontal="general" vertical="center" textRotation="0" wrapText="false" indent="0" shrinkToFit="false"/>
      <protection locked="true" hidden="false"/>
    </xf>
    <xf numFmtId="164" fontId="5" fillId="7" borderId="0" xfId="0" applyFont="true" applyBorder="false" applyAlignment="true" applyProtection="false">
      <alignment horizontal="center" vertical="center" textRotation="0" wrapText="false" indent="0" shrinkToFit="false"/>
      <protection locked="true" hidden="false"/>
    </xf>
    <xf numFmtId="168" fontId="18" fillId="7" borderId="0" xfId="0" applyFont="true" applyBorder="false" applyAlignment="true" applyProtection="false">
      <alignment horizontal="center" vertical="center" textRotation="0" wrapText="false" indent="0" shrinkToFit="false"/>
      <protection locked="true" hidden="false"/>
    </xf>
    <xf numFmtId="164" fontId="19" fillId="7" borderId="0" xfId="0" applyFont="true" applyBorder="true" applyAlignment="true" applyProtection="false">
      <alignment horizontal="center" vertical="center" textRotation="0" wrapText="false" indent="0" shrinkToFit="false"/>
      <protection locked="true" hidden="false"/>
    </xf>
    <xf numFmtId="164" fontId="20" fillId="7" borderId="0" xfId="0" applyFont="true" applyBorder="true" applyAlignment="true" applyProtection="false">
      <alignment horizontal="left" vertical="center" textRotation="0" wrapText="false" indent="0" shrinkToFit="false"/>
      <protection locked="true" hidden="false"/>
    </xf>
    <xf numFmtId="164" fontId="18" fillId="9" borderId="0" xfId="0" applyFont="true" applyBorder="false" applyAlignment="true" applyProtection="false">
      <alignment horizontal="general" vertical="center" textRotation="0" wrapText="false" indent="0" shrinkToFit="false"/>
      <protection locked="true" hidden="false"/>
    </xf>
    <xf numFmtId="164" fontId="20" fillId="9" borderId="0" xfId="0" applyFont="true" applyBorder="false" applyAlignment="true" applyProtection="false">
      <alignment horizontal="general" vertical="center" textRotation="0" wrapText="false" indent="0" shrinkToFit="false"/>
      <protection locked="true" hidden="false"/>
    </xf>
    <xf numFmtId="164" fontId="21" fillId="9" borderId="0" xfId="0" applyFont="true" applyBorder="true" applyAlignment="true" applyProtection="false">
      <alignment horizontal="general" vertical="center" textRotation="0" wrapText="false" indent="0" shrinkToFit="false"/>
      <protection locked="true" hidden="false"/>
    </xf>
    <xf numFmtId="164" fontId="18" fillId="8" borderId="0" xfId="0" applyFont="true" applyBorder="false" applyAlignment="true" applyProtection="false">
      <alignment horizontal="general" vertical="center" textRotation="0" wrapText="false" indent="0" shrinkToFit="false"/>
      <protection locked="true" hidden="false"/>
    </xf>
    <xf numFmtId="164" fontId="20" fillId="8" borderId="0" xfId="0" applyFont="true" applyBorder="false" applyAlignment="true" applyProtection="false">
      <alignment horizontal="general" vertical="center" textRotation="0" wrapText="false" indent="0" shrinkToFit="false"/>
      <protection locked="true" hidden="false"/>
    </xf>
    <xf numFmtId="164" fontId="21" fillId="8" borderId="0" xfId="0" applyFont="true" applyBorder="true" applyAlignment="true" applyProtection="false">
      <alignment horizontal="general" vertical="center" textRotation="0" wrapText="false" indent="0" shrinkToFit="false"/>
      <protection locked="true" hidden="false"/>
    </xf>
    <xf numFmtId="167" fontId="6" fillId="9" borderId="0" xfId="0" applyFont="true" applyBorder="false" applyAlignment="true" applyProtection="false">
      <alignment horizontal="center" vertical="center" textRotation="0" wrapText="false" indent="0" shrinkToFit="false"/>
      <protection locked="true" hidden="false"/>
    </xf>
    <xf numFmtId="164" fontId="22" fillId="9" borderId="0" xfId="0" applyFont="true" applyBorder="false" applyAlignment="true" applyProtection="false">
      <alignment horizontal="left" vertical="center" textRotation="0" wrapText="false" indent="0" shrinkToFit="false"/>
      <protection locked="true" hidden="false"/>
    </xf>
    <xf numFmtId="164" fontId="20" fillId="9" borderId="0" xfId="0" applyFont="true" applyBorder="true" applyAlignment="true" applyProtection="false">
      <alignment horizontal="general" vertical="center" textRotation="0" wrapText="false" indent="0" shrinkToFit="false"/>
      <protection locked="true" hidden="false"/>
    </xf>
    <xf numFmtId="167" fontId="6" fillId="8" borderId="0" xfId="0" applyFont="true" applyBorder="false" applyAlignment="true" applyProtection="false">
      <alignment horizontal="center" vertical="center" textRotation="0" wrapText="false" indent="0" shrinkToFit="false"/>
      <protection locked="true" hidden="false"/>
    </xf>
    <xf numFmtId="164" fontId="22" fillId="8" borderId="0" xfId="0" applyFont="true" applyBorder="false" applyAlignment="true" applyProtection="false">
      <alignment horizontal="left" vertical="center" textRotation="0" wrapText="false" indent="0" shrinkToFit="false"/>
      <protection locked="true" hidden="false"/>
    </xf>
    <xf numFmtId="164" fontId="20" fillId="8" borderId="0" xfId="0" applyFont="true" applyBorder="true" applyAlignment="true" applyProtection="false">
      <alignment horizontal="general" vertical="center" textRotation="0" wrapText="false" indent="0" shrinkToFit="false"/>
      <protection locked="true" hidden="false"/>
    </xf>
    <xf numFmtId="164" fontId="23" fillId="9" borderId="0" xfId="0" applyFont="true" applyBorder="false" applyAlignment="true" applyProtection="false">
      <alignment horizontal="center" vertical="center" textRotation="0" wrapText="false" indent="0" shrinkToFit="false"/>
      <protection locked="true" hidden="false"/>
    </xf>
    <xf numFmtId="164" fontId="23" fillId="8" borderId="0" xfId="0" applyFont="true" applyBorder="false" applyAlignment="true" applyProtection="false">
      <alignment horizontal="center" vertical="center" textRotation="0" wrapText="false" indent="0" shrinkToFit="false"/>
      <protection locked="true" hidden="false"/>
    </xf>
    <xf numFmtId="164" fontId="24" fillId="10" borderId="0" xfId="0" applyFont="true" applyBorder="true" applyAlignment="true" applyProtection="false">
      <alignment horizontal="general" vertical="center" textRotation="0" wrapText="false" indent="0" shrinkToFit="false"/>
      <protection locked="true" hidden="false"/>
    </xf>
    <xf numFmtId="164" fontId="25" fillId="3"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0" xfId="0" applyFont="true" applyBorder="true" applyAlignment="true" applyProtection="false">
      <alignment horizontal="center" vertical="center" textRotation="0" wrapText="true" indent="0" shrinkToFit="false"/>
      <protection locked="true" hidden="false"/>
    </xf>
    <xf numFmtId="164" fontId="11" fillId="4" borderId="0" xfId="0" applyFont="true" applyBorder="true" applyAlignment="true" applyProtection="false">
      <alignment horizontal="left" vertical="center" textRotation="0" wrapText="true" indent="0" shrinkToFit="false"/>
      <protection locked="true" hidden="false"/>
    </xf>
    <xf numFmtId="164" fontId="5" fillId="8" borderId="3" xfId="0" applyFont="true" applyBorder="true" applyAlignment="true" applyProtection="false">
      <alignment horizontal="general" vertical="top"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18" fillId="9" borderId="1" xfId="0" applyFont="true" applyBorder="true" applyAlignment="true" applyProtection="false">
      <alignment horizontal="general" vertical="center" textRotation="0" wrapText="false" indent="0" shrinkToFit="false"/>
      <protection locked="true" hidden="false"/>
    </xf>
    <xf numFmtId="164" fontId="5" fillId="9" borderId="1" xfId="0" applyFont="true" applyBorder="true" applyAlignment="true" applyProtection="false">
      <alignment horizontal="general" vertical="center" textRotation="0" wrapText="false" indent="0" shrinkToFit="false"/>
      <protection locked="true" hidden="false"/>
    </xf>
    <xf numFmtId="164" fontId="20" fillId="9" borderId="1" xfId="0" applyFont="true" applyBorder="true" applyAlignment="true" applyProtection="false">
      <alignment horizontal="general" vertical="center" textRotation="0" wrapText="true" indent="0" shrinkToFit="false"/>
      <protection locked="true" hidden="false"/>
    </xf>
    <xf numFmtId="164" fontId="23" fillId="9" borderId="1" xfId="0" applyFont="true" applyBorder="true" applyAlignment="true" applyProtection="false">
      <alignment horizontal="general" vertical="center" textRotation="0" wrapText="false" indent="0" shrinkToFit="false"/>
      <protection locked="true" hidden="false"/>
    </xf>
    <xf numFmtId="164" fontId="18" fillId="11"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18" fillId="8" borderId="1" xfId="0" applyFont="true" applyBorder="true" applyAlignment="true" applyProtection="false">
      <alignment horizontal="general" vertical="center" textRotation="0" wrapText="false" indent="0" shrinkToFit="false"/>
      <protection locked="true" hidden="false"/>
    </xf>
    <xf numFmtId="164" fontId="5" fillId="8" borderId="1" xfId="0" applyFont="true" applyBorder="true" applyAlignment="true" applyProtection="false">
      <alignment horizontal="general" vertical="center" textRotation="0" wrapText="false" indent="0" shrinkToFit="false"/>
      <protection locked="true" hidden="false"/>
    </xf>
    <xf numFmtId="164" fontId="20" fillId="8" borderId="1" xfId="0" applyFont="true" applyBorder="true" applyAlignment="true" applyProtection="false">
      <alignment horizontal="general" vertical="center" textRotation="0" wrapText="true" indent="0" shrinkToFit="false"/>
      <protection locked="true" hidden="false"/>
    </xf>
    <xf numFmtId="164" fontId="23" fillId="8" borderId="1" xfId="0" applyFont="true" applyBorder="true" applyAlignment="true" applyProtection="false">
      <alignment horizontal="general" vertical="center" textRotation="0" wrapText="false" indent="0" shrinkToFit="false"/>
      <protection locked="true" hidden="false"/>
    </xf>
    <xf numFmtId="164" fontId="18" fillId="9"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26" fillId="8" borderId="4" xfId="0" applyFont="true" applyBorder="true" applyAlignment="true" applyProtection="false">
      <alignment horizontal="general" vertical="top" textRotation="0" wrapText="true" indent="0" shrinkToFit="false"/>
      <protection locked="true" hidden="false"/>
    </xf>
    <xf numFmtId="167" fontId="5" fillId="7" borderId="1" xfId="0" applyFont="true" applyBorder="true" applyAlignment="true" applyProtection="false">
      <alignment horizontal="general" vertical="top" textRotation="0" wrapText="true" indent="0" shrinkToFit="false"/>
      <protection locked="true" hidden="false"/>
    </xf>
    <xf numFmtId="167" fontId="5" fillId="12" borderId="1" xfId="0" applyFont="true" applyBorder="true" applyAlignment="true" applyProtection="false">
      <alignment horizontal="general" vertical="top" textRotation="0" wrapText="true" indent="0" shrinkToFit="false"/>
      <protection locked="true" hidden="false"/>
    </xf>
    <xf numFmtId="164" fontId="5" fillId="9" borderId="0" xfId="0" applyFont="true" applyBorder="false" applyAlignment="true" applyProtection="false">
      <alignment horizontal="general" vertical="center" textRotation="0" wrapText="true" indent="0" shrinkToFit="false"/>
      <protection locked="true" hidden="false"/>
    </xf>
    <xf numFmtId="164" fontId="11" fillId="4" borderId="0" xfId="0" applyFont="true" applyBorder="fals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8" fillId="13"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18" fillId="14" borderId="1" xfId="0" applyFont="true" applyBorder="true" applyAlignment="true" applyProtection="false">
      <alignment horizontal="general" vertical="top" textRotation="0" wrapText="true" indent="0" shrinkToFit="false"/>
      <protection locked="true" hidden="false"/>
    </xf>
    <xf numFmtId="167" fontId="5" fillId="14" borderId="1" xfId="0" applyFont="true" applyBorder="true" applyAlignment="true" applyProtection="false">
      <alignment horizontal="general" vertical="top" textRotation="0" wrapText="true" indent="0" shrinkToFit="false"/>
      <protection locked="true" hidden="false"/>
    </xf>
    <xf numFmtId="164" fontId="17" fillId="8" borderId="4" xfId="0" applyFont="true" applyBorder="true" applyAlignment="true" applyProtection="false">
      <alignment horizontal="general" vertical="top" textRotation="0" wrapText="true" indent="0" shrinkToFit="false"/>
      <protection locked="true" hidden="false"/>
    </xf>
    <xf numFmtId="164" fontId="27" fillId="11" borderId="4" xfId="0" applyFont="true" applyBorder="true" applyAlignment="true" applyProtection="false">
      <alignment horizontal="general" vertical="top" textRotation="0" wrapText="true" indent="0" shrinkToFit="false"/>
      <protection locked="true" hidden="false"/>
    </xf>
    <xf numFmtId="164" fontId="27" fillId="8" borderId="4" xfId="0" applyFont="true" applyBorder="true" applyAlignment="true" applyProtection="false">
      <alignment horizontal="general" vertical="top" textRotation="0" wrapText="true" indent="0" shrinkToFit="false"/>
      <protection locked="true" hidden="false"/>
    </xf>
    <xf numFmtId="164" fontId="20" fillId="7" borderId="0" xfId="0" applyFont="true" applyBorder="true" applyAlignment="true" applyProtection="false">
      <alignment horizontal="general" vertical="top" textRotation="0" wrapText="true" indent="0" shrinkToFit="false"/>
      <protection locked="true" hidden="false"/>
    </xf>
    <xf numFmtId="164" fontId="28" fillId="4" borderId="0" xfId="0" applyFont="true" applyBorder="true" applyAlignment="true" applyProtection="false">
      <alignment horizontal="center" vertical="center" textRotation="0" wrapText="true" indent="0" shrinkToFit="false"/>
      <protection locked="true" hidden="false"/>
    </xf>
    <xf numFmtId="164" fontId="23" fillId="9" borderId="1" xfId="0" applyFont="true" applyBorder="true" applyAlignment="true" applyProtection="false">
      <alignment horizontal="general" vertical="top" textRotation="0" wrapText="true" indent="0" shrinkToFit="false"/>
      <protection locked="true" hidden="false"/>
    </xf>
    <xf numFmtId="164" fontId="20" fillId="9" borderId="1" xfId="0" applyFont="true" applyBorder="true" applyAlignment="true" applyProtection="false">
      <alignment horizontal="general" vertical="top" textRotation="0" wrapText="true" indent="0" shrinkToFit="false"/>
      <protection locked="true" hidden="false"/>
    </xf>
    <xf numFmtId="164" fontId="23" fillId="11" borderId="1" xfId="0" applyFont="true" applyBorder="true" applyAlignment="true" applyProtection="false">
      <alignment horizontal="general" vertical="top" textRotation="0" wrapText="true" indent="0" shrinkToFit="false"/>
      <protection locked="true" hidden="false"/>
    </xf>
    <xf numFmtId="164" fontId="20" fillId="11" borderId="1" xfId="0" applyFont="true" applyBorder="true" applyAlignment="true" applyProtection="false">
      <alignment horizontal="general" vertical="top" textRotation="0" wrapText="true" indent="0" shrinkToFit="false"/>
      <protection locked="true" hidden="false"/>
    </xf>
    <xf numFmtId="164" fontId="23" fillId="10" borderId="1" xfId="0" applyFont="true" applyBorder="true" applyAlignment="true" applyProtection="false">
      <alignment horizontal="general" vertical="top" textRotation="0" wrapText="true" indent="0" shrinkToFit="false"/>
      <protection locked="true" hidden="false"/>
    </xf>
    <xf numFmtId="164" fontId="20" fillId="10" borderId="1" xfId="0" applyFont="true" applyBorder="true" applyAlignment="true" applyProtection="false">
      <alignment horizontal="general" vertical="top" textRotation="0" wrapText="true" indent="0" shrinkToFit="false"/>
      <protection locked="true" hidden="false"/>
    </xf>
    <xf numFmtId="164" fontId="23" fillId="14" borderId="1" xfId="0" applyFont="true" applyBorder="true" applyAlignment="true" applyProtection="false">
      <alignment horizontal="general" vertical="top" textRotation="0" wrapText="true" indent="0" shrinkToFit="false"/>
      <protection locked="true" hidden="false"/>
    </xf>
    <xf numFmtId="164" fontId="20" fillId="14"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15" borderId="1" xfId="0" applyFont="false" applyBorder="true" applyAlignment="tru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29" fillId="8" borderId="4" xfId="0" applyFont="true" applyBorder="true" applyAlignment="true" applyProtection="false">
      <alignment horizontal="general" vertical="top" textRotation="0" wrapText="true" indent="0" shrinkToFit="false"/>
      <protection locked="true" hidden="false"/>
    </xf>
    <xf numFmtId="164" fontId="29" fillId="11" borderId="4" xfId="0" applyFont="true" applyBorder="true" applyAlignment="true" applyProtection="false">
      <alignment horizontal="general" vertical="top"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7" fontId="31" fillId="0"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left"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true" indent="0" shrinkToFit="false"/>
      <protection locked="true" hidden="false"/>
    </xf>
    <xf numFmtId="169" fontId="5" fillId="9"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1B5E20"/>
      <rgbColor rgb="FF120A0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6A4A20"/>
      <rgbColor rgb="FF333399"/>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1F0F"/>
    <pageSetUpPr fitToPage="false"/>
  </sheetPr>
  <dimension ref="A1:X7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26"/>
    <col collapsed="false" customWidth="true" hidden="false" outlineLevel="0" max="5" min="5" style="1" width="20"/>
    <col collapsed="false" customWidth="true" hidden="false" outlineLevel="0" max="7" min="6" style="1" width="16"/>
    <col collapsed="false" customWidth="true" hidden="false" outlineLevel="0" max="8" min="8" style="1" width="20"/>
    <col collapsed="false" customWidth="true" hidden="false" outlineLevel="0" max="9" min="9" style="1" width="11"/>
    <col collapsed="false" customWidth="true" hidden="false" outlineLevel="0" max="10" min="10" style="1" width="24"/>
    <col collapsed="false" customWidth="true" hidden="false" outlineLevel="0" max="12" min="11" style="1" width="7"/>
    <col collapsed="false" customWidth="true" hidden="false" outlineLevel="0" max="13" min="13" style="1" width="8"/>
    <col collapsed="false" customWidth="true" hidden="false" outlineLevel="0" max="14" min="14" style="1" width="12"/>
    <col collapsed="false" customWidth="true" hidden="false" outlineLevel="0" max="15" min="15" style="1" width="20"/>
    <col collapsed="false" customWidth="true" hidden="false" outlineLevel="0" max="16" min="16" style="1" width="26"/>
    <col collapsed="false" customWidth="true" hidden="false" outlineLevel="0" max="17" min="17" style="1" width="8"/>
    <col collapsed="false" customWidth="true" hidden="false" outlineLevel="0" max="18" min="18" style="1" width="26"/>
    <col collapsed="false" customWidth="true" hidden="false" outlineLevel="0" max="20" min="19" style="1" width="50"/>
    <col collapsed="false" customWidth="true" hidden="false" outlineLevel="0" max="21" min="21" style="1" width="40"/>
    <col collapsed="false" customWidth="true" hidden="false" outlineLevel="0" max="22" min="22" style="1" width="24"/>
    <col collapsed="false" customWidth="true" hidden="false" outlineLevel="0" max="23" min="23" style="1" width="10"/>
    <col collapsed="false" customWidth="true" hidden="false" outlineLevel="0" max="24" min="24" style="1" width="46"/>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ustomFormat="false" ht="20.25" hidden="false" customHeight="true" outlineLevel="0" collapsed="false">
      <c r="A2" s="3" t="n">
        <v>46025</v>
      </c>
      <c r="B2" s="4" t="s">
        <v>24</v>
      </c>
      <c r="C2" s="4" t="s">
        <v>25</v>
      </c>
      <c r="D2" s="4" t="s">
        <v>26</v>
      </c>
      <c r="E2" s="4" t="s">
        <v>27</v>
      </c>
      <c r="F2" s="4" t="s">
        <v>28</v>
      </c>
      <c r="G2" s="4" t="s">
        <v>27</v>
      </c>
      <c r="H2" s="4" t="s">
        <v>29</v>
      </c>
      <c r="I2" s="4" t="s">
        <v>30</v>
      </c>
      <c r="J2" s="4" t="s">
        <v>31</v>
      </c>
      <c r="K2" s="4" t="s">
        <v>27</v>
      </c>
      <c r="L2" s="4" t="s">
        <v>27</v>
      </c>
      <c r="M2" s="4" t="s">
        <v>27</v>
      </c>
      <c r="N2" s="4" t="s">
        <v>27</v>
      </c>
      <c r="O2" s="4" t="s">
        <v>27</v>
      </c>
      <c r="P2" s="4" t="s">
        <v>27</v>
      </c>
      <c r="Q2" s="4" t="s">
        <v>27</v>
      </c>
      <c r="R2" s="4" t="s">
        <v>32</v>
      </c>
      <c r="S2" s="4" t="s">
        <v>33</v>
      </c>
      <c r="T2" s="4" t="s">
        <v>34</v>
      </c>
      <c r="U2" s="4" t="s">
        <v>35</v>
      </c>
      <c r="V2" s="4" t="s">
        <v>36</v>
      </c>
      <c r="W2" s="5" t="str">
        <f aca="false">IF(OR(ISNUMBER(SEARCH("gesha",G2)),ISNUMBER(SEARCH("geisha",G2))),"⭐ GESHA","")</f>
        <v/>
      </c>
      <c r="X2" s="4" t="s">
        <v>37</v>
      </c>
    </row>
    <row r="3" customFormat="false" ht="20.25" hidden="false" customHeight="true" outlineLevel="0" collapsed="false">
      <c r="A3" s="3" t="n">
        <v>46026</v>
      </c>
      <c r="B3" s="4" t="s">
        <v>24</v>
      </c>
      <c r="C3" s="4" t="s">
        <v>25</v>
      </c>
      <c r="D3" s="4" t="s">
        <v>38</v>
      </c>
      <c r="E3" s="4" t="s">
        <v>27</v>
      </c>
      <c r="F3" s="4" t="s">
        <v>39</v>
      </c>
      <c r="G3" s="4" t="s">
        <v>27</v>
      </c>
      <c r="H3" s="4" t="s">
        <v>40</v>
      </c>
      <c r="I3" s="4" t="s">
        <v>41</v>
      </c>
      <c r="J3" s="4" t="s">
        <v>42</v>
      </c>
      <c r="K3" s="4" t="s">
        <v>27</v>
      </c>
      <c r="L3" s="4" t="s">
        <v>27</v>
      </c>
      <c r="M3" s="4" t="s">
        <v>27</v>
      </c>
      <c r="N3" s="4" t="s">
        <v>27</v>
      </c>
      <c r="O3" s="4" t="s">
        <v>27</v>
      </c>
      <c r="P3" s="4" t="s">
        <v>27</v>
      </c>
      <c r="Q3" s="4" t="s">
        <v>27</v>
      </c>
      <c r="R3" s="4" t="s">
        <v>43</v>
      </c>
      <c r="S3" s="4" t="s">
        <v>44</v>
      </c>
      <c r="T3" s="4" t="s">
        <v>45</v>
      </c>
      <c r="U3" s="4" t="s">
        <v>35</v>
      </c>
      <c r="V3" s="4" t="s">
        <v>36</v>
      </c>
      <c r="W3" s="5" t="str">
        <f aca="false">IF(OR(ISNUMBER(SEARCH("gesha",G3)),ISNUMBER(SEARCH("geisha",G3))),"⭐ GESHA","")</f>
        <v/>
      </c>
      <c r="X3" s="4" t="s">
        <v>37</v>
      </c>
    </row>
    <row r="4" customFormat="false" ht="20.25" hidden="false" customHeight="true" outlineLevel="0" collapsed="false">
      <c r="A4" s="3" t="n">
        <v>46026</v>
      </c>
      <c r="B4" s="4" t="s">
        <v>24</v>
      </c>
      <c r="C4" s="4" t="s">
        <v>25</v>
      </c>
      <c r="D4" s="4" t="s">
        <v>46</v>
      </c>
      <c r="E4" s="4" t="s">
        <v>27</v>
      </c>
      <c r="F4" s="4" t="s">
        <v>27</v>
      </c>
      <c r="G4" s="4" t="s">
        <v>27</v>
      </c>
      <c r="H4" s="4" t="s">
        <v>27</v>
      </c>
      <c r="I4" s="4" t="s">
        <v>47</v>
      </c>
      <c r="J4" s="4" t="s">
        <v>48</v>
      </c>
      <c r="K4" s="4" t="s">
        <v>27</v>
      </c>
      <c r="L4" s="4" t="s">
        <v>27</v>
      </c>
      <c r="M4" s="4" t="s">
        <v>27</v>
      </c>
      <c r="N4" s="4" t="s">
        <v>27</v>
      </c>
      <c r="O4" s="4" t="s">
        <v>27</v>
      </c>
      <c r="P4" s="4" t="s">
        <v>27</v>
      </c>
      <c r="Q4" s="4" t="s">
        <v>27</v>
      </c>
      <c r="R4" s="4" t="s">
        <v>49</v>
      </c>
      <c r="S4" s="4" t="s">
        <v>50</v>
      </c>
      <c r="T4" s="4" t="s">
        <v>51</v>
      </c>
      <c r="U4" s="4" t="s">
        <v>35</v>
      </c>
      <c r="V4" s="4" t="s">
        <v>36</v>
      </c>
      <c r="W4" s="5" t="str">
        <f aca="false">IF(OR(ISNUMBER(SEARCH("gesha",G4)),ISNUMBER(SEARCH("geisha",G4))),"⭐ GESHA","")</f>
        <v/>
      </c>
      <c r="X4" s="4" t="s">
        <v>37</v>
      </c>
    </row>
    <row r="5" customFormat="false" ht="69" hidden="false" customHeight="true" outlineLevel="0" collapsed="false">
      <c r="A5" s="3" t="n">
        <v>46063</v>
      </c>
      <c r="B5" s="4" t="s">
        <v>52</v>
      </c>
      <c r="C5" s="4" t="s">
        <v>53</v>
      </c>
      <c r="D5" s="4" t="s">
        <v>54</v>
      </c>
      <c r="E5" s="4" t="s">
        <v>55</v>
      </c>
      <c r="F5" s="4" t="s">
        <v>56</v>
      </c>
      <c r="G5" s="4" t="s">
        <v>57</v>
      </c>
      <c r="H5" s="4" t="s">
        <v>58</v>
      </c>
      <c r="I5" s="4" t="s">
        <v>27</v>
      </c>
      <c r="J5" s="4" t="s">
        <v>59</v>
      </c>
      <c r="K5" s="4" t="n">
        <v>15</v>
      </c>
      <c r="L5" s="4" t="n">
        <v>240</v>
      </c>
      <c r="M5" s="4" t="s">
        <v>60</v>
      </c>
      <c r="N5" s="4" t="s">
        <v>61</v>
      </c>
      <c r="O5" s="4" t="s">
        <v>27</v>
      </c>
      <c r="P5" s="4" t="s">
        <v>62</v>
      </c>
      <c r="Q5" s="6" t="n">
        <v>8</v>
      </c>
      <c r="R5" s="4" t="s">
        <v>63</v>
      </c>
      <c r="S5" s="4" t="s">
        <v>64</v>
      </c>
      <c r="T5" s="4" t="s">
        <v>65</v>
      </c>
      <c r="U5" s="4" t="s">
        <v>66</v>
      </c>
      <c r="V5" s="4" t="s">
        <v>67</v>
      </c>
      <c r="W5" s="5" t="str">
        <f aca="false">IF(OR(ISNUMBER(SEARCH("gesha",G5)),ISNUMBER(SEARCH("geisha",G5))),"⭐ GESHA","")</f>
        <v/>
      </c>
      <c r="X5" s="4" t="s">
        <v>68</v>
      </c>
    </row>
    <row r="6" customFormat="false" ht="20.25" hidden="false" customHeight="true" outlineLevel="0" collapsed="false">
      <c r="A6" s="3" t="n">
        <v>46082</v>
      </c>
      <c r="B6" s="4" t="s">
        <v>69</v>
      </c>
      <c r="C6" s="4" t="s">
        <v>70</v>
      </c>
      <c r="D6" s="4" t="s">
        <v>71</v>
      </c>
      <c r="E6" s="4" t="s">
        <v>72</v>
      </c>
      <c r="F6" s="4" t="s">
        <v>73</v>
      </c>
      <c r="G6" s="4" t="s">
        <v>27</v>
      </c>
      <c r="H6" s="4" t="s">
        <v>74</v>
      </c>
      <c r="I6" s="4" t="s">
        <v>75</v>
      </c>
      <c r="J6" s="4" t="s">
        <v>31</v>
      </c>
      <c r="K6" s="4" t="s">
        <v>27</v>
      </c>
      <c r="L6" s="4" t="s">
        <v>27</v>
      </c>
      <c r="M6" s="4" t="s">
        <v>27</v>
      </c>
      <c r="N6" s="4" t="s">
        <v>27</v>
      </c>
      <c r="O6" s="4" t="s">
        <v>27</v>
      </c>
      <c r="P6" s="4" t="s">
        <v>27</v>
      </c>
      <c r="Q6" s="4" t="s">
        <v>27</v>
      </c>
      <c r="R6" s="4" t="s">
        <v>27</v>
      </c>
      <c r="S6" s="4" t="s">
        <v>76</v>
      </c>
      <c r="T6" s="4" t="s">
        <v>77</v>
      </c>
      <c r="U6" s="4" t="s">
        <v>78</v>
      </c>
      <c r="V6" s="4" t="s">
        <v>36</v>
      </c>
      <c r="W6" s="5" t="str">
        <f aca="false">IF(OR(ISNUMBER(SEARCH("gesha",G6)),ISNUMBER(SEARCH("geisha",G6))),"⭐ GESHA","")</f>
        <v/>
      </c>
      <c r="X6" s="4" t="s">
        <v>79</v>
      </c>
    </row>
    <row r="7" customFormat="false" ht="20.25" hidden="false" customHeight="true" outlineLevel="0" collapsed="false">
      <c r="A7" s="3" t="n">
        <v>46089</v>
      </c>
      <c r="B7" s="4" t="s">
        <v>69</v>
      </c>
      <c r="C7" s="4" t="s">
        <v>80</v>
      </c>
      <c r="D7" s="4" t="s">
        <v>81</v>
      </c>
      <c r="E7" s="4" t="s">
        <v>82</v>
      </c>
      <c r="F7" s="4" t="s">
        <v>73</v>
      </c>
      <c r="G7" s="4" t="s">
        <v>27</v>
      </c>
      <c r="H7" s="4" t="s">
        <v>83</v>
      </c>
      <c r="I7" s="4" t="s">
        <v>41</v>
      </c>
      <c r="J7" s="4" t="s">
        <v>31</v>
      </c>
      <c r="K7" s="4" t="s">
        <v>27</v>
      </c>
      <c r="L7" s="4" t="s">
        <v>27</v>
      </c>
      <c r="M7" s="4" t="s">
        <v>27</v>
      </c>
      <c r="N7" s="4" t="s">
        <v>27</v>
      </c>
      <c r="O7" s="4" t="s">
        <v>27</v>
      </c>
      <c r="P7" s="4" t="s">
        <v>27</v>
      </c>
      <c r="Q7" s="4" t="s">
        <v>27</v>
      </c>
      <c r="R7" s="4" t="s">
        <v>84</v>
      </c>
      <c r="S7" s="4" t="s">
        <v>85</v>
      </c>
      <c r="T7" s="4" t="s">
        <v>86</v>
      </c>
      <c r="U7" s="4" t="s">
        <v>78</v>
      </c>
      <c r="V7" s="4" t="s">
        <v>36</v>
      </c>
      <c r="W7" s="5" t="str">
        <f aca="false">IF(OR(ISNUMBER(SEARCH("gesha",G7)),ISNUMBER(SEARCH("geisha",G7))),"⭐ GESHA","")</f>
        <v/>
      </c>
      <c r="X7" s="4" t="s">
        <v>87</v>
      </c>
    </row>
    <row r="8" customFormat="false" ht="20.25" hidden="false" customHeight="true" outlineLevel="0" collapsed="false">
      <c r="A8" s="3" t="n">
        <v>46099</v>
      </c>
      <c r="B8" s="4" t="s">
        <v>52</v>
      </c>
      <c r="C8" s="4" t="s">
        <v>88</v>
      </c>
      <c r="D8" s="4" t="s">
        <v>89</v>
      </c>
      <c r="E8" s="4" t="s">
        <v>27</v>
      </c>
      <c r="F8" s="4" t="s">
        <v>90</v>
      </c>
      <c r="G8" s="4" t="s">
        <v>91</v>
      </c>
      <c r="H8" s="4" t="s">
        <v>29</v>
      </c>
      <c r="I8" s="4" t="s">
        <v>30</v>
      </c>
      <c r="J8" s="4" t="s">
        <v>42</v>
      </c>
      <c r="K8" s="4" t="s">
        <v>27</v>
      </c>
      <c r="L8" s="4" t="s">
        <v>27</v>
      </c>
      <c r="M8" s="4" t="s">
        <v>27</v>
      </c>
      <c r="N8" s="4" t="s">
        <v>27</v>
      </c>
      <c r="O8" s="4" t="s">
        <v>27</v>
      </c>
      <c r="P8" s="4" t="s">
        <v>27</v>
      </c>
      <c r="Q8" s="4" t="s">
        <v>27</v>
      </c>
      <c r="R8" s="4" t="s">
        <v>27</v>
      </c>
      <c r="S8" s="4" t="s">
        <v>92</v>
      </c>
      <c r="T8" s="4" t="s">
        <v>93</v>
      </c>
      <c r="U8" s="4" t="s">
        <v>94</v>
      </c>
      <c r="V8" s="4" t="s">
        <v>95</v>
      </c>
      <c r="W8" s="5" t="str">
        <f aca="false">IF(OR(ISNUMBER(SEARCH("gesha",G8)),ISNUMBER(SEARCH("geisha",G8))),"⭐ GESHA","")</f>
        <v/>
      </c>
      <c r="X8" s="4" t="s">
        <v>96</v>
      </c>
    </row>
    <row r="9" customFormat="false" ht="20.25" hidden="false" customHeight="true" outlineLevel="0" collapsed="false">
      <c r="A9" s="3" t="n">
        <v>46099</v>
      </c>
      <c r="B9" s="4" t="s">
        <v>52</v>
      </c>
      <c r="C9" s="4" t="s">
        <v>88</v>
      </c>
      <c r="D9" s="4" t="s">
        <v>97</v>
      </c>
      <c r="E9" s="4" t="s">
        <v>27</v>
      </c>
      <c r="F9" s="4" t="s">
        <v>98</v>
      </c>
      <c r="G9" s="4" t="s">
        <v>99</v>
      </c>
      <c r="H9" s="4" t="s">
        <v>58</v>
      </c>
      <c r="I9" s="4" t="s">
        <v>100</v>
      </c>
      <c r="J9" s="4" t="s">
        <v>101</v>
      </c>
      <c r="K9" s="4" t="s">
        <v>27</v>
      </c>
      <c r="L9" s="4" t="s">
        <v>27</v>
      </c>
      <c r="M9" s="4" t="s">
        <v>27</v>
      </c>
      <c r="N9" s="4" t="s">
        <v>27</v>
      </c>
      <c r="O9" s="4" t="s">
        <v>27</v>
      </c>
      <c r="P9" s="4" t="s">
        <v>27</v>
      </c>
      <c r="Q9" s="4" t="s">
        <v>27</v>
      </c>
      <c r="R9" s="4" t="s">
        <v>27</v>
      </c>
      <c r="S9" s="4" t="s">
        <v>102</v>
      </c>
      <c r="T9" s="4" t="s">
        <v>103</v>
      </c>
      <c r="U9" s="4" t="s">
        <v>94</v>
      </c>
      <c r="V9" s="4" t="s">
        <v>95</v>
      </c>
      <c r="W9" s="5" t="str">
        <f aca="false">IF(OR(ISNUMBER(SEARCH("gesha",G9)),ISNUMBER(SEARCH("geisha",G9))),"⭐ GESHA","")</f>
        <v/>
      </c>
      <c r="X9" s="4" t="s">
        <v>96</v>
      </c>
    </row>
    <row r="10" customFormat="false" ht="20.25" hidden="false" customHeight="true" outlineLevel="0" collapsed="false">
      <c r="A10" s="3" t="n">
        <v>46099</v>
      </c>
      <c r="B10" s="4" t="s">
        <v>52</v>
      </c>
      <c r="C10" s="4" t="s">
        <v>104</v>
      </c>
      <c r="D10" s="4" t="s">
        <v>105</v>
      </c>
      <c r="E10" s="4" t="s">
        <v>27</v>
      </c>
      <c r="F10" s="4" t="s">
        <v>98</v>
      </c>
      <c r="G10" s="4" t="s">
        <v>106</v>
      </c>
      <c r="H10" s="4" t="s">
        <v>107</v>
      </c>
      <c r="I10" s="4" t="s">
        <v>30</v>
      </c>
      <c r="J10" s="4" t="s">
        <v>42</v>
      </c>
      <c r="K10" s="4" t="s">
        <v>27</v>
      </c>
      <c r="L10" s="4" t="s">
        <v>27</v>
      </c>
      <c r="M10" s="4" t="s">
        <v>27</v>
      </c>
      <c r="N10" s="4" t="s">
        <v>27</v>
      </c>
      <c r="O10" s="4" t="s">
        <v>27</v>
      </c>
      <c r="P10" s="4" t="s">
        <v>27</v>
      </c>
      <c r="Q10" s="6" t="n">
        <v>15</v>
      </c>
      <c r="R10" s="4" t="s">
        <v>108</v>
      </c>
      <c r="S10" s="4" t="s">
        <v>109</v>
      </c>
      <c r="T10" s="4" t="s">
        <v>110</v>
      </c>
      <c r="U10" s="4" t="s">
        <v>94</v>
      </c>
      <c r="V10" s="4" t="s">
        <v>95</v>
      </c>
      <c r="W10" s="5" t="str">
        <f aca="false">IF(OR(ISNUMBER(SEARCH("gesha",G10)),ISNUMBER(SEARCH("geisha",G10))),"⭐ GESHA","")</f>
        <v/>
      </c>
      <c r="X10" s="4" t="s">
        <v>111</v>
      </c>
    </row>
    <row r="11" customFormat="false" ht="20.25" hidden="false" customHeight="true" outlineLevel="0" collapsed="false">
      <c r="A11" s="3" t="n">
        <v>46099</v>
      </c>
      <c r="B11" s="4" t="s">
        <v>52</v>
      </c>
      <c r="C11" s="4" t="s">
        <v>104</v>
      </c>
      <c r="D11" s="4" t="s">
        <v>46</v>
      </c>
      <c r="E11" s="4" t="s">
        <v>27</v>
      </c>
      <c r="F11" s="4" t="s">
        <v>27</v>
      </c>
      <c r="G11" s="4" t="s">
        <v>27</v>
      </c>
      <c r="H11" s="4" t="s">
        <v>27</v>
      </c>
      <c r="I11" s="4" t="s">
        <v>27</v>
      </c>
      <c r="J11" s="4" t="s">
        <v>112</v>
      </c>
      <c r="K11" s="4" t="s">
        <v>27</v>
      </c>
      <c r="L11" s="4" t="s">
        <v>27</v>
      </c>
      <c r="M11" s="4" t="s">
        <v>27</v>
      </c>
      <c r="N11" s="4" t="s">
        <v>27</v>
      </c>
      <c r="O11" s="4" t="s">
        <v>27</v>
      </c>
      <c r="P11" s="4" t="s">
        <v>27</v>
      </c>
      <c r="Q11" s="4" t="s">
        <v>27</v>
      </c>
      <c r="R11" s="4" t="s">
        <v>27</v>
      </c>
      <c r="S11" s="4" t="s">
        <v>113</v>
      </c>
      <c r="T11" s="4" t="s">
        <v>114</v>
      </c>
      <c r="U11" s="4" t="s">
        <v>94</v>
      </c>
      <c r="V11" s="4" t="s">
        <v>95</v>
      </c>
      <c r="W11" s="5" t="str">
        <f aca="false">IF(OR(ISNUMBER(SEARCH("gesha",G11)),ISNUMBER(SEARCH("geisha",G11))),"⭐ GESHA","")</f>
        <v/>
      </c>
      <c r="X11" s="4" t="s">
        <v>111</v>
      </c>
    </row>
    <row r="12" customFormat="false" ht="20.25" hidden="false" customHeight="true" outlineLevel="0" collapsed="false">
      <c r="A12" s="3" t="n">
        <v>46103</v>
      </c>
      <c r="B12" s="4" t="s">
        <v>52</v>
      </c>
      <c r="C12" s="4" t="s">
        <v>115</v>
      </c>
      <c r="D12" s="4" t="s">
        <v>116</v>
      </c>
      <c r="E12" s="4" t="s">
        <v>117</v>
      </c>
      <c r="F12" s="4" t="s">
        <v>118</v>
      </c>
      <c r="G12" s="4" t="s">
        <v>119</v>
      </c>
      <c r="H12" s="4" t="s">
        <v>58</v>
      </c>
      <c r="I12" s="4" t="s">
        <v>30</v>
      </c>
      <c r="J12" s="4" t="s">
        <v>59</v>
      </c>
      <c r="K12" s="4" t="s">
        <v>27</v>
      </c>
      <c r="L12" s="4" t="s">
        <v>27</v>
      </c>
      <c r="M12" s="4" t="s">
        <v>120</v>
      </c>
      <c r="N12" s="4" t="s">
        <v>27</v>
      </c>
      <c r="O12" s="4" t="s">
        <v>27</v>
      </c>
      <c r="P12" s="4" t="s">
        <v>27</v>
      </c>
      <c r="Q12" s="4" t="s">
        <v>27</v>
      </c>
      <c r="R12" s="4" t="s">
        <v>121</v>
      </c>
      <c r="S12" s="4" t="s">
        <v>122</v>
      </c>
      <c r="T12" s="4" t="s">
        <v>123</v>
      </c>
      <c r="U12" s="4" t="s">
        <v>124</v>
      </c>
      <c r="V12" s="4" t="s">
        <v>36</v>
      </c>
      <c r="W12" s="5" t="str">
        <f aca="false">IF(OR(ISNUMBER(SEARCH("gesha",G12)),ISNUMBER(SEARCH("geisha",G12))),"⭐ GESHA","")</f>
        <v/>
      </c>
      <c r="X12" s="4" t="s">
        <v>125</v>
      </c>
    </row>
    <row r="13" customFormat="false" ht="20.25" hidden="false" customHeight="true" outlineLevel="0" collapsed="false">
      <c r="A13" s="3" t="n">
        <v>46105</v>
      </c>
      <c r="B13" s="4" t="s">
        <v>52</v>
      </c>
      <c r="C13" s="4" t="s">
        <v>53</v>
      </c>
      <c r="D13" s="4" t="s">
        <v>126</v>
      </c>
      <c r="E13" s="4" t="s">
        <v>27</v>
      </c>
      <c r="F13" s="4" t="s">
        <v>127</v>
      </c>
      <c r="G13" s="4" t="s">
        <v>128</v>
      </c>
      <c r="H13" s="4" t="s">
        <v>58</v>
      </c>
      <c r="I13" s="4" t="s">
        <v>27</v>
      </c>
      <c r="J13" s="4" t="s">
        <v>42</v>
      </c>
      <c r="K13" s="4" t="s">
        <v>27</v>
      </c>
      <c r="L13" s="4" t="s">
        <v>27</v>
      </c>
      <c r="M13" s="4" t="s">
        <v>27</v>
      </c>
      <c r="N13" s="4" t="s">
        <v>27</v>
      </c>
      <c r="O13" s="4" t="s">
        <v>27</v>
      </c>
      <c r="P13" s="4" t="s">
        <v>27</v>
      </c>
      <c r="Q13" s="6" t="n">
        <v>9</v>
      </c>
      <c r="R13" s="4" t="s">
        <v>129</v>
      </c>
      <c r="S13" s="4" t="s">
        <v>130</v>
      </c>
      <c r="T13" s="4" t="s">
        <v>131</v>
      </c>
      <c r="U13" s="4" t="s">
        <v>124</v>
      </c>
      <c r="V13" s="4" t="s">
        <v>36</v>
      </c>
      <c r="W13" s="5" t="str">
        <f aca="false">IF(OR(ISNUMBER(SEARCH("gesha",G13)),ISNUMBER(SEARCH("geisha",G13))),"⭐ GESHA","")</f>
        <v/>
      </c>
      <c r="X13" s="4" t="s">
        <v>68</v>
      </c>
    </row>
    <row r="14" customFormat="false" ht="20.25" hidden="false" customHeight="true" outlineLevel="0" collapsed="false">
      <c r="A14" s="3" t="n">
        <v>46106</v>
      </c>
      <c r="B14" s="4" t="s">
        <v>52</v>
      </c>
      <c r="C14" s="4" t="s">
        <v>132</v>
      </c>
      <c r="D14" s="4" t="s">
        <v>133</v>
      </c>
      <c r="E14" s="4" t="s">
        <v>134</v>
      </c>
      <c r="F14" s="4" t="s">
        <v>135</v>
      </c>
      <c r="G14" s="4" t="s">
        <v>27</v>
      </c>
      <c r="H14" s="4" t="s">
        <v>136</v>
      </c>
      <c r="I14" s="4" t="s">
        <v>47</v>
      </c>
      <c r="J14" s="4" t="s">
        <v>137</v>
      </c>
      <c r="K14" s="4" t="s">
        <v>27</v>
      </c>
      <c r="L14" s="4" t="s">
        <v>27</v>
      </c>
      <c r="M14" s="4" t="s">
        <v>27</v>
      </c>
      <c r="N14" s="4" t="s">
        <v>27</v>
      </c>
      <c r="O14" s="4" t="s">
        <v>27</v>
      </c>
      <c r="P14" s="4" t="s">
        <v>27</v>
      </c>
      <c r="Q14" s="4" t="s">
        <v>27</v>
      </c>
      <c r="R14" s="4" t="s">
        <v>138</v>
      </c>
      <c r="S14" s="4" t="s">
        <v>139</v>
      </c>
      <c r="T14" s="4" t="s">
        <v>140</v>
      </c>
      <c r="U14" s="4" t="s">
        <v>124</v>
      </c>
      <c r="V14" s="4" t="s">
        <v>36</v>
      </c>
      <c r="W14" s="5" t="str">
        <f aca="false">IF(OR(ISNUMBER(SEARCH("gesha",G14)),ISNUMBER(SEARCH("geisha",G14))),"⭐ GESHA","")</f>
        <v/>
      </c>
      <c r="X14" s="4" t="s">
        <v>141</v>
      </c>
    </row>
    <row r="15" customFormat="false" ht="20.25" hidden="false" customHeight="true" outlineLevel="0" collapsed="false">
      <c r="A15" s="3" t="n">
        <v>46108</v>
      </c>
      <c r="B15" s="4" t="s">
        <v>52</v>
      </c>
      <c r="C15" s="4" t="s">
        <v>132</v>
      </c>
      <c r="D15" s="4" t="s">
        <v>142</v>
      </c>
      <c r="E15" s="4" t="s">
        <v>143</v>
      </c>
      <c r="F15" s="4" t="s">
        <v>144</v>
      </c>
      <c r="G15" s="4" t="s">
        <v>145</v>
      </c>
      <c r="H15" s="4" t="s">
        <v>29</v>
      </c>
      <c r="I15" s="4" t="s">
        <v>146</v>
      </c>
      <c r="J15" s="4" t="s">
        <v>147</v>
      </c>
      <c r="K15" s="4" t="n">
        <v>15</v>
      </c>
      <c r="L15" s="4" t="n">
        <v>220</v>
      </c>
      <c r="M15" s="4" t="s">
        <v>148</v>
      </c>
      <c r="N15" s="4" t="s">
        <v>27</v>
      </c>
      <c r="O15" s="4" t="s">
        <v>27</v>
      </c>
      <c r="P15" s="4" t="s">
        <v>149</v>
      </c>
      <c r="Q15" s="4" t="s">
        <v>27</v>
      </c>
      <c r="R15" s="4" t="s">
        <v>150</v>
      </c>
      <c r="S15" s="4" t="s">
        <v>151</v>
      </c>
      <c r="T15" s="4" t="s">
        <v>152</v>
      </c>
      <c r="U15" s="4" t="s">
        <v>124</v>
      </c>
      <c r="V15" s="4" t="s">
        <v>36</v>
      </c>
      <c r="W15" s="5" t="str">
        <f aca="false">IF(OR(ISNUMBER(SEARCH("gesha",G15)),ISNUMBER(SEARCH("geisha",G15))),"⭐ GESHA","")</f>
        <v/>
      </c>
      <c r="X15" s="4" t="s">
        <v>141</v>
      </c>
    </row>
    <row r="16" customFormat="false" ht="20.25" hidden="false" customHeight="true" outlineLevel="0" collapsed="false">
      <c r="A16" s="3" t="n">
        <v>46109</v>
      </c>
      <c r="B16" s="4" t="s">
        <v>52</v>
      </c>
      <c r="C16" s="4" t="s">
        <v>153</v>
      </c>
      <c r="D16" s="4" t="s">
        <v>154</v>
      </c>
      <c r="E16" s="4" t="s">
        <v>27</v>
      </c>
      <c r="F16" s="4" t="s">
        <v>155</v>
      </c>
      <c r="G16" s="4" t="s">
        <v>27</v>
      </c>
      <c r="H16" s="4" t="s">
        <v>29</v>
      </c>
      <c r="I16" s="4" t="s">
        <v>41</v>
      </c>
      <c r="J16" s="4" t="s">
        <v>42</v>
      </c>
      <c r="K16" s="4" t="n">
        <v>15</v>
      </c>
      <c r="L16" s="4" t="n">
        <v>225</v>
      </c>
      <c r="M16" s="4" t="s">
        <v>156</v>
      </c>
      <c r="N16" s="4" t="s">
        <v>27</v>
      </c>
      <c r="O16" s="4" t="s">
        <v>27</v>
      </c>
      <c r="P16" s="4" t="s">
        <v>27</v>
      </c>
      <c r="Q16" s="6" t="n">
        <v>8</v>
      </c>
      <c r="R16" s="4" t="s">
        <v>157</v>
      </c>
      <c r="S16" s="4" t="s">
        <v>158</v>
      </c>
      <c r="T16" s="4" t="s">
        <v>159</v>
      </c>
      <c r="U16" s="4" t="s">
        <v>124</v>
      </c>
      <c r="V16" s="4" t="s">
        <v>36</v>
      </c>
      <c r="W16" s="5" t="str">
        <f aca="false">IF(OR(ISNUMBER(SEARCH("gesha",G16)),ISNUMBER(SEARCH("geisha",G16))),"⭐ GESHA","")</f>
        <v/>
      </c>
      <c r="X16" s="4" t="s">
        <v>160</v>
      </c>
    </row>
    <row r="17" customFormat="false" ht="20.25" hidden="false" customHeight="true" outlineLevel="0" collapsed="false">
      <c r="A17" s="3" t="n">
        <v>46109</v>
      </c>
      <c r="B17" s="4" t="s">
        <v>52</v>
      </c>
      <c r="C17" s="4" t="s">
        <v>153</v>
      </c>
      <c r="D17" s="4" t="s">
        <v>161</v>
      </c>
      <c r="E17" s="4" t="s">
        <v>27</v>
      </c>
      <c r="F17" s="4" t="s">
        <v>162</v>
      </c>
      <c r="G17" s="4" t="s">
        <v>27</v>
      </c>
      <c r="H17" s="4" t="s">
        <v>27</v>
      </c>
      <c r="I17" s="4" t="s">
        <v>27</v>
      </c>
      <c r="J17" s="4" t="s">
        <v>163</v>
      </c>
      <c r="K17" s="4" t="s">
        <v>27</v>
      </c>
      <c r="L17" s="4" t="s">
        <v>27</v>
      </c>
      <c r="M17" s="4" t="s">
        <v>27</v>
      </c>
      <c r="N17" s="4" t="s">
        <v>27</v>
      </c>
      <c r="O17" s="4" t="s">
        <v>27</v>
      </c>
      <c r="P17" s="4" t="s">
        <v>27</v>
      </c>
      <c r="Q17" s="6" t="n">
        <v>5.1</v>
      </c>
      <c r="R17" s="4" t="s">
        <v>164</v>
      </c>
      <c r="S17" s="4" t="s">
        <v>165</v>
      </c>
      <c r="T17" s="4" t="s">
        <v>166</v>
      </c>
      <c r="U17" s="4" t="s">
        <v>124</v>
      </c>
      <c r="V17" s="4" t="s">
        <v>95</v>
      </c>
      <c r="W17" s="5" t="str">
        <f aca="false">IF(OR(ISNUMBER(SEARCH("gesha",G17)),ISNUMBER(SEARCH("geisha",G17))),"⭐ GESHA","")</f>
        <v/>
      </c>
      <c r="X17" s="4" t="s">
        <v>160</v>
      </c>
    </row>
    <row r="18" customFormat="false" ht="20.25" hidden="false" customHeight="true" outlineLevel="0" collapsed="false">
      <c r="A18" s="3" t="n">
        <v>46110</v>
      </c>
      <c r="B18" s="4" t="s">
        <v>52</v>
      </c>
      <c r="C18" s="4" t="s">
        <v>167</v>
      </c>
      <c r="D18" s="4" t="s">
        <v>168</v>
      </c>
      <c r="E18" s="4" t="s">
        <v>169</v>
      </c>
      <c r="F18" s="4" t="s">
        <v>170</v>
      </c>
      <c r="G18" s="4" t="s">
        <v>171</v>
      </c>
      <c r="H18" s="4" t="s">
        <v>58</v>
      </c>
      <c r="I18" s="4" t="s">
        <v>41</v>
      </c>
      <c r="J18" s="4" t="s">
        <v>172</v>
      </c>
      <c r="K18" s="4" t="n">
        <v>15</v>
      </c>
      <c r="L18" s="4" t="n">
        <v>240</v>
      </c>
      <c r="M18" s="4" t="s">
        <v>60</v>
      </c>
      <c r="N18" s="4" t="s">
        <v>173</v>
      </c>
      <c r="O18" s="4" t="s">
        <v>27</v>
      </c>
      <c r="P18" s="4" t="s">
        <v>174</v>
      </c>
      <c r="Q18" s="6" t="n">
        <v>11</v>
      </c>
      <c r="R18" s="4" t="s">
        <v>175</v>
      </c>
      <c r="S18" s="4" t="s">
        <v>176</v>
      </c>
      <c r="T18" s="4" t="s">
        <v>177</v>
      </c>
      <c r="U18" s="4" t="s">
        <v>124</v>
      </c>
      <c r="V18" s="4" t="s">
        <v>95</v>
      </c>
      <c r="W18" s="5" t="str">
        <f aca="false">IF(OR(ISNUMBER(SEARCH("gesha",G18)),ISNUMBER(SEARCH("geisha",G18))),"⭐ GESHA","")</f>
        <v>⭐ GESHA</v>
      </c>
      <c r="X18" s="4" t="s">
        <v>178</v>
      </c>
    </row>
    <row r="19" customFormat="false" ht="30" hidden="false" customHeight="true" outlineLevel="0" collapsed="false">
      <c r="A19" s="3" t="n">
        <v>46113</v>
      </c>
      <c r="B19" s="4" t="s">
        <v>52</v>
      </c>
      <c r="C19" s="4" t="s">
        <v>179</v>
      </c>
      <c r="D19" s="4" t="s">
        <v>180</v>
      </c>
      <c r="E19" s="4" t="s">
        <v>181</v>
      </c>
      <c r="F19" s="4" t="s">
        <v>182</v>
      </c>
      <c r="G19" s="4" t="s">
        <v>183</v>
      </c>
      <c r="H19" s="4" t="s">
        <v>58</v>
      </c>
      <c r="I19" s="4" t="s">
        <v>30</v>
      </c>
      <c r="J19" s="4" t="s">
        <v>59</v>
      </c>
      <c r="K19" s="4" t="n">
        <v>15</v>
      </c>
      <c r="L19" s="4" t="n">
        <v>230</v>
      </c>
      <c r="M19" s="4" t="s">
        <v>184</v>
      </c>
      <c r="N19" s="4" t="s">
        <v>185</v>
      </c>
      <c r="O19" s="4" t="s">
        <v>27</v>
      </c>
      <c r="P19" s="4" t="s">
        <v>186</v>
      </c>
      <c r="Q19" s="6" t="n">
        <v>9</v>
      </c>
      <c r="R19" s="4" t="s">
        <v>187</v>
      </c>
      <c r="S19" s="4" t="s">
        <v>188</v>
      </c>
      <c r="T19" s="4" t="s">
        <v>189</v>
      </c>
      <c r="U19" s="4" t="s">
        <v>190</v>
      </c>
      <c r="V19" s="4" t="s">
        <v>36</v>
      </c>
      <c r="W19" s="5" t="str">
        <f aca="false">IF(OR(ISNUMBER(SEARCH("gesha",G19)),ISNUMBER(SEARCH("geisha",G19))),"⭐ GESHA","")</f>
        <v/>
      </c>
      <c r="X19" s="4" t="s">
        <v>191</v>
      </c>
    </row>
    <row r="20" customFormat="false" ht="20.25" hidden="false" customHeight="true" outlineLevel="0" collapsed="false">
      <c r="A20" s="3" t="n">
        <v>46113</v>
      </c>
      <c r="B20" s="4" t="s">
        <v>52</v>
      </c>
      <c r="C20" s="4" t="s">
        <v>192</v>
      </c>
      <c r="D20" s="4" t="s">
        <v>193</v>
      </c>
      <c r="E20" s="4" t="s">
        <v>194</v>
      </c>
      <c r="F20" s="4" t="s">
        <v>195</v>
      </c>
      <c r="G20" s="4" t="s">
        <v>196</v>
      </c>
      <c r="H20" s="4" t="s">
        <v>197</v>
      </c>
      <c r="I20" s="4" t="s">
        <v>146</v>
      </c>
      <c r="J20" s="4" t="s">
        <v>147</v>
      </c>
      <c r="K20" s="4" t="s">
        <v>27</v>
      </c>
      <c r="L20" s="4" t="s">
        <v>27</v>
      </c>
      <c r="M20" s="4" t="s">
        <v>156</v>
      </c>
      <c r="N20" s="4" t="s">
        <v>198</v>
      </c>
      <c r="O20" s="4" t="s">
        <v>27</v>
      </c>
      <c r="P20" s="4" t="s">
        <v>149</v>
      </c>
      <c r="Q20" s="6" t="n">
        <v>12</v>
      </c>
      <c r="R20" s="4" t="s">
        <v>199</v>
      </c>
      <c r="S20" s="4" t="s">
        <v>200</v>
      </c>
      <c r="T20" s="4" t="s">
        <v>201</v>
      </c>
      <c r="U20" s="4" t="s">
        <v>202</v>
      </c>
      <c r="V20" s="4" t="s">
        <v>95</v>
      </c>
      <c r="W20" s="5" t="str">
        <f aca="false">IF(OR(ISNUMBER(SEARCH("gesha",G20)),ISNUMBER(SEARCH("geisha",G20))),"⭐ GESHA","")</f>
        <v>⭐ GESHA</v>
      </c>
      <c r="X20" s="4" t="s">
        <v>203</v>
      </c>
    </row>
    <row r="21" customFormat="false" ht="20.25" hidden="false" customHeight="true" outlineLevel="0" collapsed="false">
      <c r="A21" s="3" t="n">
        <v>46117</v>
      </c>
      <c r="B21" s="4" t="s">
        <v>52</v>
      </c>
      <c r="C21" s="4" t="s">
        <v>167</v>
      </c>
      <c r="D21" s="4" t="s">
        <v>204</v>
      </c>
      <c r="E21" s="4" t="s">
        <v>205</v>
      </c>
      <c r="F21" s="4" t="s">
        <v>206</v>
      </c>
      <c r="G21" s="4" t="s">
        <v>207</v>
      </c>
      <c r="H21" s="4" t="s">
        <v>208</v>
      </c>
      <c r="I21" s="4" t="s">
        <v>27</v>
      </c>
      <c r="J21" s="4" t="s">
        <v>209</v>
      </c>
      <c r="K21" s="4" t="n">
        <v>15</v>
      </c>
      <c r="L21" s="4" t="n">
        <v>225</v>
      </c>
      <c r="M21" s="4" t="s">
        <v>156</v>
      </c>
      <c r="N21" s="4" t="s">
        <v>198</v>
      </c>
      <c r="O21" s="4" t="s">
        <v>27</v>
      </c>
      <c r="P21" s="4" t="s">
        <v>149</v>
      </c>
      <c r="Q21" s="6" t="n">
        <v>12.5</v>
      </c>
      <c r="R21" s="4" t="s">
        <v>210</v>
      </c>
      <c r="S21" s="4" t="s">
        <v>211</v>
      </c>
      <c r="T21" s="4" t="s">
        <v>212</v>
      </c>
      <c r="U21" s="4" t="s">
        <v>213</v>
      </c>
      <c r="V21" s="4" t="s">
        <v>36</v>
      </c>
      <c r="W21" s="5" t="str">
        <f aca="false">IF(OR(ISNUMBER(SEARCH("gesha",G21)),ISNUMBER(SEARCH("geisha",G21))),"⭐ GESHA","")</f>
        <v/>
      </c>
      <c r="X21" s="4" t="s">
        <v>178</v>
      </c>
    </row>
    <row r="22" customFormat="false" ht="30" hidden="false" customHeight="true" outlineLevel="0" collapsed="false">
      <c r="A22" s="3" t="n">
        <v>46117</v>
      </c>
      <c r="B22" s="4" t="s">
        <v>52</v>
      </c>
      <c r="C22" s="4" t="s">
        <v>167</v>
      </c>
      <c r="D22" s="4" t="s">
        <v>214</v>
      </c>
      <c r="E22" s="4" t="s">
        <v>169</v>
      </c>
      <c r="F22" s="4" t="s">
        <v>215</v>
      </c>
      <c r="G22" s="4" t="s">
        <v>171</v>
      </c>
      <c r="H22" s="4" t="s">
        <v>58</v>
      </c>
      <c r="I22" s="4" t="s">
        <v>146</v>
      </c>
      <c r="J22" s="4" t="s">
        <v>209</v>
      </c>
      <c r="K22" s="4" t="n">
        <v>15</v>
      </c>
      <c r="L22" s="4" t="n">
        <v>225</v>
      </c>
      <c r="M22" s="4" t="s">
        <v>156</v>
      </c>
      <c r="N22" s="4" t="s">
        <v>198</v>
      </c>
      <c r="O22" s="4" t="s">
        <v>27</v>
      </c>
      <c r="P22" s="4" t="s">
        <v>149</v>
      </c>
      <c r="Q22" s="6" t="n">
        <v>12.5</v>
      </c>
      <c r="R22" s="4" t="s">
        <v>175</v>
      </c>
      <c r="S22" s="4" t="s">
        <v>216</v>
      </c>
      <c r="T22" s="4" t="s">
        <v>217</v>
      </c>
      <c r="U22" s="4" t="s">
        <v>213</v>
      </c>
      <c r="V22" s="4" t="s">
        <v>36</v>
      </c>
      <c r="W22" s="5" t="str">
        <f aca="false">IF(OR(ISNUMBER(SEARCH("gesha",G22)),ISNUMBER(SEARCH("geisha",G22))),"⭐ GESHA","")</f>
        <v>⭐ GESHA</v>
      </c>
      <c r="X22" s="4" t="s">
        <v>178</v>
      </c>
    </row>
    <row r="23" customFormat="false" ht="20.25" hidden="false" customHeight="true" outlineLevel="0" collapsed="false">
      <c r="A23" s="3" t="n">
        <v>46120</v>
      </c>
      <c r="B23" s="4" t="s">
        <v>52</v>
      </c>
      <c r="C23" s="4" t="s">
        <v>179</v>
      </c>
      <c r="D23" s="4" t="s">
        <v>218</v>
      </c>
      <c r="E23" s="4" t="s">
        <v>219</v>
      </c>
      <c r="F23" s="4" t="s">
        <v>220</v>
      </c>
      <c r="G23" s="4" t="s">
        <v>221</v>
      </c>
      <c r="H23" s="4" t="s">
        <v>29</v>
      </c>
      <c r="I23" s="4" t="s">
        <v>27</v>
      </c>
      <c r="J23" s="4" t="s">
        <v>59</v>
      </c>
      <c r="K23" s="4" t="n">
        <v>15</v>
      </c>
      <c r="L23" s="4" t="n">
        <v>225</v>
      </c>
      <c r="M23" s="4" t="s">
        <v>156</v>
      </c>
      <c r="N23" s="4" t="s">
        <v>27</v>
      </c>
      <c r="O23" s="4" t="s">
        <v>27</v>
      </c>
      <c r="P23" s="4" t="s">
        <v>222</v>
      </c>
      <c r="Q23" s="6" t="n">
        <v>9</v>
      </c>
      <c r="R23" s="4" t="s">
        <v>223</v>
      </c>
      <c r="S23" s="4" t="s">
        <v>224</v>
      </c>
      <c r="T23" s="4" t="s">
        <v>225</v>
      </c>
      <c r="U23" s="4" t="s">
        <v>226</v>
      </c>
      <c r="V23" s="4" t="s">
        <v>95</v>
      </c>
      <c r="W23" s="5" t="str">
        <f aca="false">IF(OR(ISNUMBER(SEARCH("gesha",G23)),ISNUMBER(SEARCH("geisha",G23))),"⭐ GESHA","")</f>
        <v/>
      </c>
      <c r="X23" s="4" t="s">
        <v>191</v>
      </c>
    </row>
    <row r="24" customFormat="false" ht="20.25" hidden="false" customHeight="true" outlineLevel="0" collapsed="false">
      <c r="A24" s="3" t="n">
        <v>46130</v>
      </c>
      <c r="B24" s="4" t="s">
        <v>227</v>
      </c>
      <c r="C24" s="4" t="s">
        <v>228</v>
      </c>
      <c r="D24" s="4" t="s">
        <v>229</v>
      </c>
      <c r="E24" s="4" t="s">
        <v>27</v>
      </c>
      <c r="F24" s="4" t="s">
        <v>27</v>
      </c>
      <c r="G24" s="4" t="s">
        <v>230</v>
      </c>
      <c r="H24" s="4" t="s">
        <v>231</v>
      </c>
      <c r="I24" s="4" t="s">
        <v>27</v>
      </c>
      <c r="J24" s="4" t="s">
        <v>232</v>
      </c>
      <c r="K24" s="4" t="n">
        <v>18</v>
      </c>
      <c r="L24" s="4" t="n">
        <v>277</v>
      </c>
      <c r="M24" s="4" t="s">
        <v>233</v>
      </c>
      <c r="N24" s="4" t="s">
        <v>27</v>
      </c>
      <c r="O24" s="4" t="s">
        <v>234</v>
      </c>
      <c r="P24" s="4" t="s">
        <v>235</v>
      </c>
      <c r="Q24" s="6" t="n">
        <v>11.08</v>
      </c>
      <c r="R24" s="4" t="s">
        <v>236</v>
      </c>
      <c r="S24" s="4" t="s">
        <v>237</v>
      </c>
      <c r="T24" s="4" t="s">
        <v>238</v>
      </c>
      <c r="U24" s="4" t="s">
        <v>27</v>
      </c>
      <c r="V24" s="4" t="s">
        <v>239</v>
      </c>
      <c r="W24" s="5" t="str">
        <f aca="false">IF(OR(ISNUMBER(SEARCH("gesha",G24)),ISNUMBER(SEARCH("geisha",G24))),"⭐ GESHA","")</f>
        <v/>
      </c>
      <c r="X24" s="4" t="s">
        <v>240</v>
      </c>
    </row>
    <row r="25" customFormat="false" ht="20.25" hidden="false" customHeight="true" outlineLevel="0" collapsed="false">
      <c r="A25" s="3" t="n">
        <v>46136</v>
      </c>
      <c r="B25" s="4" t="s">
        <v>52</v>
      </c>
      <c r="C25" s="4" t="s">
        <v>132</v>
      </c>
      <c r="D25" s="4" t="s">
        <v>241</v>
      </c>
      <c r="E25" s="4" t="s">
        <v>27</v>
      </c>
      <c r="F25" s="4" t="s">
        <v>242</v>
      </c>
      <c r="G25" s="4" t="s">
        <v>27</v>
      </c>
      <c r="H25" s="4" t="s">
        <v>243</v>
      </c>
      <c r="I25" s="4" t="s">
        <v>244</v>
      </c>
      <c r="J25" s="4" t="s">
        <v>147</v>
      </c>
      <c r="K25" s="4" t="n">
        <v>16</v>
      </c>
      <c r="L25" s="4" t="n">
        <v>224</v>
      </c>
      <c r="M25" s="4" t="s">
        <v>245</v>
      </c>
      <c r="N25" s="4" t="s">
        <v>246</v>
      </c>
      <c r="O25" s="4" t="s">
        <v>27</v>
      </c>
      <c r="P25" s="4" t="s">
        <v>149</v>
      </c>
      <c r="Q25" s="4" t="s">
        <v>27</v>
      </c>
      <c r="R25" s="4" t="s">
        <v>247</v>
      </c>
      <c r="S25" s="4" t="s">
        <v>248</v>
      </c>
      <c r="T25" s="4" t="s">
        <v>249</v>
      </c>
      <c r="U25" s="4" t="s">
        <v>250</v>
      </c>
      <c r="V25" s="4" t="s">
        <v>36</v>
      </c>
      <c r="W25" s="5" t="str">
        <f aca="false">IF(OR(ISNUMBER(SEARCH("gesha",G25)),ISNUMBER(SEARCH("geisha",G25))),"⭐ GESHA","")</f>
        <v/>
      </c>
      <c r="X25" s="4" t="s">
        <v>141</v>
      </c>
    </row>
    <row r="26" customFormat="false" ht="30" hidden="false" customHeight="true" outlineLevel="0" collapsed="false">
      <c r="A26" s="3" t="n">
        <v>46148</v>
      </c>
      <c r="B26" s="4" t="s">
        <v>52</v>
      </c>
      <c r="C26" s="4" t="s">
        <v>251</v>
      </c>
      <c r="D26" s="4" t="s">
        <v>252</v>
      </c>
      <c r="E26" s="4" t="s">
        <v>27</v>
      </c>
      <c r="F26" s="4" t="s">
        <v>253</v>
      </c>
      <c r="G26" s="4" t="s">
        <v>254</v>
      </c>
      <c r="H26" s="4" t="s">
        <v>29</v>
      </c>
      <c r="I26" s="4" t="s">
        <v>146</v>
      </c>
      <c r="J26" s="4" t="s">
        <v>255</v>
      </c>
      <c r="K26" s="4" t="s">
        <v>27</v>
      </c>
      <c r="L26" s="4" t="s">
        <v>27</v>
      </c>
      <c r="M26" s="4" t="s">
        <v>120</v>
      </c>
      <c r="N26" s="4" t="s">
        <v>27</v>
      </c>
      <c r="O26" s="4" t="s">
        <v>27</v>
      </c>
      <c r="P26" s="4" t="s">
        <v>235</v>
      </c>
      <c r="Q26" s="6" t="n">
        <v>7.5</v>
      </c>
      <c r="R26" s="4" t="s">
        <v>256</v>
      </c>
      <c r="S26" s="4" t="s">
        <v>257</v>
      </c>
      <c r="T26" s="4" t="s">
        <v>258</v>
      </c>
      <c r="U26" s="4" t="s">
        <v>27</v>
      </c>
      <c r="V26" s="4" t="s">
        <v>239</v>
      </c>
      <c r="W26" s="5" t="str">
        <f aca="false">IF(OR(ISNUMBER(SEARCH("gesha",G26)),ISNUMBER(SEARCH("geisha",G26))),"⭐ GESHA","")</f>
        <v/>
      </c>
      <c r="X26" s="4" t="s">
        <v>259</v>
      </c>
    </row>
    <row r="27" customFormat="false" ht="20.25" hidden="false" customHeight="true" outlineLevel="0" collapsed="false">
      <c r="A27" s="3" t="n">
        <v>46148</v>
      </c>
      <c r="B27" s="4" t="s">
        <v>52</v>
      </c>
      <c r="C27" s="4" t="s">
        <v>251</v>
      </c>
      <c r="D27" s="4" t="s">
        <v>260</v>
      </c>
      <c r="E27" s="4" t="s">
        <v>27</v>
      </c>
      <c r="F27" s="4" t="s">
        <v>253</v>
      </c>
      <c r="G27" s="4" t="s">
        <v>261</v>
      </c>
      <c r="H27" s="4" t="s">
        <v>29</v>
      </c>
      <c r="I27" s="4" t="s">
        <v>47</v>
      </c>
      <c r="J27" s="4" t="s">
        <v>137</v>
      </c>
      <c r="K27" s="4" t="s">
        <v>27</v>
      </c>
      <c r="L27" s="4" t="s">
        <v>27</v>
      </c>
      <c r="M27" s="4" t="s">
        <v>27</v>
      </c>
      <c r="N27" s="4" t="s">
        <v>27</v>
      </c>
      <c r="O27" s="4" t="s">
        <v>27</v>
      </c>
      <c r="P27" s="4" t="s">
        <v>27</v>
      </c>
      <c r="Q27" s="4" t="s">
        <v>27</v>
      </c>
      <c r="R27" s="4" t="s">
        <v>262</v>
      </c>
      <c r="S27" s="4" t="s">
        <v>263</v>
      </c>
      <c r="T27" s="4" t="s">
        <v>264</v>
      </c>
      <c r="U27" s="4" t="s">
        <v>27</v>
      </c>
      <c r="V27" s="4" t="s">
        <v>239</v>
      </c>
      <c r="W27" s="5" t="str">
        <f aca="false">IF(OR(ISNUMBER(SEARCH("gesha",G27)),ISNUMBER(SEARCH("geisha",G27))),"⭐ GESHA","")</f>
        <v/>
      </c>
      <c r="X27" s="4" t="s">
        <v>259</v>
      </c>
    </row>
    <row r="28" customFormat="false" ht="20.25" hidden="false" customHeight="true" outlineLevel="0" collapsed="false">
      <c r="A28" s="3" t="n">
        <v>46149</v>
      </c>
      <c r="B28" s="4" t="s">
        <v>52</v>
      </c>
      <c r="C28" s="4" t="s">
        <v>251</v>
      </c>
      <c r="D28" s="4" t="s">
        <v>265</v>
      </c>
      <c r="E28" s="4" t="s">
        <v>27</v>
      </c>
      <c r="F28" s="4" t="s">
        <v>266</v>
      </c>
      <c r="G28" s="4" t="s">
        <v>145</v>
      </c>
      <c r="H28" s="4" t="s">
        <v>58</v>
      </c>
      <c r="I28" s="4" t="s">
        <v>146</v>
      </c>
      <c r="J28" s="4" t="s">
        <v>255</v>
      </c>
      <c r="K28" s="4" t="s">
        <v>27</v>
      </c>
      <c r="L28" s="4" t="s">
        <v>27</v>
      </c>
      <c r="M28" s="4" t="s">
        <v>120</v>
      </c>
      <c r="N28" s="4" t="s">
        <v>27</v>
      </c>
      <c r="O28" s="4" t="s">
        <v>27</v>
      </c>
      <c r="P28" s="4" t="s">
        <v>235</v>
      </c>
      <c r="Q28" s="6" t="n">
        <v>8.5</v>
      </c>
      <c r="R28" s="4" t="s">
        <v>267</v>
      </c>
      <c r="S28" s="4" t="s">
        <v>268</v>
      </c>
      <c r="T28" s="4" t="s">
        <v>269</v>
      </c>
      <c r="U28" s="4" t="s">
        <v>27</v>
      </c>
      <c r="V28" s="4" t="s">
        <v>239</v>
      </c>
      <c r="W28" s="5" t="str">
        <f aca="false">IF(OR(ISNUMBER(SEARCH("gesha",G28)),ISNUMBER(SEARCH("geisha",G28))),"⭐ GESHA","")</f>
        <v/>
      </c>
      <c r="X28" s="4" t="s">
        <v>259</v>
      </c>
    </row>
    <row r="29" customFormat="false" ht="30" hidden="false" customHeight="true" outlineLevel="0" collapsed="false">
      <c r="A29" s="3" t="n">
        <v>46149</v>
      </c>
      <c r="B29" s="4" t="s">
        <v>52</v>
      </c>
      <c r="C29" s="4" t="s">
        <v>251</v>
      </c>
      <c r="D29" s="4" t="s">
        <v>270</v>
      </c>
      <c r="E29" s="4" t="s">
        <v>27</v>
      </c>
      <c r="F29" s="4" t="s">
        <v>135</v>
      </c>
      <c r="G29" s="4" t="s">
        <v>271</v>
      </c>
      <c r="H29" s="4" t="s">
        <v>272</v>
      </c>
      <c r="I29" s="4" t="s">
        <v>47</v>
      </c>
      <c r="J29" s="4" t="s">
        <v>273</v>
      </c>
      <c r="K29" s="4" t="s">
        <v>27</v>
      </c>
      <c r="L29" s="4" t="s">
        <v>27</v>
      </c>
      <c r="M29" s="4" t="s">
        <v>274</v>
      </c>
      <c r="N29" s="4" t="s">
        <v>27</v>
      </c>
      <c r="O29" s="4" t="s">
        <v>27</v>
      </c>
      <c r="P29" s="4" t="s">
        <v>27</v>
      </c>
      <c r="Q29" s="4" t="s">
        <v>27</v>
      </c>
      <c r="R29" s="4" t="s">
        <v>275</v>
      </c>
      <c r="S29" s="4" t="s">
        <v>276</v>
      </c>
      <c r="T29" s="4" t="s">
        <v>277</v>
      </c>
      <c r="U29" s="4" t="s">
        <v>27</v>
      </c>
      <c r="V29" s="4" t="s">
        <v>239</v>
      </c>
      <c r="W29" s="5" t="str">
        <f aca="false">IF(OR(ISNUMBER(SEARCH("gesha",G29)),ISNUMBER(SEARCH("geisha",G29))),"⭐ GESHA","")</f>
        <v/>
      </c>
      <c r="X29" s="4" t="s">
        <v>259</v>
      </c>
    </row>
    <row r="30" customFormat="false" ht="49.5" hidden="false" customHeight="true" outlineLevel="0" collapsed="false">
      <c r="A30" s="3" t="n">
        <v>46150</v>
      </c>
      <c r="B30" s="4" t="s">
        <v>52</v>
      </c>
      <c r="C30" s="4" t="s">
        <v>278</v>
      </c>
      <c r="D30" s="4" t="s">
        <v>279</v>
      </c>
      <c r="E30" s="4" t="s">
        <v>27</v>
      </c>
      <c r="F30" s="4" t="s">
        <v>118</v>
      </c>
      <c r="G30" s="4" t="s">
        <v>280</v>
      </c>
      <c r="H30" s="4" t="s">
        <v>58</v>
      </c>
      <c r="I30" s="4" t="s">
        <v>146</v>
      </c>
      <c r="J30" s="4" t="s">
        <v>281</v>
      </c>
      <c r="K30" s="4" t="n">
        <v>15</v>
      </c>
      <c r="L30" s="4" t="n">
        <v>240</v>
      </c>
      <c r="M30" s="4" t="s">
        <v>60</v>
      </c>
      <c r="N30" s="4" t="s">
        <v>27</v>
      </c>
      <c r="O30" s="4" t="s">
        <v>27</v>
      </c>
      <c r="P30" s="4" t="s">
        <v>282</v>
      </c>
      <c r="Q30" s="4" t="s">
        <v>27</v>
      </c>
      <c r="R30" s="4" t="s">
        <v>283</v>
      </c>
      <c r="S30" s="4" t="s">
        <v>284</v>
      </c>
      <c r="T30" s="4" t="s">
        <v>285</v>
      </c>
      <c r="U30" s="4" t="s">
        <v>286</v>
      </c>
      <c r="V30" s="4" t="s">
        <v>287</v>
      </c>
      <c r="W30" s="5" t="str">
        <f aca="false">IF(OR(ISNUMBER(SEARCH("gesha",G30)),ISNUMBER(SEARCH("geisha",G30))),"⭐ GESHA","")</f>
        <v/>
      </c>
      <c r="X30" s="4" t="s">
        <v>288</v>
      </c>
    </row>
    <row r="31" customFormat="false" ht="59.25" hidden="false" customHeight="true" outlineLevel="0" collapsed="false">
      <c r="A31" s="3" t="n">
        <v>46154</v>
      </c>
      <c r="B31" s="4" t="s">
        <v>52</v>
      </c>
      <c r="C31" s="4" t="s">
        <v>289</v>
      </c>
      <c r="D31" s="4" t="s">
        <v>290</v>
      </c>
      <c r="E31" s="4" t="s">
        <v>291</v>
      </c>
      <c r="F31" s="4" t="s">
        <v>292</v>
      </c>
      <c r="G31" s="4" t="s">
        <v>293</v>
      </c>
      <c r="H31" s="4" t="s">
        <v>294</v>
      </c>
      <c r="I31" s="4" t="s">
        <v>30</v>
      </c>
      <c r="J31" s="4" t="s">
        <v>295</v>
      </c>
      <c r="K31" s="4" t="n">
        <v>15</v>
      </c>
      <c r="L31" s="4" t="n">
        <v>225</v>
      </c>
      <c r="M31" s="4" t="s">
        <v>60</v>
      </c>
      <c r="N31" s="4" t="s">
        <v>296</v>
      </c>
      <c r="O31" s="4" t="s">
        <v>27</v>
      </c>
      <c r="P31" s="4" t="s">
        <v>282</v>
      </c>
      <c r="Q31" s="6" t="n">
        <v>9.5</v>
      </c>
      <c r="R31" s="4" t="s">
        <v>297</v>
      </c>
      <c r="S31" s="4" t="s">
        <v>298</v>
      </c>
      <c r="T31" s="4" t="s">
        <v>299</v>
      </c>
      <c r="U31" s="4" t="s">
        <v>300</v>
      </c>
      <c r="V31" s="4" t="s">
        <v>287</v>
      </c>
      <c r="W31" s="5" t="str">
        <f aca="false">IF(OR(ISNUMBER(SEARCH("gesha",G31)),ISNUMBER(SEARCH("geisha",G31))),"⭐ GESHA","")</f>
        <v/>
      </c>
      <c r="X31" s="4" t="s">
        <v>301</v>
      </c>
    </row>
    <row r="32" customFormat="false" ht="49.5" hidden="false" customHeight="true" outlineLevel="0" collapsed="false">
      <c r="A32" s="3" t="n">
        <v>46155</v>
      </c>
      <c r="B32" s="4" t="s">
        <v>52</v>
      </c>
      <c r="C32" s="4" t="s">
        <v>302</v>
      </c>
      <c r="D32" s="4" t="s">
        <v>303</v>
      </c>
      <c r="E32" s="4" t="s">
        <v>304</v>
      </c>
      <c r="F32" s="4" t="s">
        <v>98</v>
      </c>
      <c r="G32" s="4" t="s">
        <v>305</v>
      </c>
      <c r="H32" s="4" t="s">
        <v>29</v>
      </c>
      <c r="I32" s="4" t="s">
        <v>146</v>
      </c>
      <c r="J32" s="4" t="s">
        <v>306</v>
      </c>
      <c r="K32" s="4" t="n">
        <v>15</v>
      </c>
      <c r="L32" s="4" t="n">
        <v>255</v>
      </c>
      <c r="M32" s="4" t="s">
        <v>120</v>
      </c>
      <c r="N32" s="4" t="s">
        <v>27</v>
      </c>
      <c r="O32" s="4" t="s">
        <v>27</v>
      </c>
      <c r="P32" s="4" t="s">
        <v>307</v>
      </c>
      <c r="Q32" s="6" t="n">
        <v>9</v>
      </c>
      <c r="R32" s="4" t="s">
        <v>308</v>
      </c>
      <c r="S32" s="4" t="s">
        <v>309</v>
      </c>
      <c r="T32" s="4" t="s">
        <v>310</v>
      </c>
      <c r="U32" s="4" t="s">
        <v>311</v>
      </c>
      <c r="V32" s="4" t="s">
        <v>287</v>
      </c>
      <c r="W32" s="5" t="str">
        <f aca="false">IF(OR(ISNUMBER(SEARCH("gesha",G32)),ISNUMBER(SEARCH("geisha",G32))),"⭐ GESHA","")</f>
        <v/>
      </c>
      <c r="X32" s="4" t="s">
        <v>312</v>
      </c>
    </row>
    <row r="33" customFormat="false" ht="69" hidden="false" customHeight="true" outlineLevel="0" collapsed="false">
      <c r="A33" s="3" t="n">
        <v>46157</v>
      </c>
      <c r="B33" s="4" t="s">
        <v>52</v>
      </c>
      <c r="C33" s="4" t="s">
        <v>278</v>
      </c>
      <c r="D33" s="4" t="s">
        <v>313</v>
      </c>
      <c r="E33" s="4" t="s">
        <v>314</v>
      </c>
      <c r="F33" s="4" t="s">
        <v>315</v>
      </c>
      <c r="G33" s="4" t="s">
        <v>316</v>
      </c>
      <c r="H33" s="4" t="s">
        <v>74</v>
      </c>
      <c r="I33" s="4" t="s">
        <v>30</v>
      </c>
      <c r="J33" s="4" t="s">
        <v>281</v>
      </c>
      <c r="K33" s="4" t="n">
        <v>15</v>
      </c>
      <c r="L33" s="4" t="n">
        <v>240</v>
      </c>
      <c r="M33" s="4" t="s">
        <v>60</v>
      </c>
      <c r="N33" s="4" t="s">
        <v>317</v>
      </c>
      <c r="O33" s="4" t="s">
        <v>27</v>
      </c>
      <c r="P33" s="4" t="s">
        <v>282</v>
      </c>
      <c r="Q33" s="6" t="n">
        <v>8.5</v>
      </c>
      <c r="R33" s="4" t="s">
        <v>318</v>
      </c>
      <c r="S33" s="4" t="s">
        <v>319</v>
      </c>
      <c r="T33" s="4" t="s">
        <v>320</v>
      </c>
      <c r="U33" s="4" t="s">
        <v>321</v>
      </c>
      <c r="V33" s="4" t="s">
        <v>287</v>
      </c>
      <c r="W33" s="5" t="str">
        <f aca="false">IF(OR(ISNUMBER(SEARCH("gesha",G33)),ISNUMBER(SEARCH("geisha",G33))),"⭐ GESHA","")</f>
        <v/>
      </c>
      <c r="X33" s="4" t="s">
        <v>288</v>
      </c>
    </row>
    <row r="34" customFormat="false" ht="78.75" hidden="false" customHeight="true" outlineLevel="0" collapsed="false">
      <c r="A34" s="3" t="n">
        <v>46158</v>
      </c>
      <c r="B34" s="4" t="s">
        <v>52</v>
      </c>
      <c r="C34" s="4" t="s">
        <v>322</v>
      </c>
      <c r="D34" s="4" t="s">
        <v>323</v>
      </c>
      <c r="E34" s="4" t="s">
        <v>323</v>
      </c>
      <c r="F34" s="4" t="s">
        <v>220</v>
      </c>
      <c r="G34" s="4" t="s">
        <v>171</v>
      </c>
      <c r="H34" s="4" t="s">
        <v>58</v>
      </c>
      <c r="I34" s="4" t="s">
        <v>30</v>
      </c>
      <c r="J34" s="4" t="s">
        <v>324</v>
      </c>
      <c r="K34" s="4" t="n">
        <v>15</v>
      </c>
      <c r="L34" s="4" t="n">
        <v>230</v>
      </c>
      <c r="M34" s="4" t="s">
        <v>184</v>
      </c>
      <c r="N34" s="4" t="s">
        <v>325</v>
      </c>
      <c r="O34" s="4" t="s">
        <v>27</v>
      </c>
      <c r="P34" s="4" t="s">
        <v>326</v>
      </c>
      <c r="Q34" s="6" t="n">
        <v>14</v>
      </c>
      <c r="R34" s="4" t="s">
        <v>327</v>
      </c>
      <c r="S34" s="4" t="s">
        <v>328</v>
      </c>
      <c r="T34" s="4" t="s">
        <v>329</v>
      </c>
      <c r="U34" s="4" t="s">
        <v>330</v>
      </c>
      <c r="V34" s="4" t="s">
        <v>287</v>
      </c>
      <c r="W34" s="5" t="str">
        <f aca="false">IF(OR(ISNUMBER(SEARCH("gesha",G34)),ISNUMBER(SEARCH("geisha",G34))),"⭐ GESHA","")</f>
        <v>⭐ GESHA</v>
      </c>
      <c r="X34" s="4" t="s">
        <v>331</v>
      </c>
    </row>
    <row r="35" customFormat="false" ht="69" hidden="false" customHeight="true" outlineLevel="0" collapsed="false">
      <c r="A35" s="3" t="n">
        <v>46161</v>
      </c>
      <c r="B35" s="4" t="s">
        <v>52</v>
      </c>
      <c r="C35" s="4" t="s">
        <v>332</v>
      </c>
      <c r="D35" s="4" t="s">
        <v>333</v>
      </c>
      <c r="E35" s="4" t="s">
        <v>334</v>
      </c>
      <c r="F35" s="4" t="s">
        <v>335</v>
      </c>
      <c r="G35" s="4" t="s">
        <v>196</v>
      </c>
      <c r="H35" s="4" t="s">
        <v>58</v>
      </c>
      <c r="I35" s="4" t="s">
        <v>30</v>
      </c>
      <c r="J35" s="4" t="s">
        <v>336</v>
      </c>
      <c r="K35" s="4" t="n">
        <v>15</v>
      </c>
      <c r="L35" s="4" t="n">
        <v>225</v>
      </c>
      <c r="M35" s="4" t="s">
        <v>156</v>
      </c>
      <c r="N35" s="4" t="s">
        <v>337</v>
      </c>
      <c r="O35" s="4" t="s">
        <v>27</v>
      </c>
      <c r="P35" s="4" t="s">
        <v>338</v>
      </c>
      <c r="Q35" s="6" t="n">
        <v>18</v>
      </c>
      <c r="R35" s="4" t="s">
        <v>339</v>
      </c>
      <c r="S35" s="4" t="s">
        <v>340</v>
      </c>
      <c r="T35" s="4" t="s">
        <v>341</v>
      </c>
      <c r="U35" s="4" t="s">
        <v>342</v>
      </c>
      <c r="V35" s="4" t="s">
        <v>287</v>
      </c>
      <c r="W35" s="5" t="str">
        <f aca="false">IF(OR(ISNUMBER(SEARCH("gesha",G35)),ISNUMBER(SEARCH("geisha",G35))),"⭐ GESHA","")</f>
        <v>⭐ GESHA</v>
      </c>
      <c r="X35" s="4" t="s">
        <v>343</v>
      </c>
    </row>
    <row r="36" customFormat="false" ht="98.25" hidden="false" customHeight="true" outlineLevel="0" collapsed="false">
      <c r="A36" s="3" t="n">
        <v>46167</v>
      </c>
      <c r="B36" s="4" t="s">
        <v>52</v>
      </c>
      <c r="C36" s="4" t="s">
        <v>344</v>
      </c>
      <c r="D36" s="4" t="s">
        <v>345</v>
      </c>
      <c r="E36" s="4" t="s">
        <v>346</v>
      </c>
      <c r="F36" s="4" t="s">
        <v>347</v>
      </c>
      <c r="G36" s="4" t="s">
        <v>348</v>
      </c>
      <c r="H36" s="4" t="s">
        <v>58</v>
      </c>
      <c r="I36" s="4" t="s">
        <v>349</v>
      </c>
      <c r="J36" s="4" t="s">
        <v>350</v>
      </c>
      <c r="K36" s="4" t="n">
        <v>17</v>
      </c>
      <c r="L36" s="4" t="n">
        <v>270</v>
      </c>
      <c r="M36" s="4" t="s">
        <v>60</v>
      </c>
      <c r="N36" s="4" t="s">
        <v>27</v>
      </c>
      <c r="O36" s="4" t="s">
        <v>27</v>
      </c>
      <c r="P36" s="4" t="s">
        <v>351</v>
      </c>
      <c r="Q36" s="4" t="n">
        <v>10</v>
      </c>
      <c r="R36" s="4" t="s">
        <v>352</v>
      </c>
      <c r="S36" s="4" t="s">
        <v>353</v>
      </c>
      <c r="T36" s="4" t="s">
        <v>354</v>
      </c>
      <c r="U36" s="4" t="s">
        <v>355</v>
      </c>
      <c r="V36" s="4" t="s">
        <v>356</v>
      </c>
      <c r="W36" s="5" t="str">
        <f aca="false">IF(OR(ISNUMBER(SEARCH("gesha",G36)),ISNUMBER(SEARCH("geisha",G36))),"⭐ GESHA","")</f>
        <v/>
      </c>
      <c r="X36" s="4" t="s">
        <v>357</v>
      </c>
    </row>
    <row r="37" customFormat="false" ht="59.25" hidden="false" customHeight="true" outlineLevel="0" collapsed="false">
      <c r="A37" s="3" t="n">
        <v>46167</v>
      </c>
      <c r="B37" s="4" t="s">
        <v>52</v>
      </c>
      <c r="C37" s="4" t="s">
        <v>344</v>
      </c>
      <c r="D37" s="4" t="s">
        <v>358</v>
      </c>
      <c r="E37" s="4" t="s">
        <v>359</v>
      </c>
      <c r="F37" s="4" t="s">
        <v>360</v>
      </c>
      <c r="G37" s="4" t="s">
        <v>361</v>
      </c>
      <c r="H37" s="4" t="s">
        <v>58</v>
      </c>
      <c r="I37" s="4" t="s">
        <v>27</v>
      </c>
      <c r="J37" s="4" t="s">
        <v>362</v>
      </c>
      <c r="K37" s="4" t="s">
        <v>27</v>
      </c>
      <c r="L37" s="4" t="s">
        <v>27</v>
      </c>
      <c r="M37" s="4" t="s">
        <v>363</v>
      </c>
      <c r="N37" s="4" t="s">
        <v>27</v>
      </c>
      <c r="O37" s="4" t="s">
        <v>364</v>
      </c>
      <c r="P37" s="4" t="s">
        <v>365</v>
      </c>
      <c r="Q37" s="4" t="n">
        <v>9</v>
      </c>
      <c r="R37" s="4" t="s">
        <v>366</v>
      </c>
      <c r="S37" s="4" t="s">
        <v>367</v>
      </c>
      <c r="T37" s="4" t="s">
        <v>368</v>
      </c>
      <c r="U37" s="4" t="s">
        <v>369</v>
      </c>
      <c r="V37" s="4" t="s">
        <v>356</v>
      </c>
      <c r="W37" s="5" t="str">
        <f aca="false">IF(OR(ISNUMBER(SEARCH("gesha",G37)),ISNUMBER(SEARCH("geisha",G37))),"⭐ GESHA","")</f>
        <v/>
      </c>
      <c r="X37" s="4" t="s">
        <v>357</v>
      </c>
    </row>
    <row r="38" customFormat="false" ht="78.75" hidden="false" customHeight="true" outlineLevel="0" collapsed="false">
      <c r="A38" s="3" t="n">
        <v>46168</v>
      </c>
      <c r="B38" s="4" t="s">
        <v>52</v>
      </c>
      <c r="C38" s="4" t="s">
        <v>370</v>
      </c>
      <c r="D38" s="4" t="s">
        <v>371</v>
      </c>
      <c r="E38" s="4" t="s">
        <v>372</v>
      </c>
      <c r="F38" s="4" t="s">
        <v>220</v>
      </c>
      <c r="G38" s="4" t="s">
        <v>373</v>
      </c>
      <c r="H38" s="4" t="s">
        <v>374</v>
      </c>
      <c r="I38" s="4" t="s">
        <v>146</v>
      </c>
      <c r="J38" s="4" t="s">
        <v>375</v>
      </c>
      <c r="K38" s="4" t="n">
        <v>15</v>
      </c>
      <c r="L38" s="4" t="n">
        <v>240</v>
      </c>
      <c r="M38" s="4" t="s">
        <v>60</v>
      </c>
      <c r="N38" s="4" t="s">
        <v>325</v>
      </c>
      <c r="O38" s="4" t="s">
        <v>376</v>
      </c>
      <c r="P38" s="4" t="s">
        <v>377</v>
      </c>
      <c r="Q38" s="6" t="n">
        <v>12</v>
      </c>
      <c r="R38" s="4" t="s">
        <v>378</v>
      </c>
      <c r="S38" s="4" t="s">
        <v>379</v>
      </c>
      <c r="T38" s="4" t="s">
        <v>380</v>
      </c>
      <c r="U38" s="4" t="s">
        <v>381</v>
      </c>
      <c r="V38" s="4" t="s">
        <v>382</v>
      </c>
      <c r="W38" s="5" t="str">
        <f aca="false">IF(OR(ISNUMBER(SEARCH("gesha",G38)),ISNUMBER(SEARCH("geisha",G38))),"⭐ GESHA","")</f>
        <v/>
      </c>
      <c r="X38" s="4" t="s">
        <v>383</v>
      </c>
    </row>
    <row r="39" customFormat="false" ht="88.5" hidden="false" customHeight="true" outlineLevel="0" collapsed="false">
      <c r="A39" s="3" t="n">
        <v>46183</v>
      </c>
      <c r="B39" s="4" t="s">
        <v>52</v>
      </c>
      <c r="C39" s="4" t="s">
        <v>251</v>
      </c>
      <c r="D39" s="4" t="s">
        <v>384</v>
      </c>
      <c r="E39" s="4" t="s">
        <v>385</v>
      </c>
      <c r="F39" s="4" t="s">
        <v>118</v>
      </c>
      <c r="G39" s="4" t="s">
        <v>386</v>
      </c>
      <c r="H39" s="4" t="s">
        <v>58</v>
      </c>
      <c r="I39" s="4" t="s">
        <v>146</v>
      </c>
      <c r="J39" s="4" t="s">
        <v>255</v>
      </c>
      <c r="K39" s="4" t="s">
        <v>27</v>
      </c>
      <c r="L39" s="4" t="s">
        <v>27</v>
      </c>
      <c r="M39" s="4" t="s">
        <v>120</v>
      </c>
      <c r="N39" s="4" t="s">
        <v>27</v>
      </c>
      <c r="O39" s="4" t="s">
        <v>27</v>
      </c>
      <c r="P39" s="4" t="s">
        <v>387</v>
      </c>
      <c r="Q39" s="6" t="n">
        <v>7.5</v>
      </c>
      <c r="R39" s="4" t="s">
        <v>388</v>
      </c>
      <c r="S39" s="4" t="s">
        <v>389</v>
      </c>
      <c r="T39" s="4" t="s">
        <v>390</v>
      </c>
      <c r="U39" s="4" t="s">
        <v>391</v>
      </c>
      <c r="V39" s="4" t="s">
        <v>392</v>
      </c>
      <c r="W39" s="5" t="str">
        <f aca="false">IF(OR(ISNUMBER(SEARCH("gesha",G39)),ISNUMBER(SEARCH("geisha",G39))),"⭐ GESHA","")</f>
        <v/>
      </c>
      <c r="X39" s="4" t="s">
        <v>259</v>
      </c>
    </row>
    <row r="40" customFormat="false" ht="59.25" hidden="false" customHeight="true" outlineLevel="0" collapsed="false">
      <c r="A40" s="3" t="n">
        <v>46186</v>
      </c>
      <c r="B40" s="4" t="s">
        <v>52</v>
      </c>
      <c r="C40" s="4" t="s">
        <v>289</v>
      </c>
      <c r="D40" s="4" t="s">
        <v>393</v>
      </c>
      <c r="E40" s="4" t="s">
        <v>394</v>
      </c>
      <c r="F40" s="4" t="s">
        <v>395</v>
      </c>
      <c r="G40" s="4" t="s">
        <v>348</v>
      </c>
      <c r="H40" s="4" t="s">
        <v>136</v>
      </c>
      <c r="I40" s="4" t="s">
        <v>146</v>
      </c>
      <c r="J40" s="4" t="s">
        <v>281</v>
      </c>
      <c r="K40" s="4" t="s">
        <v>27</v>
      </c>
      <c r="L40" s="4" t="s">
        <v>27</v>
      </c>
      <c r="M40" s="4" t="s">
        <v>27</v>
      </c>
      <c r="N40" s="4" t="s">
        <v>27</v>
      </c>
      <c r="O40" s="4" t="s">
        <v>27</v>
      </c>
      <c r="P40" s="4" t="s">
        <v>307</v>
      </c>
      <c r="Q40" s="6" t="n">
        <v>9.27</v>
      </c>
      <c r="R40" s="4" t="s">
        <v>396</v>
      </c>
      <c r="S40" s="4" t="s">
        <v>397</v>
      </c>
      <c r="T40" s="4" t="s">
        <v>398</v>
      </c>
      <c r="U40" s="4" t="s">
        <v>399</v>
      </c>
      <c r="V40" s="4" t="s">
        <v>400</v>
      </c>
      <c r="W40" s="5" t="str">
        <f aca="false">IF(OR(ISNUMBER(SEARCH("gesha",G40)),ISNUMBER(SEARCH("geisha",G40))),"⭐ GESHA","")</f>
        <v/>
      </c>
      <c r="X40" s="4" t="s">
        <v>301</v>
      </c>
    </row>
    <row r="41" customFormat="false" ht="49.5" hidden="false" customHeight="true" outlineLevel="0" collapsed="false">
      <c r="A41" s="3" t="n">
        <v>46187</v>
      </c>
      <c r="B41" s="4" t="s">
        <v>52</v>
      </c>
      <c r="C41" s="4" t="s">
        <v>401</v>
      </c>
      <c r="D41" s="4" t="s">
        <v>402</v>
      </c>
      <c r="E41" s="4" t="s">
        <v>403</v>
      </c>
      <c r="F41" s="4" t="s">
        <v>118</v>
      </c>
      <c r="G41" s="4" t="s">
        <v>171</v>
      </c>
      <c r="H41" s="4" t="s">
        <v>404</v>
      </c>
      <c r="I41" s="4" t="s">
        <v>405</v>
      </c>
      <c r="J41" s="4" t="s">
        <v>406</v>
      </c>
      <c r="K41" s="4" t="n">
        <v>15</v>
      </c>
      <c r="L41" s="4" t="n">
        <v>210</v>
      </c>
      <c r="M41" s="4" t="s">
        <v>245</v>
      </c>
      <c r="N41" s="4" t="s">
        <v>407</v>
      </c>
      <c r="O41" s="4" t="s">
        <v>408</v>
      </c>
      <c r="P41" s="4" t="s">
        <v>409</v>
      </c>
      <c r="Q41" s="6" t="n">
        <v>15</v>
      </c>
      <c r="R41" s="4" t="s">
        <v>410</v>
      </c>
      <c r="S41" s="4" t="s">
        <v>411</v>
      </c>
      <c r="T41" s="4" t="s">
        <v>412</v>
      </c>
      <c r="U41" s="4" t="s">
        <v>413</v>
      </c>
      <c r="V41" s="4" t="s">
        <v>414</v>
      </c>
      <c r="W41" s="5" t="str">
        <f aca="false">IF(OR(ISNUMBER(SEARCH("gesha",G41)),ISNUMBER(SEARCH("geisha",G41))),"⭐ GESHA","")</f>
        <v>⭐ GESHA</v>
      </c>
      <c r="X41" s="4" t="s">
        <v>415</v>
      </c>
    </row>
    <row r="42" customFormat="false" ht="39.75" hidden="false" customHeight="true" outlineLevel="0" collapsed="false">
      <c r="A42" s="3" t="n">
        <v>46192</v>
      </c>
      <c r="B42" s="4" t="s">
        <v>52</v>
      </c>
      <c r="C42" s="4" t="s">
        <v>416</v>
      </c>
      <c r="D42" s="4" t="s">
        <v>417</v>
      </c>
      <c r="E42" s="4" t="s">
        <v>418</v>
      </c>
      <c r="F42" s="4" t="s">
        <v>419</v>
      </c>
      <c r="G42" s="4" t="s">
        <v>420</v>
      </c>
      <c r="H42" s="4" t="s">
        <v>421</v>
      </c>
      <c r="I42" s="4" t="s">
        <v>30</v>
      </c>
      <c r="J42" s="4" t="s">
        <v>422</v>
      </c>
      <c r="K42" s="4" t="n">
        <v>13</v>
      </c>
      <c r="L42" s="4" t="n">
        <v>190</v>
      </c>
      <c r="M42" s="4" t="s">
        <v>148</v>
      </c>
      <c r="N42" s="4" t="s">
        <v>423</v>
      </c>
      <c r="O42" s="4" t="s">
        <v>27</v>
      </c>
      <c r="P42" s="4" t="s">
        <v>424</v>
      </c>
      <c r="Q42" s="6" t="n">
        <v>13</v>
      </c>
      <c r="R42" s="4" t="s">
        <v>425</v>
      </c>
      <c r="S42" s="4" t="s">
        <v>426</v>
      </c>
      <c r="T42" s="4" t="s">
        <v>427</v>
      </c>
      <c r="U42" s="4" t="s">
        <v>428</v>
      </c>
      <c r="V42" s="4" t="s">
        <v>429</v>
      </c>
      <c r="W42" s="5" t="str">
        <f aca="false">IF(OR(ISNUMBER(SEARCH("gesha",G42)),ISNUMBER(SEARCH("geisha",G42))),"⭐ GESHA","")</f>
        <v/>
      </c>
      <c r="X42" s="4" t="s">
        <v>430</v>
      </c>
    </row>
    <row r="43" customFormat="false" ht="59.25" hidden="false" customHeight="true" outlineLevel="0" collapsed="false">
      <c r="A43" s="3" t="n">
        <v>46192</v>
      </c>
      <c r="B43" s="4" t="s">
        <v>52</v>
      </c>
      <c r="C43" s="4" t="s">
        <v>431</v>
      </c>
      <c r="D43" s="4" t="s">
        <v>432</v>
      </c>
      <c r="E43" s="4" t="s">
        <v>433</v>
      </c>
      <c r="F43" s="4" t="s">
        <v>434</v>
      </c>
      <c r="G43" s="4" t="s">
        <v>171</v>
      </c>
      <c r="H43" s="4" t="s">
        <v>58</v>
      </c>
      <c r="I43" s="4" t="s">
        <v>27</v>
      </c>
      <c r="J43" s="4" t="s">
        <v>435</v>
      </c>
      <c r="K43" s="4" t="n">
        <v>15</v>
      </c>
      <c r="L43" s="4" t="n">
        <v>210</v>
      </c>
      <c r="M43" s="4" t="s">
        <v>245</v>
      </c>
      <c r="N43" s="4" t="s">
        <v>436</v>
      </c>
      <c r="O43" s="4" t="s">
        <v>27</v>
      </c>
      <c r="P43" s="4" t="s">
        <v>437</v>
      </c>
      <c r="Q43" s="6" t="n">
        <v>13</v>
      </c>
      <c r="R43" s="4" t="s">
        <v>438</v>
      </c>
      <c r="S43" s="4" t="s">
        <v>439</v>
      </c>
      <c r="T43" s="4" t="s">
        <v>440</v>
      </c>
      <c r="U43" s="4" t="s">
        <v>441</v>
      </c>
      <c r="V43" s="4" t="s">
        <v>429</v>
      </c>
      <c r="W43" s="5" t="str">
        <f aca="false">IF(OR(ISNUMBER(SEARCH("gesha",G43)),ISNUMBER(SEARCH("geisha",G43))),"⭐ GESHA","")</f>
        <v>⭐ GESHA</v>
      </c>
      <c r="X43" s="4" t="s">
        <v>442</v>
      </c>
    </row>
    <row r="44" customFormat="false" ht="49.5" hidden="false" customHeight="true" outlineLevel="0" collapsed="false">
      <c r="A44" s="3" t="n">
        <v>46194</v>
      </c>
      <c r="B44" s="4" t="s">
        <v>52</v>
      </c>
      <c r="C44" s="4" t="s">
        <v>443</v>
      </c>
      <c r="D44" s="4" t="s">
        <v>444</v>
      </c>
      <c r="E44" s="4" t="s">
        <v>445</v>
      </c>
      <c r="F44" s="4" t="s">
        <v>446</v>
      </c>
      <c r="G44" s="4" t="s">
        <v>447</v>
      </c>
      <c r="H44" s="4" t="s">
        <v>58</v>
      </c>
      <c r="I44" s="4" t="s">
        <v>448</v>
      </c>
      <c r="J44" s="4" t="s">
        <v>449</v>
      </c>
      <c r="K44" s="4" t="n">
        <v>13</v>
      </c>
      <c r="L44" s="4" t="n">
        <v>220</v>
      </c>
      <c r="M44" s="4" t="s">
        <v>450</v>
      </c>
      <c r="N44" s="4" t="s">
        <v>246</v>
      </c>
      <c r="O44" s="4" t="s">
        <v>27</v>
      </c>
      <c r="P44" s="4" t="s">
        <v>149</v>
      </c>
      <c r="Q44" s="6" t="n">
        <v>9.5</v>
      </c>
      <c r="R44" s="4" t="s">
        <v>451</v>
      </c>
      <c r="S44" s="4" t="s">
        <v>452</v>
      </c>
      <c r="T44" s="4" t="s">
        <v>453</v>
      </c>
      <c r="U44" s="4" t="s">
        <v>454</v>
      </c>
      <c r="V44" s="4" t="s">
        <v>429</v>
      </c>
      <c r="W44" s="5" t="str">
        <f aca="false">IF(OR(ISNUMBER(SEARCH("gesha",G44)),ISNUMBER(SEARCH("geisha",G44))),"⭐ GESHA","")</f>
        <v/>
      </c>
      <c r="X44" s="4" t="s">
        <v>455</v>
      </c>
    </row>
    <row r="45" customFormat="false" ht="78.75" hidden="false" customHeight="true" outlineLevel="0" collapsed="false">
      <c r="A45" s="3" t="n">
        <v>46198</v>
      </c>
      <c r="B45" s="4" t="s">
        <v>52</v>
      </c>
      <c r="C45" s="4" t="s">
        <v>456</v>
      </c>
      <c r="D45" s="4" t="s">
        <v>457</v>
      </c>
      <c r="E45" s="4" t="s">
        <v>458</v>
      </c>
      <c r="F45" s="4" t="s">
        <v>266</v>
      </c>
      <c r="G45" s="4" t="s">
        <v>459</v>
      </c>
      <c r="H45" s="4" t="s">
        <v>460</v>
      </c>
      <c r="I45" s="4" t="s">
        <v>461</v>
      </c>
      <c r="J45" s="4" t="s">
        <v>281</v>
      </c>
      <c r="K45" s="4" t="n">
        <v>15</v>
      </c>
      <c r="L45" s="4" t="n">
        <v>225</v>
      </c>
      <c r="M45" s="4" t="s">
        <v>156</v>
      </c>
      <c r="N45" s="4" t="s">
        <v>27</v>
      </c>
      <c r="O45" s="4" t="s">
        <v>27</v>
      </c>
      <c r="P45" s="4" t="s">
        <v>462</v>
      </c>
      <c r="Q45" s="6" t="n">
        <v>9</v>
      </c>
      <c r="R45" s="4" t="s">
        <v>463</v>
      </c>
      <c r="S45" s="4" t="s">
        <v>464</v>
      </c>
      <c r="T45" s="4" t="s">
        <v>465</v>
      </c>
      <c r="U45" s="4" t="s">
        <v>466</v>
      </c>
      <c r="V45" s="4" t="s">
        <v>467</v>
      </c>
      <c r="W45" s="5" t="str">
        <f aca="false">IF(OR(ISNUMBER(SEARCH("gesha",G45)),ISNUMBER(SEARCH("geisha",G45))),"⭐ GESHA","")</f>
        <v/>
      </c>
      <c r="X45" s="4" t="s">
        <v>468</v>
      </c>
    </row>
    <row r="46" customFormat="false" ht="98.25" hidden="false" customHeight="true" outlineLevel="0" collapsed="false">
      <c r="A46" s="3" t="n">
        <v>46200</v>
      </c>
      <c r="B46" s="4" t="s">
        <v>52</v>
      </c>
      <c r="C46" s="4" t="s">
        <v>443</v>
      </c>
      <c r="D46" s="4" t="s">
        <v>469</v>
      </c>
      <c r="E46" s="4" t="s">
        <v>470</v>
      </c>
      <c r="F46" s="4" t="s">
        <v>471</v>
      </c>
      <c r="G46" s="4" t="s">
        <v>472</v>
      </c>
      <c r="H46" s="4" t="s">
        <v>473</v>
      </c>
      <c r="I46" s="4" t="s">
        <v>448</v>
      </c>
      <c r="J46" s="4" t="s">
        <v>449</v>
      </c>
      <c r="K46" s="4" t="n">
        <v>13</v>
      </c>
      <c r="L46" s="4" t="n">
        <v>215</v>
      </c>
      <c r="M46" s="4" t="s">
        <v>474</v>
      </c>
      <c r="N46" s="4" t="s">
        <v>246</v>
      </c>
      <c r="O46" s="4" t="s">
        <v>475</v>
      </c>
      <c r="P46" s="4" t="s">
        <v>149</v>
      </c>
      <c r="Q46" s="6" t="n">
        <v>9.5</v>
      </c>
      <c r="R46" s="4" t="s">
        <v>476</v>
      </c>
      <c r="S46" s="4" t="s">
        <v>477</v>
      </c>
      <c r="T46" s="4" t="s">
        <v>478</v>
      </c>
      <c r="U46" s="4" t="s">
        <v>479</v>
      </c>
      <c r="V46" s="4" t="s">
        <v>429</v>
      </c>
      <c r="W46" s="5" t="str">
        <f aca="false">IF(OR(ISNUMBER(SEARCH("gesha",G46)),ISNUMBER(SEARCH("geisha",G46))),"⭐ GESHA","")</f>
        <v/>
      </c>
      <c r="X46" s="4" t="s">
        <v>455</v>
      </c>
    </row>
    <row r="47" customFormat="false" ht="108" hidden="false" customHeight="true" outlineLevel="0" collapsed="false">
      <c r="A47" s="3" t="n">
        <v>46201</v>
      </c>
      <c r="B47" s="4" t="s">
        <v>52</v>
      </c>
      <c r="C47" s="4" t="s">
        <v>401</v>
      </c>
      <c r="D47" s="4" t="s">
        <v>480</v>
      </c>
      <c r="E47" s="4" t="s">
        <v>27</v>
      </c>
      <c r="F47" s="4" t="s">
        <v>481</v>
      </c>
      <c r="G47" s="4" t="s">
        <v>482</v>
      </c>
      <c r="H47" s="4" t="s">
        <v>483</v>
      </c>
      <c r="I47" s="4" t="s">
        <v>146</v>
      </c>
      <c r="J47" s="4" t="s">
        <v>406</v>
      </c>
      <c r="K47" s="4" t="n">
        <v>15</v>
      </c>
      <c r="L47" s="4" t="n">
        <v>210</v>
      </c>
      <c r="M47" s="4" t="s">
        <v>245</v>
      </c>
      <c r="N47" s="4" t="s">
        <v>484</v>
      </c>
      <c r="O47" s="4" t="s">
        <v>27</v>
      </c>
      <c r="P47" s="4" t="s">
        <v>409</v>
      </c>
      <c r="Q47" s="6" t="n">
        <v>13</v>
      </c>
      <c r="R47" s="4" t="s">
        <v>485</v>
      </c>
      <c r="S47" s="4" t="s">
        <v>486</v>
      </c>
      <c r="T47" s="4" t="s">
        <v>487</v>
      </c>
      <c r="U47" s="4" t="s">
        <v>488</v>
      </c>
      <c r="V47" s="4" t="s">
        <v>489</v>
      </c>
      <c r="W47" s="5" t="str">
        <f aca="false">IF(OR(ISNUMBER(SEARCH("gesha",G47)),ISNUMBER(SEARCH("geisha",G47))),"⭐ GESHA","")</f>
        <v/>
      </c>
      <c r="X47" s="4" t="s">
        <v>415</v>
      </c>
    </row>
    <row r="48" customFormat="false" ht="78.75" hidden="false" customHeight="true" outlineLevel="0" collapsed="false">
      <c r="A48" s="3" t="n">
        <v>46201</v>
      </c>
      <c r="B48" s="4" t="s">
        <v>52</v>
      </c>
      <c r="C48" s="4" t="s">
        <v>167</v>
      </c>
      <c r="D48" s="4" t="s">
        <v>490</v>
      </c>
      <c r="E48" s="4" t="s">
        <v>491</v>
      </c>
      <c r="F48" s="4" t="s">
        <v>492</v>
      </c>
      <c r="G48" s="4" t="s">
        <v>493</v>
      </c>
      <c r="H48" s="4" t="s">
        <v>494</v>
      </c>
      <c r="I48" s="4" t="s">
        <v>146</v>
      </c>
      <c r="J48" s="4" t="s">
        <v>495</v>
      </c>
      <c r="K48" s="4" t="n">
        <v>15</v>
      </c>
      <c r="L48" s="4" t="n">
        <v>240</v>
      </c>
      <c r="M48" s="4" t="s">
        <v>60</v>
      </c>
      <c r="N48" s="4" t="s">
        <v>317</v>
      </c>
      <c r="O48" s="4" t="s">
        <v>496</v>
      </c>
      <c r="P48" s="4" t="s">
        <v>174</v>
      </c>
      <c r="Q48" s="6" t="n">
        <v>14</v>
      </c>
      <c r="R48" s="4" t="s">
        <v>497</v>
      </c>
      <c r="S48" s="4" t="s">
        <v>498</v>
      </c>
      <c r="T48" s="4" t="s">
        <v>499</v>
      </c>
      <c r="U48" s="4" t="s">
        <v>500</v>
      </c>
      <c r="V48" s="4" t="s">
        <v>501</v>
      </c>
      <c r="W48" s="5" t="str">
        <f aca="false">IF(OR(ISNUMBER(SEARCH("gesha",G48)),ISNUMBER(SEARCH("geisha",G48))),"⭐ GESHA","")</f>
        <v/>
      </c>
      <c r="X48" s="4" t="s">
        <v>178</v>
      </c>
    </row>
    <row r="49" customFormat="false" ht="165.75" hidden="false" customHeight="true" outlineLevel="0" collapsed="false">
      <c r="A49" s="3" t="n">
        <v>46203</v>
      </c>
      <c r="B49" s="4" t="s">
        <v>52</v>
      </c>
      <c r="C49" s="4" t="s">
        <v>502</v>
      </c>
      <c r="D49" s="4" t="s">
        <v>503</v>
      </c>
      <c r="E49" s="4" t="s">
        <v>504</v>
      </c>
      <c r="F49" s="4" t="s">
        <v>505</v>
      </c>
      <c r="G49" s="4" t="s">
        <v>506</v>
      </c>
      <c r="H49" s="4" t="s">
        <v>507</v>
      </c>
      <c r="I49" s="4" t="s">
        <v>405</v>
      </c>
      <c r="J49" s="4" t="s">
        <v>508</v>
      </c>
      <c r="K49" s="4" t="s">
        <v>509</v>
      </c>
      <c r="L49" s="4" t="s">
        <v>509</v>
      </c>
      <c r="M49" s="4" t="s">
        <v>509</v>
      </c>
      <c r="N49" s="4" t="s">
        <v>509</v>
      </c>
      <c r="O49" s="4" t="s">
        <v>27</v>
      </c>
      <c r="P49" s="4" t="s">
        <v>509</v>
      </c>
      <c r="Q49" s="6" t="n">
        <v>6</v>
      </c>
      <c r="R49" s="4" t="s">
        <v>510</v>
      </c>
      <c r="S49" s="4" t="s">
        <v>511</v>
      </c>
      <c r="T49" s="4" t="s">
        <v>512</v>
      </c>
      <c r="U49" s="4" t="s">
        <v>513</v>
      </c>
      <c r="V49" s="4" t="s">
        <v>400</v>
      </c>
      <c r="W49" s="5" t="str">
        <f aca="false">IF(OR(ISNUMBER(SEARCH("gesha",G49)),ISNUMBER(SEARCH("geisha",G49))),"⭐ GESHA","")</f>
        <v/>
      </c>
      <c r="X49" s="4" t="s">
        <v>514</v>
      </c>
    </row>
    <row r="50" customFormat="false" ht="49.5" hidden="false" customHeight="true" outlineLevel="0" collapsed="false">
      <c r="A50" s="3" t="n">
        <v>46204</v>
      </c>
      <c r="B50" s="4" t="s">
        <v>52</v>
      </c>
      <c r="C50" s="4" t="s">
        <v>53</v>
      </c>
      <c r="D50" s="4" t="s">
        <v>515</v>
      </c>
      <c r="E50" s="4" t="s">
        <v>516</v>
      </c>
      <c r="F50" s="4" t="s">
        <v>517</v>
      </c>
      <c r="G50" s="4" t="s">
        <v>518</v>
      </c>
      <c r="H50" s="4" t="s">
        <v>58</v>
      </c>
      <c r="I50" s="4" t="s">
        <v>30</v>
      </c>
      <c r="J50" s="4" t="s">
        <v>519</v>
      </c>
      <c r="K50" s="4" t="n">
        <v>16</v>
      </c>
      <c r="L50" s="4" t="n">
        <v>240</v>
      </c>
      <c r="M50" s="4" t="s">
        <v>156</v>
      </c>
      <c r="N50" s="4" t="s">
        <v>520</v>
      </c>
      <c r="O50" s="4" t="s">
        <v>521</v>
      </c>
      <c r="P50" s="4" t="s">
        <v>522</v>
      </c>
      <c r="Q50" s="6" t="n">
        <v>9</v>
      </c>
      <c r="R50" s="4" t="s">
        <v>523</v>
      </c>
      <c r="S50" s="4" t="s">
        <v>524</v>
      </c>
      <c r="T50" s="4" t="s">
        <v>525</v>
      </c>
      <c r="U50" s="4" t="s">
        <v>526</v>
      </c>
      <c r="V50" s="4" t="s">
        <v>527</v>
      </c>
      <c r="W50" s="5" t="str">
        <f aca="false">IF(OR(ISNUMBER(SEARCH("gesha",G50)),ISNUMBER(SEARCH("geisha",G50))),"⭐ GESHA","")</f>
        <v/>
      </c>
      <c r="X50" s="4" t="s">
        <v>68</v>
      </c>
    </row>
    <row r="51" customFormat="false" ht="117.75" hidden="false" customHeight="true" outlineLevel="0" collapsed="false">
      <c r="A51" s="3" t="n">
        <v>46206</v>
      </c>
      <c r="B51" s="4" t="s">
        <v>52</v>
      </c>
      <c r="C51" s="4" t="s">
        <v>370</v>
      </c>
      <c r="D51" s="4" t="s">
        <v>528</v>
      </c>
      <c r="E51" s="4" t="s">
        <v>529</v>
      </c>
      <c r="F51" s="4" t="s">
        <v>118</v>
      </c>
      <c r="G51" s="4" t="s">
        <v>530</v>
      </c>
      <c r="H51" s="4" t="s">
        <v>58</v>
      </c>
      <c r="I51" s="4" t="s">
        <v>146</v>
      </c>
      <c r="J51" s="4" t="s">
        <v>531</v>
      </c>
      <c r="K51" s="4" t="n">
        <v>15</v>
      </c>
      <c r="L51" s="4" t="n">
        <v>240</v>
      </c>
      <c r="M51" s="4" t="s">
        <v>60</v>
      </c>
      <c r="N51" s="4" t="s">
        <v>532</v>
      </c>
      <c r="O51" s="4" t="s">
        <v>533</v>
      </c>
      <c r="P51" s="4" t="s">
        <v>534</v>
      </c>
      <c r="Q51" s="6" t="n">
        <v>9</v>
      </c>
      <c r="R51" s="4" t="s">
        <v>535</v>
      </c>
      <c r="S51" s="4" t="s">
        <v>536</v>
      </c>
      <c r="T51" s="4" t="s">
        <v>537</v>
      </c>
      <c r="U51" s="4" t="s">
        <v>538</v>
      </c>
      <c r="V51" s="4" t="s">
        <v>539</v>
      </c>
      <c r="W51" s="5" t="str">
        <f aca="false">IF(OR(ISNUMBER(SEARCH("gesha",G51)),ISNUMBER(SEARCH("geisha",G51))),"⭐ GESHA","")</f>
        <v/>
      </c>
      <c r="X51" s="4" t="s">
        <v>383</v>
      </c>
    </row>
    <row r="52" customFormat="false" ht="88.5" hidden="false" customHeight="true" outlineLevel="0" collapsed="false">
      <c r="A52" s="3" t="n">
        <v>46207</v>
      </c>
      <c r="B52" s="4" t="s">
        <v>52</v>
      </c>
      <c r="C52" s="4" t="s">
        <v>540</v>
      </c>
      <c r="D52" s="4" t="s">
        <v>541</v>
      </c>
      <c r="E52" s="4" t="s">
        <v>542</v>
      </c>
      <c r="F52" s="4" t="s">
        <v>543</v>
      </c>
      <c r="G52" s="4" t="s">
        <v>91</v>
      </c>
      <c r="H52" s="4" t="s">
        <v>544</v>
      </c>
      <c r="I52" s="4" t="s">
        <v>146</v>
      </c>
      <c r="J52" s="4" t="s">
        <v>545</v>
      </c>
      <c r="K52" s="4" t="n">
        <v>15</v>
      </c>
      <c r="L52" s="4" t="n">
        <v>240</v>
      </c>
      <c r="M52" s="4" t="s">
        <v>60</v>
      </c>
      <c r="N52" s="4" t="s">
        <v>546</v>
      </c>
      <c r="O52" s="4" t="s">
        <v>547</v>
      </c>
      <c r="P52" s="4" t="s">
        <v>548</v>
      </c>
      <c r="Q52" s="6" t="n">
        <v>9</v>
      </c>
      <c r="R52" s="4" t="s">
        <v>549</v>
      </c>
      <c r="S52" s="4" t="s">
        <v>550</v>
      </c>
      <c r="T52" s="4" t="s">
        <v>551</v>
      </c>
      <c r="U52" s="4" t="s">
        <v>552</v>
      </c>
      <c r="V52" s="4" t="s">
        <v>553</v>
      </c>
      <c r="W52" s="5" t="str">
        <f aca="false">IF(OR(ISNUMBER(SEARCH("gesha",G52)),ISNUMBER(SEARCH("geisha",G52))),"⭐ GESHA","")</f>
        <v/>
      </c>
      <c r="X52" s="4" t="s">
        <v>554</v>
      </c>
    </row>
    <row r="53" customFormat="false" ht="117.75" hidden="false" customHeight="true" outlineLevel="0" collapsed="false">
      <c r="A53" s="3" t="n">
        <v>46208</v>
      </c>
      <c r="B53" s="4" t="s">
        <v>52</v>
      </c>
      <c r="C53" s="4" t="s">
        <v>555</v>
      </c>
      <c r="D53" s="4" t="s">
        <v>556</v>
      </c>
      <c r="E53" s="4" t="s">
        <v>557</v>
      </c>
      <c r="F53" s="4" t="s">
        <v>558</v>
      </c>
      <c r="G53" s="4" t="s">
        <v>171</v>
      </c>
      <c r="H53" s="4" t="s">
        <v>29</v>
      </c>
      <c r="I53" s="4" t="s">
        <v>30</v>
      </c>
      <c r="J53" s="4" t="s">
        <v>559</v>
      </c>
      <c r="K53" s="4" t="n">
        <v>15</v>
      </c>
      <c r="L53" s="4" t="n">
        <v>247</v>
      </c>
      <c r="M53" s="4" t="s">
        <v>474</v>
      </c>
      <c r="N53" s="4" t="s">
        <v>560</v>
      </c>
      <c r="O53" s="4" t="s">
        <v>27</v>
      </c>
      <c r="P53" s="4" t="s">
        <v>307</v>
      </c>
      <c r="Q53" s="6" t="n">
        <v>19</v>
      </c>
      <c r="R53" s="4" t="s">
        <v>561</v>
      </c>
      <c r="S53" s="4" t="s">
        <v>562</v>
      </c>
      <c r="T53" s="4" t="s">
        <v>563</v>
      </c>
      <c r="U53" s="4" t="s">
        <v>564</v>
      </c>
      <c r="V53" s="4" t="s">
        <v>565</v>
      </c>
      <c r="W53" s="5" t="str">
        <f aca="false">IF(OR(ISNUMBER(SEARCH("gesha",G53)),ISNUMBER(SEARCH("geisha",G53))),"⭐ GESHA","")</f>
        <v>⭐ GESHA</v>
      </c>
      <c r="X53" s="4" t="s">
        <v>566</v>
      </c>
    </row>
    <row r="54" customFormat="false" ht="88.5" hidden="false" customHeight="true" outlineLevel="0" collapsed="false">
      <c r="A54" s="3" t="n">
        <v>46208</v>
      </c>
      <c r="B54" s="4" t="s">
        <v>52</v>
      </c>
      <c r="C54" s="4" t="s">
        <v>555</v>
      </c>
      <c r="D54" s="4" t="s">
        <v>567</v>
      </c>
      <c r="E54" s="4" t="s">
        <v>542</v>
      </c>
      <c r="F54" s="4" t="s">
        <v>568</v>
      </c>
      <c r="G54" s="4" t="s">
        <v>569</v>
      </c>
      <c r="H54" s="4" t="s">
        <v>58</v>
      </c>
      <c r="I54" s="4" t="s">
        <v>30</v>
      </c>
      <c r="J54" s="4" t="s">
        <v>559</v>
      </c>
      <c r="K54" s="4" t="n">
        <v>15</v>
      </c>
      <c r="L54" s="4" t="n">
        <v>244</v>
      </c>
      <c r="M54" s="4" t="s">
        <v>570</v>
      </c>
      <c r="N54" s="4" t="s">
        <v>571</v>
      </c>
      <c r="O54" s="4" t="s">
        <v>27</v>
      </c>
      <c r="P54" s="4" t="s">
        <v>307</v>
      </c>
      <c r="Q54" s="6" t="n">
        <v>10</v>
      </c>
      <c r="R54" s="4" t="s">
        <v>572</v>
      </c>
      <c r="S54" s="4" t="s">
        <v>573</v>
      </c>
      <c r="T54" s="4" t="s">
        <v>574</v>
      </c>
      <c r="U54" s="4" t="s">
        <v>575</v>
      </c>
      <c r="V54" s="4" t="s">
        <v>576</v>
      </c>
      <c r="W54" s="5" t="str">
        <f aca="false">IF(OR(ISNUMBER(SEARCH("gesha",G54)),ISNUMBER(SEARCH("geisha",G54))),"⭐ GESHA","")</f>
        <v/>
      </c>
      <c r="X54" s="4" t="s">
        <v>566</v>
      </c>
    </row>
    <row r="55" customFormat="false" ht="88.5" hidden="false" customHeight="true" outlineLevel="0" collapsed="false">
      <c r="A55" s="3" t="n">
        <v>46208</v>
      </c>
      <c r="B55" s="4" t="s">
        <v>52</v>
      </c>
      <c r="C55" s="4" t="s">
        <v>577</v>
      </c>
      <c r="D55" s="4" t="s">
        <v>578</v>
      </c>
      <c r="E55" s="4" t="s">
        <v>27</v>
      </c>
      <c r="F55" s="4" t="s">
        <v>579</v>
      </c>
      <c r="G55" s="4" t="s">
        <v>196</v>
      </c>
      <c r="H55" s="4" t="s">
        <v>29</v>
      </c>
      <c r="I55" s="4" t="s">
        <v>41</v>
      </c>
      <c r="J55" s="4" t="s">
        <v>580</v>
      </c>
      <c r="K55" s="4" t="n">
        <v>15</v>
      </c>
      <c r="L55" s="4" t="n">
        <v>225</v>
      </c>
      <c r="M55" s="4" t="s">
        <v>156</v>
      </c>
      <c r="N55" s="4" t="s">
        <v>325</v>
      </c>
      <c r="O55" s="4" t="s">
        <v>27</v>
      </c>
      <c r="P55" s="4" t="s">
        <v>581</v>
      </c>
      <c r="Q55" s="6" t="n">
        <v>9.9</v>
      </c>
      <c r="R55" s="4" t="s">
        <v>582</v>
      </c>
      <c r="S55" s="4" t="s">
        <v>583</v>
      </c>
      <c r="T55" s="4" t="s">
        <v>584</v>
      </c>
      <c r="U55" s="4" t="s">
        <v>585</v>
      </c>
      <c r="V55" s="4" t="s">
        <v>586</v>
      </c>
      <c r="W55" s="5" t="str">
        <f aca="false">IF(OR(ISNUMBER(SEARCH("gesha",G55)),ISNUMBER(SEARCH("geisha",G55))),"⭐ GESHA","")</f>
        <v>⭐ GESHA</v>
      </c>
      <c r="X55" s="4" t="s">
        <v>587</v>
      </c>
    </row>
    <row r="56" customFormat="false" ht="108" hidden="false" customHeight="true" outlineLevel="0" collapsed="false">
      <c r="A56" s="3" t="n">
        <v>46209</v>
      </c>
      <c r="B56" s="4" t="s">
        <v>52</v>
      </c>
      <c r="C56" s="4" t="s">
        <v>322</v>
      </c>
      <c r="D56" s="4" t="s">
        <v>588</v>
      </c>
      <c r="E56" s="4" t="s">
        <v>589</v>
      </c>
      <c r="F56" s="4" t="s">
        <v>266</v>
      </c>
      <c r="G56" s="4" t="s">
        <v>590</v>
      </c>
      <c r="H56" s="4" t="s">
        <v>272</v>
      </c>
      <c r="I56" s="4" t="s">
        <v>30</v>
      </c>
      <c r="J56" s="4" t="s">
        <v>591</v>
      </c>
      <c r="K56" s="4" t="n">
        <v>15</v>
      </c>
      <c r="L56" s="4" t="n">
        <v>225</v>
      </c>
      <c r="M56" s="4" t="s">
        <v>156</v>
      </c>
      <c r="N56" s="4" t="s">
        <v>592</v>
      </c>
      <c r="O56" s="4" t="s">
        <v>27</v>
      </c>
      <c r="P56" s="4" t="s">
        <v>593</v>
      </c>
      <c r="Q56" s="6" t="n">
        <v>11</v>
      </c>
      <c r="R56" s="4" t="s">
        <v>594</v>
      </c>
      <c r="S56" s="4" t="s">
        <v>595</v>
      </c>
      <c r="T56" s="4" t="s">
        <v>596</v>
      </c>
      <c r="U56" s="4" t="s">
        <v>597</v>
      </c>
      <c r="V56" s="4" t="s">
        <v>598</v>
      </c>
      <c r="W56" s="5" t="str">
        <f aca="false">IF(OR(ISNUMBER(SEARCH("gesha",G56)),ISNUMBER(SEARCH("geisha",G56))),"⭐ GESHA","")</f>
        <v/>
      </c>
      <c r="X56" s="4" t="s">
        <v>331</v>
      </c>
    </row>
    <row r="57" customFormat="false" ht="108" hidden="false" customHeight="true" outlineLevel="0" collapsed="false">
      <c r="A57" s="3" t="n">
        <v>46209</v>
      </c>
      <c r="B57" s="4" t="s">
        <v>52</v>
      </c>
      <c r="C57" s="4" t="s">
        <v>322</v>
      </c>
      <c r="D57" s="4" t="s">
        <v>599</v>
      </c>
      <c r="E57" s="4" t="s">
        <v>600</v>
      </c>
      <c r="F57" s="4" t="s">
        <v>266</v>
      </c>
      <c r="G57" s="4" t="s">
        <v>601</v>
      </c>
      <c r="H57" s="4" t="s">
        <v>602</v>
      </c>
      <c r="I57" s="4" t="s">
        <v>30</v>
      </c>
      <c r="J57" s="4" t="s">
        <v>591</v>
      </c>
      <c r="K57" s="4" t="n">
        <v>15</v>
      </c>
      <c r="L57" s="4" t="n">
        <v>225</v>
      </c>
      <c r="M57" s="4" t="s">
        <v>156</v>
      </c>
      <c r="N57" s="4" t="s">
        <v>592</v>
      </c>
      <c r="O57" s="4" t="s">
        <v>27</v>
      </c>
      <c r="P57" s="4" t="s">
        <v>593</v>
      </c>
      <c r="Q57" s="6" t="n">
        <v>9</v>
      </c>
      <c r="R57" s="4" t="s">
        <v>603</v>
      </c>
      <c r="S57" s="4" t="s">
        <v>604</v>
      </c>
      <c r="T57" s="4" t="s">
        <v>605</v>
      </c>
      <c r="U57" s="4" t="s">
        <v>606</v>
      </c>
      <c r="V57" s="4" t="s">
        <v>598</v>
      </c>
      <c r="W57" s="5" t="str">
        <f aca="false">IF(OR(ISNUMBER(SEARCH("gesha",G57)),ISNUMBER(SEARCH("geisha",G57))),"⭐ GESHA","")</f>
        <v/>
      </c>
      <c r="X57" s="4" t="s">
        <v>331</v>
      </c>
    </row>
    <row r="58" customFormat="false" ht="78.75" hidden="false" customHeight="true" outlineLevel="0" collapsed="false">
      <c r="A58" s="3" t="n">
        <v>46210</v>
      </c>
      <c r="B58" s="4" t="s">
        <v>52</v>
      </c>
      <c r="C58" s="4" t="s">
        <v>607</v>
      </c>
      <c r="D58" s="4" t="s">
        <v>608</v>
      </c>
      <c r="E58" s="4" t="s">
        <v>609</v>
      </c>
      <c r="F58" s="4" t="s">
        <v>610</v>
      </c>
      <c r="G58" s="4" t="s">
        <v>171</v>
      </c>
      <c r="H58" s="4" t="s">
        <v>404</v>
      </c>
      <c r="I58" s="4" t="s">
        <v>30</v>
      </c>
      <c r="J58" s="4" t="s">
        <v>611</v>
      </c>
      <c r="K58" s="4" t="n">
        <v>13.5</v>
      </c>
      <c r="L58" s="4" t="n">
        <v>200</v>
      </c>
      <c r="M58" s="4" t="s">
        <v>612</v>
      </c>
      <c r="N58" s="4" t="s">
        <v>613</v>
      </c>
      <c r="O58" s="4" t="s">
        <v>614</v>
      </c>
      <c r="P58" s="4" t="s">
        <v>615</v>
      </c>
      <c r="Q58" s="6" t="n">
        <v>15</v>
      </c>
      <c r="R58" s="4" t="s">
        <v>616</v>
      </c>
      <c r="S58" s="4" t="s">
        <v>617</v>
      </c>
      <c r="T58" s="4" t="s">
        <v>618</v>
      </c>
      <c r="U58" s="4" t="s">
        <v>619</v>
      </c>
      <c r="V58" s="4" t="s">
        <v>620</v>
      </c>
      <c r="W58" s="5" t="str">
        <f aca="false">IF(OR(ISNUMBER(SEARCH("gesha",G58)),ISNUMBER(SEARCH("geisha",G58))),"⭐ GESHA","")</f>
        <v>⭐ GESHA</v>
      </c>
      <c r="X58" s="4" t="s">
        <v>621</v>
      </c>
    </row>
    <row r="59" customFormat="false" ht="127.5" hidden="false" customHeight="true" outlineLevel="0" collapsed="false">
      <c r="A59" s="3" t="n">
        <v>46211</v>
      </c>
      <c r="B59" s="4" t="s">
        <v>52</v>
      </c>
      <c r="C59" s="4" t="s">
        <v>622</v>
      </c>
      <c r="D59" s="4" t="s">
        <v>623</v>
      </c>
      <c r="E59" s="4" t="s">
        <v>624</v>
      </c>
      <c r="F59" s="4" t="s">
        <v>625</v>
      </c>
      <c r="G59" s="4" t="s">
        <v>171</v>
      </c>
      <c r="H59" s="4" t="s">
        <v>29</v>
      </c>
      <c r="I59" s="4" t="s">
        <v>27</v>
      </c>
      <c r="J59" s="4" t="s">
        <v>626</v>
      </c>
      <c r="K59" s="4" t="n">
        <v>13.5</v>
      </c>
      <c r="L59" s="4" t="n">
        <v>180</v>
      </c>
      <c r="M59" s="4" t="s">
        <v>627</v>
      </c>
      <c r="N59" s="4" t="s">
        <v>628</v>
      </c>
      <c r="O59" s="4" t="s">
        <v>629</v>
      </c>
      <c r="P59" s="4" t="s">
        <v>630</v>
      </c>
      <c r="Q59" s="6" t="n">
        <v>16</v>
      </c>
      <c r="R59" s="4" t="s">
        <v>631</v>
      </c>
      <c r="S59" s="4" t="s">
        <v>632</v>
      </c>
      <c r="T59" s="4" t="s">
        <v>633</v>
      </c>
      <c r="U59" s="4" t="s">
        <v>634</v>
      </c>
      <c r="V59" s="4" t="s">
        <v>635</v>
      </c>
      <c r="W59" s="5" t="str">
        <f aca="false">IF(OR(ISNUMBER(SEARCH("gesha",G59)),ISNUMBER(SEARCH("geisha",G59))),"⭐ GESHA","")</f>
        <v>⭐ GESHA</v>
      </c>
      <c r="X59" s="4" t="s">
        <v>636</v>
      </c>
    </row>
    <row r="60" customFormat="false" ht="59.25" hidden="false" customHeight="true" outlineLevel="0" collapsed="false">
      <c r="A60" s="3" t="n">
        <v>46211</v>
      </c>
      <c r="B60" s="4" t="s">
        <v>52</v>
      </c>
      <c r="C60" s="4" t="s">
        <v>251</v>
      </c>
      <c r="D60" s="4" t="s">
        <v>637</v>
      </c>
      <c r="E60" s="4" t="s">
        <v>638</v>
      </c>
      <c r="F60" s="4" t="s">
        <v>639</v>
      </c>
      <c r="G60" s="4" t="s">
        <v>640</v>
      </c>
      <c r="H60" s="4" t="s">
        <v>29</v>
      </c>
      <c r="I60" s="4" t="s">
        <v>146</v>
      </c>
      <c r="J60" s="4" t="s">
        <v>255</v>
      </c>
      <c r="K60" s="4" t="s">
        <v>27</v>
      </c>
      <c r="L60" s="4" t="s">
        <v>27</v>
      </c>
      <c r="M60" s="4" t="s">
        <v>120</v>
      </c>
      <c r="N60" s="4" t="s">
        <v>61</v>
      </c>
      <c r="O60" s="4" t="s">
        <v>27</v>
      </c>
      <c r="P60" s="4" t="s">
        <v>387</v>
      </c>
      <c r="Q60" s="6" t="n">
        <v>8.5</v>
      </c>
      <c r="R60" s="4" t="s">
        <v>641</v>
      </c>
      <c r="S60" s="4" t="s">
        <v>642</v>
      </c>
      <c r="T60" s="4" t="s">
        <v>643</v>
      </c>
      <c r="U60" s="4" t="s">
        <v>644</v>
      </c>
      <c r="V60" s="4" t="s">
        <v>645</v>
      </c>
      <c r="W60" s="5" t="str">
        <f aca="false">IF(OR(ISNUMBER(SEARCH("gesha",G60)),ISNUMBER(SEARCH("geisha",G60))),"⭐ GESHA","")</f>
        <v/>
      </c>
      <c r="X60" s="4" t="s">
        <v>259</v>
      </c>
    </row>
    <row r="61" customFormat="false" ht="175.5" hidden="false" customHeight="true" outlineLevel="0" collapsed="false">
      <c r="A61" s="3" t="n">
        <v>46212</v>
      </c>
      <c r="B61" s="4" t="s">
        <v>52</v>
      </c>
      <c r="C61" s="4" t="s">
        <v>646</v>
      </c>
      <c r="D61" s="4" t="s">
        <v>647</v>
      </c>
      <c r="E61" s="4" t="s">
        <v>648</v>
      </c>
      <c r="F61" s="4" t="s">
        <v>118</v>
      </c>
      <c r="G61" s="4" t="s">
        <v>171</v>
      </c>
      <c r="H61" s="4" t="s">
        <v>58</v>
      </c>
      <c r="I61" s="4" t="s">
        <v>30</v>
      </c>
      <c r="J61" s="4" t="s">
        <v>649</v>
      </c>
      <c r="K61" s="4" t="n">
        <v>15</v>
      </c>
      <c r="L61" s="4" t="n">
        <v>232</v>
      </c>
      <c r="M61" s="4" t="s">
        <v>650</v>
      </c>
      <c r="N61" s="4" t="s">
        <v>651</v>
      </c>
      <c r="O61" s="4" t="s">
        <v>652</v>
      </c>
      <c r="P61" s="4" t="s">
        <v>326</v>
      </c>
      <c r="Q61" s="6" t="n">
        <v>21</v>
      </c>
      <c r="R61" s="4" t="s">
        <v>653</v>
      </c>
      <c r="S61" s="4" t="s">
        <v>654</v>
      </c>
      <c r="T61" s="4" t="s">
        <v>655</v>
      </c>
      <c r="U61" s="4" t="s">
        <v>656</v>
      </c>
      <c r="V61" s="4" t="s">
        <v>657</v>
      </c>
      <c r="W61" s="5" t="str">
        <f aca="false">IF(OR(ISNUMBER(SEARCH("gesha",G61)),ISNUMBER(SEARCH("geisha",G61))),"⭐ GESHA","")</f>
        <v>⭐ GESHA</v>
      </c>
      <c r="X61" s="4" t="s">
        <v>658</v>
      </c>
    </row>
    <row r="62" customFormat="false" ht="59.25" hidden="false" customHeight="true" outlineLevel="0" collapsed="false">
      <c r="A62" s="3" t="n">
        <v>46213</v>
      </c>
      <c r="B62" s="4" t="s">
        <v>52</v>
      </c>
      <c r="C62" s="4" t="s">
        <v>540</v>
      </c>
      <c r="D62" s="4" t="s">
        <v>659</v>
      </c>
      <c r="E62" s="4" t="s">
        <v>660</v>
      </c>
      <c r="F62" s="4" t="s">
        <v>118</v>
      </c>
      <c r="G62" s="4" t="s">
        <v>661</v>
      </c>
      <c r="H62" s="4" t="s">
        <v>662</v>
      </c>
      <c r="I62" s="4" t="s">
        <v>146</v>
      </c>
      <c r="J62" s="4" t="s">
        <v>545</v>
      </c>
      <c r="K62" s="4" t="s">
        <v>27</v>
      </c>
      <c r="L62" s="4" t="s">
        <v>27</v>
      </c>
      <c r="M62" s="4" t="s">
        <v>27</v>
      </c>
      <c r="N62" s="4" t="s">
        <v>27</v>
      </c>
      <c r="O62" s="4" t="s">
        <v>27</v>
      </c>
      <c r="P62" s="4" t="s">
        <v>663</v>
      </c>
      <c r="Q62" s="6" t="n">
        <v>9</v>
      </c>
      <c r="R62" s="4" t="s">
        <v>664</v>
      </c>
      <c r="S62" s="4" t="s">
        <v>665</v>
      </c>
      <c r="T62" s="4" t="s">
        <v>666</v>
      </c>
      <c r="U62" s="4" t="s">
        <v>667</v>
      </c>
      <c r="V62" s="4" t="s">
        <v>400</v>
      </c>
      <c r="W62" s="5" t="str">
        <f aca="false">IF(OR(ISNUMBER(SEARCH("gesha",G62)),ISNUMBER(SEARCH("geisha",G62))),"⭐ GESHA","")</f>
        <v/>
      </c>
      <c r="X62" s="4" t="s">
        <v>554</v>
      </c>
    </row>
    <row r="63" customFormat="false" ht="175.5" hidden="false" customHeight="true" outlineLevel="0" collapsed="false">
      <c r="A63" s="7" t="n">
        <v>46214</v>
      </c>
      <c r="B63" s="8" t="s">
        <v>52</v>
      </c>
      <c r="C63" s="8" t="s">
        <v>668</v>
      </c>
      <c r="D63" s="8" t="s">
        <v>669</v>
      </c>
      <c r="E63" s="8" t="s">
        <v>670</v>
      </c>
      <c r="F63" s="8" t="s">
        <v>671</v>
      </c>
      <c r="G63" s="8" t="s">
        <v>196</v>
      </c>
      <c r="H63" s="8" t="s">
        <v>74</v>
      </c>
      <c r="I63" s="8" t="s">
        <v>146</v>
      </c>
      <c r="J63" s="8" t="s">
        <v>672</v>
      </c>
      <c r="K63" s="8" t="n">
        <v>15</v>
      </c>
      <c r="L63" s="8" t="n">
        <v>225</v>
      </c>
      <c r="M63" s="8" t="s">
        <v>156</v>
      </c>
      <c r="N63" s="8" t="s">
        <v>673</v>
      </c>
      <c r="O63" s="8" t="s">
        <v>27</v>
      </c>
      <c r="P63" s="8" t="s">
        <v>282</v>
      </c>
      <c r="Q63" s="8" t="n">
        <v>10</v>
      </c>
      <c r="R63" s="8" t="s">
        <v>674</v>
      </c>
      <c r="S63" s="8" t="s">
        <v>675</v>
      </c>
      <c r="T63" s="8" t="s">
        <v>676</v>
      </c>
      <c r="U63" s="8" t="s">
        <v>677</v>
      </c>
      <c r="V63" s="8" t="s">
        <v>678</v>
      </c>
      <c r="W63" s="9" t="str">
        <f aca="false">IF(OR(ISNUMBER(SEARCH("gesha",G63)),ISNUMBER(SEARCH("geisha",G63))),"⭐ GESHA","")</f>
        <v>⭐ GESHA</v>
      </c>
      <c r="X63" s="8" t="s">
        <v>679</v>
      </c>
    </row>
    <row r="64" customFormat="false" ht="129.75" hidden="false" customHeight="true" outlineLevel="0" collapsed="false">
      <c r="A64" s="10" t="n">
        <v>46215</v>
      </c>
      <c r="B64" s="11" t="s">
        <v>52</v>
      </c>
      <c r="C64" s="11" t="s">
        <v>322</v>
      </c>
      <c r="D64" s="11" t="s">
        <v>680</v>
      </c>
      <c r="E64" s="11" t="s">
        <v>589</v>
      </c>
      <c r="F64" s="11" t="s">
        <v>266</v>
      </c>
      <c r="G64" s="11" t="s">
        <v>681</v>
      </c>
      <c r="H64" s="11" t="s">
        <v>58</v>
      </c>
      <c r="I64" s="11" t="s">
        <v>146</v>
      </c>
      <c r="J64" s="11" t="s">
        <v>591</v>
      </c>
      <c r="K64" s="11" t="s">
        <v>682</v>
      </c>
      <c r="L64" s="11" t="s">
        <v>683</v>
      </c>
      <c r="M64" s="11" t="s">
        <v>156</v>
      </c>
      <c r="N64" s="11" t="s">
        <v>684</v>
      </c>
      <c r="O64" s="11" t="s">
        <v>27</v>
      </c>
      <c r="P64" s="11" t="s">
        <v>685</v>
      </c>
      <c r="Q64" s="11" t="s">
        <v>686</v>
      </c>
      <c r="R64" s="11" t="s">
        <v>687</v>
      </c>
      <c r="S64" s="11" t="s">
        <v>688</v>
      </c>
      <c r="T64" s="11" t="s">
        <v>689</v>
      </c>
      <c r="U64" s="11" t="s">
        <v>690</v>
      </c>
      <c r="V64" s="11" t="s">
        <v>691</v>
      </c>
      <c r="W64" s="11" t="str">
        <f aca="false">IF(OR(ISNUMBER(SEARCH("gesha",G64)),ISNUMBER(SEARCH("geisha",G64))),"⭐ GESHA","")</f>
        <v/>
      </c>
      <c r="X64" s="11" t="s">
        <v>331</v>
      </c>
    </row>
    <row r="65" customFormat="false" ht="185.25" hidden="false" customHeight="true" outlineLevel="0" collapsed="false">
      <c r="A65" s="12" t="n">
        <v>46217</v>
      </c>
      <c r="B65" s="13" t="s">
        <v>52</v>
      </c>
      <c r="C65" s="13" t="s">
        <v>668</v>
      </c>
      <c r="D65" s="13" t="s">
        <v>692</v>
      </c>
      <c r="E65" s="13" t="s">
        <v>693</v>
      </c>
      <c r="F65" s="13" t="s">
        <v>694</v>
      </c>
      <c r="G65" s="13" t="s">
        <v>196</v>
      </c>
      <c r="H65" s="13" t="s">
        <v>58</v>
      </c>
      <c r="I65" s="13" t="s">
        <v>146</v>
      </c>
      <c r="J65" s="13" t="s">
        <v>695</v>
      </c>
      <c r="K65" s="13" t="n">
        <v>12.5</v>
      </c>
      <c r="L65" s="13" t="n">
        <v>190</v>
      </c>
      <c r="M65" s="13" t="s">
        <v>696</v>
      </c>
      <c r="N65" s="13" t="s">
        <v>697</v>
      </c>
      <c r="O65" s="13" t="s">
        <v>27</v>
      </c>
      <c r="P65" s="13" t="s">
        <v>307</v>
      </c>
      <c r="Q65" s="13" t="n">
        <v>60</v>
      </c>
      <c r="R65" s="13" t="s">
        <v>698</v>
      </c>
      <c r="S65" s="13" t="s">
        <v>699</v>
      </c>
      <c r="T65" s="13" t="s">
        <v>700</v>
      </c>
      <c r="U65" s="13" t="s">
        <v>701</v>
      </c>
      <c r="V65" s="13" t="s">
        <v>702</v>
      </c>
      <c r="W65" s="13" t="str">
        <f aca="false">IF(OR(ISNUMBER(SEARCH("gesha",G65)),ISNUMBER(SEARCH("geisha",G65))),"⭐ GESHA","")</f>
        <v>⭐ GESHA</v>
      </c>
      <c r="X65" s="13" t="s">
        <v>679</v>
      </c>
    </row>
    <row r="66" customFormat="false" ht="137.25" hidden="false" customHeight="true" outlineLevel="0" collapsed="false">
      <c r="A66" s="12" t="n">
        <v>46218</v>
      </c>
      <c r="B66" s="13" t="s">
        <v>52</v>
      </c>
      <c r="C66" s="13" t="s">
        <v>431</v>
      </c>
      <c r="D66" s="13" t="s">
        <v>703</v>
      </c>
      <c r="E66" s="13" t="s">
        <v>704</v>
      </c>
      <c r="F66" s="13" t="s">
        <v>170</v>
      </c>
      <c r="G66" s="13" t="s">
        <v>171</v>
      </c>
      <c r="H66" s="13" t="s">
        <v>58</v>
      </c>
      <c r="I66" s="13" t="s">
        <v>146</v>
      </c>
      <c r="J66" s="13" t="s">
        <v>705</v>
      </c>
      <c r="K66" s="13" t="n">
        <v>15</v>
      </c>
      <c r="L66" s="13" t="n">
        <v>210</v>
      </c>
      <c r="M66" s="13" t="s">
        <v>245</v>
      </c>
      <c r="N66" s="13" t="s">
        <v>706</v>
      </c>
      <c r="O66" s="13" t="s">
        <v>707</v>
      </c>
      <c r="P66" s="13" t="s">
        <v>307</v>
      </c>
      <c r="Q66" s="13" t="n">
        <v>12</v>
      </c>
      <c r="R66" s="13" t="s">
        <v>708</v>
      </c>
      <c r="S66" s="13" t="s">
        <v>709</v>
      </c>
      <c r="T66" s="13" t="s">
        <v>710</v>
      </c>
      <c r="U66" s="13" t="s">
        <v>711</v>
      </c>
      <c r="V66" s="13" t="s">
        <v>712</v>
      </c>
      <c r="W66" s="13" t="str">
        <f aca="false">IF(OR(ISNUMBER(SEARCH("gesha",G66)),ISNUMBER(SEARCH("geisha",G66))),"⭐ GESHA","")</f>
        <v>⭐ GESHA</v>
      </c>
      <c r="X66" s="13" t="s">
        <v>442</v>
      </c>
    </row>
    <row r="67" customFormat="false" ht="88.5" hidden="false" customHeight="true" outlineLevel="0" collapsed="false">
      <c r="A67" s="12" t="n">
        <v>46219</v>
      </c>
      <c r="B67" s="13" t="s">
        <v>52</v>
      </c>
      <c r="C67" s="13" t="s">
        <v>713</v>
      </c>
      <c r="D67" s="13" t="s">
        <v>714</v>
      </c>
      <c r="E67" s="13" t="s">
        <v>715</v>
      </c>
      <c r="F67" s="13" t="s">
        <v>716</v>
      </c>
      <c r="G67" s="13" t="s">
        <v>196</v>
      </c>
      <c r="H67" s="13" t="s">
        <v>58</v>
      </c>
      <c r="I67" s="13" t="s">
        <v>27</v>
      </c>
      <c r="J67" s="13" t="s">
        <v>717</v>
      </c>
      <c r="K67" s="13" t="n">
        <v>7</v>
      </c>
      <c r="L67" s="13" t="n">
        <v>105</v>
      </c>
      <c r="M67" s="13" t="s">
        <v>156</v>
      </c>
      <c r="N67" s="13" t="s">
        <v>718</v>
      </c>
      <c r="O67" s="13" t="s">
        <v>27</v>
      </c>
      <c r="P67" s="13" t="s">
        <v>719</v>
      </c>
      <c r="Q67" s="13" t="n">
        <v>16</v>
      </c>
      <c r="R67" s="13" t="s">
        <v>720</v>
      </c>
      <c r="S67" s="13" t="s">
        <v>721</v>
      </c>
      <c r="T67" s="13" t="s">
        <v>722</v>
      </c>
      <c r="U67" s="13" t="s">
        <v>723</v>
      </c>
      <c r="V67" s="13" t="s">
        <v>724</v>
      </c>
      <c r="W67" s="13" t="str">
        <f aca="false">IF(OR(ISNUMBER(SEARCH("gesha",G67)),ISNUMBER(SEARCH("geisha",G67))),"⭐ GESHA","")</f>
        <v>⭐ GESHA</v>
      </c>
      <c r="X67" s="13" t="s">
        <v>725</v>
      </c>
    </row>
    <row r="68" customFormat="false" ht="108" hidden="false" customHeight="true" outlineLevel="0" collapsed="false">
      <c r="A68" s="12" t="n">
        <v>46224</v>
      </c>
      <c r="B68" s="13" t="s">
        <v>52</v>
      </c>
      <c r="C68" s="13" t="s">
        <v>668</v>
      </c>
      <c r="D68" s="13" t="s">
        <v>726</v>
      </c>
      <c r="E68" s="13" t="s">
        <v>27</v>
      </c>
      <c r="F68" s="13" t="s">
        <v>727</v>
      </c>
      <c r="G68" s="13" t="s">
        <v>728</v>
      </c>
      <c r="H68" s="13" t="s">
        <v>29</v>
      </c>
      <c r="I68" s="13" t="s">
        <v>146</v>
      </c>
      <c r="J68" s="13" t="s">
        <v>729</v>
      </c>
      <c r="K68" s="13" t="s">
        <v>27</v>
      </c>
      <c r="L68" s="13" t="s">
        <v>27</v>
      </c>
      <c r="M68" s="13" t="s">
        <v>730</v>
      </c>
      <c r="N68" s="13" t="s">
        <v>27</v>
      </c>
      <c r="O68" s="13" t="s">
        <v>27</v>
      </c>
      <c r="P68" s="13" t="s">
        <v>731</v>
      </c>
      <c r="Q68" s="13" t="n">
        <v>10</v>
      </c>
      <c r="R68" s="13" t="s">
        <v>732</v>
      </c>
      <c r="S68" s="13" t="s">
        <v>733</v>
      </c>
      <c r="T68" s="13" t="s">
        <v>734</v>
      </c>
      <c r="U68" s="13" t="s">
        <v>735</v>
      </c>
      <c r="V68" s="13" t="s">
        <v>736</v>
      </c>
      <c r="W68" s="13" t="str">
        <f aca="false">IF(OR(ISNUMBER(SEARCH("gesha",G68)),ISNUMBER(SEARCH("geisha",G68))),"⭐ GESHA","")</f>
        <v/>
      </c>
      <c r="X68" s="13" t="s">
        <v>679</v>
      </c>
    </row>
    <row r="69" customFormat="false" ht="184.5" hidden="false" customHeight="true" outlineLevel="0" collapsed="false">
      <c r="A69" s="12" t="n">
        <v>46227</v>
      </c>
      <c r="B69" s="13" t="s">
        <v>52</v>
      </c>
      <c r="C69" s="13" t="s">
        <v>737</v>
      </c>
      <c r="D69" s="13" t="s">
        <v>738</v>
      </c>
      <c r="E69" s="13" t="s">
        <v>739</v>
      </c>
      <c r="F69" s="13" t="s">
        <v>740</v>
      </c>
      <c r="G69" s="13" t="s">
        <v>207</v>
      </c>
      <c r="H69" s="13" t="s">
        <v>58</v>
      </c>
      <c r="I69" s="13" t="s">
        <v>31</v>
      </c>
      <c r="J69" s="13" t="s">
        <v>741</v>
      </c>
      <c r="K69" s="13" t="n">
        <v>15</v>
      </c>
      <c r="L69" s="13" t="n">
        <v>225</v>
      </c>
      <c r="M69" s="13" t="s">
        <v>156</v>
      </c>
      <c r="N69" s="13" t="n">
        <v>90</v>
      </c>
      <c r="O69" s="13" t="s">
        <v>27</v>
      </c>
      <c r="P69" s="13" t="s">
        <v>282</v>
      </c>
      <c r="Q69" s="13" t="n">
        <v>8.5</v>
      </c>
      <c r="R69" s="13" t="s">
        <v>742</v>
      </c>
      <c r="S69" s="13" t="s">
        <v>743</v>
      </c>
      <c r="T69" s="13" t="s">
        <v>744</v>
      </c>
      <c r="U69" s="13" t="s">
        <v>745</v>
      </c>
      <c r="V69" s="13" t="s">
        <v>746</v>
      </c>
      <c r="W69" s="13" t="str">
        <f aca="false">IF(OR(ISNUMBER(SEARCH("gesha",G69)),ISNUMBER(SEARCH("geisha",G69))),"⭐ GESHA","")</f>
        <v/>
      </c>
      <c r="X69" s="13" t="s">
        <v>747</v>
      </c>
    </row>
    <row r="70" customFormat="false" ht="184.5" hidden="false" customHeight="true" outlineLevel="0" collapsed="false">
      <c r="A70" s="12" t="n">
        <v>46227</v>
      </c>
      <c r="B70" s="13" t="s">
        <v>52</v>
      </c>
      <c r="C70" s="13" t="s">
        <v>748</v>
      </c>
      <c r="D70" s="13" t="s">
        <v>749</v>
      </c>
      <c r="E70" s="13" t="s">
        <v>750</v>
      </c>
      <c r="F70" s="13" t="s">
        <v>639</v>
      </c>
      <c r="G70" s="13" t="s">
        <v>196</v>
      </c>
      <c r="H70" s="13" t="s">
        <v>29</v>
      </c>
      <c r="I70" s="13" t="s">
        <v>30</v>
      </c>
      <c r="J70" s="13" t="s">
        <v>751</v>
      </c>
      <c r="K70" s="13" t="n">
        <v>16</v>
      </c>
      <c r="L70" s="13" t="n">
        <v>272</v>
      </c>
      <c r="M70" s="13" t="s">
        <v>120</v>
      </c>
      <c r="N70" s="13" t="n">
        <v>93</v>
      </c>
      <c r="O70" s="13" t="s">
        <v>752</v>
      </c>
      <c r="P70" s="13" t="s">
        <v>307</v>
      </c>
      <c r="Q70" s="13" t="n">
        <v>12</v>
      </c>
      <c r="R70" s="13" t="s">
        <v>753</v>
      </c>
      <c r="S70" s="13" t="s">
        <v>754</v>
      </c>
      <c r="T70" s="13" t="s">
        <v>755</v>
      </c>
      <c r="U70" s="13" t="s">
        <v>756</v>
      </c>
      <c r="V70" s="13" t="s">
        <v>757</v>
      </c>
      <c r="W70" s="13" t="str">
        <f aca="false">IF(OR(ISNUMBER(SEARCH("gesha",G70)),ISNUMBER(SEARCH("geisha",G70))),"⭐ GESHA","")</f>
        <v>⭐ GESHA</v>
      </c>
      <c r="X70" s="13" t="s">
        <v>758</v>
      </c>
    </row>
    <row r="71" customFormat="false" ht="184.5" hidden="false" customHeight="true" outlineLevel="0" collapsed="false">
      <c r="A71" s="12" t="n">
        <v>46228</v>
      </c>
      <c r="B71" s="13" t="s">
        <v>52</v>
      </c>
      <c r="C71" s="13" t="s">
        <v>737</v>
      </c>
      <c r="D71" s="13" t="s">
        <v>759</v>
      </c>
      <c r="E71" s="13" t="s">
        <v>27</v>
      </c>
      <c r="F71" s="13" t="s">
        <v>760</v>
      </c>
      <c r="G71" s="13" t="s">
        <v>27</v>
      </c>
      <c r="H71" s="13" t="s">
        <v>58</v>
      </c>
      <c r="I71" s="13" t="s">
        <v>31</v>
      </c>
      <c r="J71" s="13" t="s">
        <v>741</v>
      </c>
      <c r="K71" s="13" t="n">
        <v>15</v>
      </c>
      <c r="L71" s="13" t="n">
        <v>242</v>
      </c>
      <c r="M71" s="13" t="s">
        <v>761</v>
      </c>
      <c r="N71" s="13" t="n">
        <v>90</v>
      </c>
      <c r="O71" s="13" t="s">
        <v>762</v>
      </c>
      <c r="P71" s="13" t="s">
        <v>282</v>
      </c>
      <c r="Q71" s="13" t="n">
        <v>10.5</v>
      </c>
      <c r="R71" s="13" t="s">
        <v>763</v>
      </c>
      <c r="S71" s="13" t="s">
        <v>764</v>
      </c>
      <c r="T71" s="13" t="s">
        <v>765</v>
      </c>
      <c r="U71" s="13" t="s">
        <v>766</v>
      </c>
      <c r="V71" s="13" t="s">
        <v>767</v>
      </c>
      <c r="W71" s="13" t="str">
        <f aca="false">IF(OR(ISNUMBER(SEARCH("gesha",G71)),ISNUMBER(SEARCH("geisha",G71))),"⭐ GESHA","")</f>
        <v/>
      </c>
      <c r="X71" s="13" t="s">
        <v>747</v>
      </c>
    </row>
    <row r="72" customFormat="false" ht="78.75" hidden="false" customHeight="true" outlineLevel="0" collapsed="false">
      <c r="A72" s="12" t="n">
        <v>46231</v>
      </c>
      <c r="B72" s="13" t="s">
        <v>52</v>
      </c>
      <c r="C72" s="13" t="s">
        <v>115</v>
      </c>
      <c r="D72" s="13" t="s">
        <v>768</v>
      </c>
      <c r="E72" s="13" t="s">
        <v>169</v>
      </c>
      <c r="F72" s="13" t="s">
        <v>769</v>
      </c>
      <c r="G72" s="13" t="s">
        <v>171</v>
      </c>
      <c r="H72" s="13" t="s">
        <v>58</v>
      </c>
      <c r="I72" s="13" t="s">
        <v>448</v>
      </c>
      <c r="J72" s="13" t="s">
        <v>770</v>
      </c>
      <c r="K72" s="13" t="s">
        <v>27</v>
      </c>
      <c r="L72" s="13" t="s">
        <v>27</v>
      </c>
      <c r="M72" s="13" t="s">
        <v>27</v>
      </c>
      <c r="N72" s="13" t="s">
        <v>27</v>
      </c>
      <c r="O72" s="13" t="s">
        <v>27</v>
      </c>
      <c r="P72" s="13" t="s">
        <v>326</v>
      </c>
      <c r="Q72" s="13" t="n">
        <v>9.5</v>
      </c>
      <c r="R72" s="13" t="s">
        <v>771</v>
      </c>
      <c r="S72" s="13" t="s">
        <v>772</v>
      </c>
      <c r="T72" s="13" t="s">
        <v>773</v>
      </c>
      <c r="U72" s="13" t="s">
        <v>774</v>
      </c>
      <c r="V72" s="13" t="s">
        <v>775</v>
      </c>
      <c r="W72" s="13" t="str">
        <f aca="false">IF(OR(ISNUMBER(SEARCH("gesha",G72)),ISNUMBER(SEARCH("geisha",G72))),"⭐ GESHA","")</f>
        <v>⭐ GESHA</v>
      </c>
      <c r="X72" s="13" t="s">
        <v>125</v>
      </c>
    </row>
    <row r="73" customFormat="false" ht="98.25" hidden="false" customHeight="true" outlineLevel="0" collapsed="false">
      <c r="A73" s="12" t="n">
        <v>46231</v>
      </c>
      <c r="B73" s="13" t="s">
        <v>52</v>
      </c>
      <c r="C73" s="13" t="s">
        <v>115</v>
      </c>
      <c r="D73" s="13" t="s">
        <v>776</v>
      </c>
      <c r="E73" s="13" t="s">
        <v>777</v>
      </c>
      <c r="F73" s="13" t="s">
        <v>778</v>
      </c>
      <c r="G73" s="13" t="s">
        <v>128</v>
      </c>
      <c r="H73" s="13" t="s">
        <v>58</v>
      </c>
      <c r="I73" s="13" t="s">
        <v>448</v>
      </c>
      <c r="J73" s="13" t="s">
        <v>770</v>
      </c>
      <c r="K73" s="13" t="n">
        <v>13</v>
      </c>
      <c r="L73" s="13" t="n">
        <v>215</v>
      </c>
      <c r="M73" s="13" t="s">
        <v>474</v>
      </c>
      <c r="N73" s="13" t="s">
        <v>27</v>
      </c>
      <c r="O73" s="13" t="s">
        <v>27</v>
      </c>
      <c r="P73" s="13" t="s">
        <v>326</v>
      </c>
      <c r="Q73" s="13" t="n">
        <v>9</v>
      </c>
      <c r="R73" s="13" t="s">
        <v>779</v>
      </c>
      <c r="S73" s="13" t="s">
        <v>780</v>
      </c>
      <c r="T73" s="13" t="s">
        <v>781</v>
      </c>
      <c r="U73" s="13" t="s">
        <v>782</v>
      </c>
      <c r="V73" s="13" t="s">
        <v>783</v>
      </c>
      <c r="W73" s="13" t="str">
        <f aca="false">IF(OR(ISNUMBER(SEARCH("gesha",G73)),ISNUMBER(SEARCH("geisha",G73))),"⭐ GESHA","")</f>
        <v/>
      </c>
      <c r="X73" s="13" t="s">
        <v>125</v>
      </c>
    </row>
    <row r="74" customFormat="false" ht="189.75" hidden="false" customHeight="true" outlineLevel="0" collapsed="false">
      <c r="A74" s="12" t="n">
        <v>46232</v>
      </c>
      <c r="B74" s="13" t="s">
        <v>52</v>
      </c>
      <c r="C74" s="13" t="s">
        <v>784</v>
      </c>
      <c r="D74" s="13" t="s">
        <v>785</v>
      </c>
      <c r="E74" s="13" t="s">
        <v>786</v>
      </c>
      <c r="F74" s="13" t="s">
        <v>558</v>
      </c>
      <c r="G74" s="13" t="s">
        <v>196</v>
      </c>
      <c r="H74" s="13" t="s">
        <v>404</v>
      </c>
      <c r="I74" s="13" t="s">
        <v>27</v>
      </c>
      <c r="J74" s="13" t="s">
        <v>787</v>
      </c>
      <c r="K74" s="13" t="n">
        <v>15</v>
      </c>
      <c r="L74" s="13" t="n">
        <v>225</v>
      </c>
      <c r="M74" s="13" t="s">
        <v>156</v>
      </c>
      <c r="N74" s="13" t="n">
        <v>85</v>
      </c>
      <c r="O74" s="13" t="s">
        <v>788</v>
      </c>
      <c r="P74" s="13" t="s">
        <v>282</v>
      </c>
      <c r="Q74" s="13" t="n">
        <v>10.5</v>
      </c>
      <c r="R74" s="13" t="s">
        <v>789</v>
      </c>
      <c r="S74" s="13" t="s">
        <v>790</v>
      </c>
      <c r="T74" s="13" t="s">
        <v>791</v>
      </c>
      <c r="U74" s="13" t="s">
        <v>792</v>
      </c>
      <c r="V74" s="13" t="s">
        <v>793</v>
      </c>
      <c r="W74" s="13" t="str">
        <f aca="false">IF(OR(ISNUMBER(SEARCH("gesha",G74)),ISNUMBER(SEARCH("geisha",G74))),"⭐ GESHA","")</f>
        <v>⭐ GESHA</v>
      </c>
      <c r="X74" s="13" t="s">
        <v>794</v>
      </c>
    </row>
    <row r="75" customFormat="false" ht="189.75" hidden="false" customHeight="true" outlineLevel="0" collapsed="false">
      <c r="A75" s="12" t="n">
        <v>46234</v>
      </c>
      <c r="B75" s="13" t="s">
        <v>52</v>
      </c>
      <c r="C75" s="13" t="s">
        <v>192</v>
      </c>
      <c r="D75" s="13" t="s">
        <v>795</v>
      </c>
      <c r="E75" s="13" t="s">
        <v>27</v>
      </c>
      <c r="F75" s="13" t="s">
        <v>796</v>
      </c>
      <c r="G75" s="13" t="s">
        <v>530</v>
      </c>
      <c r="H75" s="13" t="s">
        <v>58</v>
      </c>
      <c r="I75" s="13" t="s">
        <v>146</v>
      </c>
      <c r="J75" s="13" t="s">
        <v>281</v>
      </c>
      <c r="K75" s="13" t="n">
        <v>15</v>
      </c>
      <c r="L75" s="13" t="n">
        <v>225</v>
      </c>
      <c r="M75" s="13" t="s">
        <v>156</v>
      </c>
      <c r="N75" s="13" t="s">
        <v>797</v>
      </c>
      <c r="O75" s="13" t="s">
        <v>27</v>
      </c>
      <c r="P75" s="13" t="s">
        <v>149</v>
      </c>
      <c r="Q75" s="13" t="n">
        <v>10</v>
      </c>
      <c r="R75" s="13" t="s">
        <v>798</v>
      </c>
      <c r="S75" s="13" t="s">
        <v>799</v>
      </c>
      <c r="T75" s="13" t="s">
        <v>800</v>
      </c>
      <c r="U75" s="13" t="s">
        <v>801</v>
      </c>
      <c r="V75" s="13" t="s">
        <v>802</v>
      </c>
      <c r="W75" s="13" t="str">
        <f aca="false">IF(OR(ISNUMBER(SEARCH("gesha",G75)),ISNUMBER(SEARCH("geisha",G75))),"⭐ GESHA","")</f>
        <v/>
      </c>
      <c r="X75" s="13" t="s">
        <v>203</v>
      </c>
    </row>
    <row r="76" customFormat="false" ht="139.5" hidden="false" customHeight="true" outlineLevel="0" collapsed="false">
      <c r="A76" s="12" t="n">
        <v>46235</v>
      </c>
      <c r="B76" s="13" t="s">
        <v>52</v>
      </c>
      <c r="C76" s="13" t="s">
        <v>322</v>
      </c>
      <c r="D76" s="13" t="s">
        <v>803</v>
      </c>
      <c r="E76" s="13" t="s">
        <v>804</v>
      </c>
      <c r="F76" s="13" t="s">
        <v>694</v>
      </c>
      <c r="G76" s="13" t="s">
        <v>196</v>
      </c>
      <c r="H76" s="13" t="s">
        <v>29</v>
      </c>
      <c r="I76" s="13" t="s">
        <v>146</v>
      </c>
      <c r="J76" s="13" t="s">
        <v>591</v>
      </c>
      <c r="K76" s="13" t="s">
        <v>682</v>
      </c>
      <c r="L76" s="13" t="s">
        <v>805</v>
      </c>
      <c r="M76" s="13" t="s">
        <v>806</v>
      </c>
      <c r="N76" s="13" t="s">
        <v>807</v>
      </c>
      <c r="O76" s="13" t="s">
        <v>27</v>
      </c>
      <c r="P76" s="13" t="s">
        <v>685</v>
      </c>
      <c r="Q76" s="13" t="n">
        <v>32</v>
      </c>
      <c r="R76" s="13" t="s">
        <v>808</v>
      </c>
      <c r="S76" s="13" t="s">
        <v>809</v>
      </c>
      <c r="T76" s="13" t="s">
        <v>810</v>
      </c>
      <c r="U76" s="13" t="s">
        <v>811</v>
      </c>
      <c r="V76" s="13" t="s">
        <v>812</v>
      </c>
      <c r="W76" s="13" t="str">
        <f aca="false">IF(OR(ISNUMBER(SEARCH("gesha",G76)),ISNUMBER(SEARCH("geisha",G76))),"⭐ GESHA","")</f>
        <v>⭐ GESHA</v>
      </c>
      <c r="X76" s="13" t="s">
        <v>331</v>
      </c>
    </row>
    <row r="77" customFormat="false" ht="189.75" hidden="false" customHeight="true" outlineLevel="0" collapsed="false">
      <c r="A77" s="12" t="n">
        <v>46239</v>
      </c>
      <c r="B77" s="13" t="s">
        <v>52</v>
      </c>
      <c r="C77" s="13" t="s">
        <v>251</v>
      </c>
      <c r="D77" s="13" t="s">
        <v>813</v>
      </c>
      <c r="E77" s="13" t="s">
        <v>814</v>
      </c>
      <c r="F77" s="13" t="s">
        <v>639</v>
      </c>
      <c r="G77" s="13" t="s">
        <v>569</v>
      </c>
      <c r="H77" s="13" t="s">
        <v>58</v>
      </c>
      <c r="I77" s="13" t="s">
        <v>146</v>
      </c>
      <c r="J77" s="13" t="s">
        <v>815</v>
      </c>
      <c r="K77" s="13" t="s">
        <v>27</v>
      </c>
      <c r="L77" s="13" t="s">
        <v>27</v>
      </c>
      <c r="M77" s="13" t="s">
        <v>120</v>
      </c>
      <c r="N77" s="13" t="s">
        <v>816</v>
      </c>
      <c r="O77" s="13" t="s">
        <v>27</v>
      </c>
      <c r="P77" s="13" t="s">
        <v>387</v>
      </c>
      <c r="Q77" s="13" t="n">
        <v>7.5</v>
      </c>
      <c r="R77" s="13" t="s">
        <v>817</v>
      </c>
      <c r="S77" s="13" t="s">
        <v>818</v>
      </c>
      <c r="T77" s="13" t="s">
        <v>819</v>
      </c>
      <c r="U77" s="13" t="s">
        <v>820</v>
      </c>
      <c r="V77" s="13" t="s">
        <v>821</v>
      </c>
      <c r="W77" s="13" t="str">
        <f aca="false">IF(OR(ISNUMBER(SEARCH("gesha",G77)),ISNUMBER(SEARCH("geisha",G77))),"⭐ GESHA","")</f>
        <v/>
      </c>
      <c r="X77" s="13" t="s">
        <v>259</v>
      </c>
    </row>
  </sheetData>
  <conditionalFormatting sqref="A2:W2000">
    <cfRule type="expression" priority="2" aboveAverage="0" equalAverage="0" bottom="0" percent="0" rank="0" text="" dxfId="0">
      <formula>AND($A2&lt;&gt;"",OR(ISNUMBER(SEARCH("gesha",$G2)),ISNUMBER(SEARCH("geisha",$G2))))</formula>
    </cfRule>
    <cfRule type="expression" priority="3" aboveAverage="0" equalAverage="0" bottom="0" percent="0" rank="0" text="" dxfId="1">
      <formula>AND($A2&lt;&gt;"",MOD(ROW(),2)=0)</formula>
    </cfRule>
    <cfRule type="expression" priority="4" aboveAverage="0" equalAverage="0" bottom="0" percent="0" rank="0" text="" dxfId="2">
      <formula>AND($A2&lt;&gt;"",MOD(ROW(),2)=1)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02A"/>
    <pageSetUpPr fitToPage="false"/>
  </sheetPr>
  <dimension ref="B1:M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4.5"/>
    <col collapsed="false" customWidth="true" hidden="false" outlineLevel="0" max="3" min="3" style="1" width="26"/>
    <col collapsed="false" customWidth="true" hidden="false" outlineLevel="0" max="4" min="4" style="1" width="17"/>
    <col collapsed="false" customWidth="true" hidden="false" outlineLevel="0" max="5" min="5" style="1" width="13"/>
    <col collapsed="false" customWidth="true" hidden="false" outlineLevel="0" max="6" min="6" style="1" width="9.52"/>
    <col collapsed="false" customWidth="true" hidden="false" outlineLevel="0" max="7" min="7" style="1" width="12"/>
    <col collapsed="false" customWidth="true" hidden="false" outlineLevel="0" max="13" min="8" style="1" width="10"/>
  </cols>
  <sheetData>
    <row r="1" customFormat="false" ht="30" hidden="false" customHeight="true" outlineLevel="0" collapsed="false">
      <c r="B1" s="14" t="s">
        <v>822</v>
      </c>
      <c r="C1" s="14"/>
      <c r="D1" s="14"/>
      <c r="E1" s="14"/>
      <c r="F1" s="14"/>
      <c r="G1" s="14"/>
      <c r="H1" s="14"/>
      <c r="I1" s="14"/>
      <c r="J1" s="14"/>
      <c r="K1" s="14"/>
      <c r="L1" s="14"/>
      <c r="M1" s="14"/>
    </row>
    <row r="2" customFormat="false" ht="13.5" hidden="false" customHeight="true" outlineLevel="0" collapsed="false">
      <c r="B2" s="15" t="s">
        <v>823</v>
      </c>
      <c r="C2" s="15"/>
      <c r="D2" s="15"/>
      <c r="E2" s="15"/>
      <c r="F2" s="15"/>
      <c r="G2" s="15"/>
      <c r="H2" s="15"/>
      <c r="I2" s="15"/>
      <c r="J2" s="15"/>
      <c r="K2" s="15"/>
      <c r="L2" s="15"/>
      <c r="M2" s="15"/>
    </row>
    <row r="3" customFormat="false" ht="6" hidden="false" customHeight="true" outlineLevel="0" collapsed="false"/>
    <row r="4" customFormat="false" ht="16.5" hidden="false" customHeight="true" outlineLevel="0" collapsed="false">
      <c r="B4" s="16" t="s">
        <v>824</v>
      </c>
      <c r="C4" s="16"/>
      <c r="D4" s="16"/>
      <c r="E4" s="16"/>
      <c r="F4" s="16"/>
      <c r="G4" s="16"/>
      <c r="H4" s="16"/>
      <c r="I4" s="16"/>
      <c r="J4" s="16"/>
      <c r="K4" s="16"/>
      <c r="L4" s="16"/>
      <c r="M4" s="16"/>
    </row>
    <row r="5" customFormat="false" ht="3.75" hidden="false" customHeight="true" outlineLevel="0" collapsed="false"/>
    <row r="6" customFormat="false" ht="13.5" hidden="false" customHeight="true" outlineLevel="0" collapsed="false">
      <c r="B6" s="17" t="s">
        <v>825</v>
      </c>
      <c r="C6" s="17"/>
      <c r="D6" s="18" t="s">
        <v>826</v>
      </c>
      <c r="E6" s="18" t="s">
        <v>827</v>
      </c>
      <c r="F6" s="18" t="s">
        <v>828</v>
      </c>
      <c r="G6" s="18" t="s">
        <v>829</v>
      </c>
      <c r="H6" s="17" t="s">
        <v>830</v>
      </c>
      <c r="I6" s="17"/>
      <c r="J6" s="18" t="s">
        <v>831</v>
      </c>
      <c r="K6" s="18" t="s">
        <v>832</v>
      </c>
      <c r="L6" s="18" t="s">
        <v>833</v>
      </c>
      <c r="M6" s="18" t="s">
        <v>834</v>
      </c>
    </row>
    <row r="7" customFormat="false" ht="30" hidden="false" customHeight="true" outlineLevel="0" collapsed="false">
      <c r="B7" s="19" t="n">
        <f aca="false">COUNTA('Coffee Audit'!A2:A2000)</f>
        <v>76</v>
      </c>
      <c r="C7" s="19"/>
      <c r="D7" s="20" t="n">
        <f aca="false">SUMPRODUCT(('Coffee Audit'!C2:C2000&lt;&gt;"")/COUNTIF('Coffee Audit'!C2:C2000,'Coffee Audit'!C2:C2000&amp;""))</f>
        <v>38</v>
      </c>
      <c r="E7" s="20" t="n">
        <f aca="false">SUMPRODUCT(('Coffee Audit'!B2:B2000&lt;&gt;"")/COUNTIF('Coffee Audit'!B2:B2000,'Coffee Audit'!B2:B2000&amp;""))</f>
        <v>4</v>
      </c>
      <c r="F7" s="20" t="n">
        <f aca="false">COUNTIF('Coffee Audit'!W2:W2000,"⭐ GESHA")</f>
        <v>20</v>
      </c>
      <c r="G7" s="20" t="str">
        <f aca="false">TEXT(COUNTIF('Coffee Audit'!H2:H2000,"*Washed*")/COUNTA('Coffee Audit'!A2:A2000),"0%")</f>
        <v>51%</v>
      </c>
      <c r="H7" s="19" t="n">
        <f aca="false">SUM('Coffee Audit'!Q2:Q2000)</f>
        <v>719.85</v>
      </c>
      <c r="I7" s="19"/>
      <c r="J7" s="21" t="n">
        <f aca="false">AVERAGEIFS('Coffee Audit'!Q2:Q2000,'Coffee Audit'!Q2:Q2000,"&gt;0")</f>
        <v>11.9975</v>
      </c>
      <c r="K7" s="21" t="n">
        <f aca="false">AVERAGEIFS('Coffee Audit'!Q2:Q2000,'Coffee Audit'!W2:W2000,"⭐ GESHA",'Coffee Audit'!Q2:Q2000,"&gt;0")</f>
        <v>16.92</v>
      </c>
      <c r="L7" s="21" t="n">
        <f aca="false">MAX('Coffee Audit'!Q2:Q2000)</f>
        <v>60</v>
      </c>
      <c r="M7" s="22" t="n">
        <f aca="false">SUMPRODUCT(('Coffee Audit'!F2:F2000&lt;&gt;"")/COUNTIF('Coffee Audit'!F2:F2000,'Coffee Audit'!F2:F2000&amp;""))</f>
        <v>52</v>
      </c>
    </row>
    <row r="8" customFormat="false" ht="12" hidden="false" customHeight="true" outlineLevel="0" collapsed="false">
      <c r="B8" s="23" t="s">
        <v>835</v>
      </c>
      <c r="C8" s="23"/>
      <c r="D8" s="24" t="s">
        <v>836</v>
      </c>
      <c r="E8" s="24" t="s">
        <v>837</v>
      </c>
      <c r="F8" s="24" t="str">
        <f aca="false">TEXT(COUNTIF('Coffee Audit'!W2:W2000,"⭐ GESHA")/COUNTA('Coffee Audit'!A2:A2000),"0%")&amp;" of archive"</f>
        <v>26% of archive</v>
      </c>
      <c r="G8" s="24" t="s">
        <v>838</v>
      </c>
      <c r="H8" s="23" t="s">
        <v>839</v>
      </c>
      <c r="I8" s="23"/>
      <c r="J8" s="24" t="s">
        <v>840</v>
      </c>
      <c r="K8" s="24" t="s">
        <v>840</v>
      </c>
      <c r="L8" s="24" t="s">
        <v>840</v>
      </c>
      <c r="M8" s="24" t="s">
        <v>840</v>
      </c>
    </row>
    <row r="9" customFormat="false" ht="6.75" hidden="false" customHeight="true" outlineLevel="0" collapsed="false"/>
    <row r="10" customFormat="false" ht="16.5" hidden="false" customHeight="true" outlineLevel="0" collapsed="false">
      <c r="B10" s="25" t="s">
        <v>841</v>
      </c>
      <c r="C10" s="25"/>
      <c r="D10" s="25"/>
      <c r="E10" s="25"/>
      <c r="F10" s="25"/>
      <c r="G10" s="25"/>
      <c r="H10" s="25"/>
      <c r="I10" s="25"/>
      <c r="J10" s="25"/>
      <c r="K10" s="25"/>
      <c r="L10" s="25"/>
      <c r="M10" s="25"/>
    </row>
    <row r="11" customFormat="false" ht="12" hidden="false" customHeight="true" outlineLevel="0" collapsed="false">
      <c r="B11" s="26" t="s">
        <v>842</v>
      </c>
      <c r="C11" s="26"/>
      <c r="D11" s="27" t="s">
        <v>843</v>
      </c>
      <c r="E11" s="27" t="s">
        <v>844</v>
      </c>
      <c r="F11" s="27" t="s">
        <v>845</v>
      </c>
      <c r="G11" s="27" t="s">
        <v>846</v>
      </c>
      <c r="H11" s="27" t="s">
        <v>847</v>
      </c>
      <c r="I11" s="27" t="s">
        <v>848</v>
      </c>
      <c r="J11" s="26" t="s">
        <v>849</v>
      </c>
      <c r="K11" s="26"/>
      <c r="L11" s="26" t="s">
        <v>850</v>
      </c>
      <c r="M11" s="26"/>
    </row>
    <row r="12" customFormat="false" ht="24" hidden="false" customHeight="true" outlineLevel="0" collapsed="false">
      <c r="B12" s="28" t="n">
        <f aca="false">INDEX('Coffee Audit'!A2:A2000,COUNTA('Coffee Audit'!A2:A2000))</f>
        <v>46239</v>
      </c>
      <c r="C12" s="28"/>
      <c r="D12" s="29" t="str">
        <f aca="false">INDEX('Coffee Audit'!C2:C2000,COUNTA('Coffee Audit'!A2:A2000))</f>
        <v>Nylon Coffee Roasters</v>
      </c>
      <c r="E12" s="29" t="str">
        <f aca="false">INDEX('Coffee Audit'!D2:D2000,COUNTA('Coffee Audit'!A2:A2000))</f>
        <v>El Romerillo</v>
      </c>
      <c r="F12" s="29" t="str">
        <f aca="false">INDEX('Coffee Audit'!F2:F2000,COUNTA('Coffee Audit'!A2:A2000))</f>
        <v>Peru</v>
      </c>
      <c r="G12" s="29" t="str">
        <f aca="false">INDEX('Coffee Audit'!G2:G2000,COUNTA('Coffee Audit'!A2:A2000))</f>
        <v>Caturra</v>
      </c>
      <c r="H12" s="29" t="str">
        <f aca="false">INDEX('Coffee Audit'!H2:H2000,COUNTA('Coffee Audit'!A2:A2000))</f>
        <v>Washed</v>
      </c>
      <c r="I12" s="29" t="str">
        <f aca="false">INDEX('Coffee Audit'!M2:M2000,COUNTA('Coffee Audit'!A2:A2000))</f>
        <v>1:17</v>
      </c>
      <c r="J12" s="30" t="str">
        <f aca="false">INDEX('Coffee Audit'!N2:N2000,COUNTA('Coffee Audit'!A2:A2000))</f>
        <v>93°C (Constant — barista-confirmed house standard)</v>
      </c>
      <c r="K12" s="30"/>
      <c r="L12" s="31" t="n">
        <f aca="false">INDEX('Coffee Audit'!Q2:Q2000,COUNTA('Coffee Audit'!A2:A2000))</f>
        <v>7.5</v>
      </c>
      <c r="M12" s="31"/>
    </row>
    <row r="13" customFormat="false" ht="6.75" hidden="false" customHeight="true" outlineLevel="0" collapsed="false"/>
    <row r="14" customFormat="false" ht="16.5" hidden="false" customHeight="true" outlineLevel="0" collapsed="false">
      <c r="B14" s="25" t="str">
        <f aca="false">"  ⭐  GESHA / GEISHA HALL OF FAME   —   all "&amp;COUNTIF('Coffee Audit'!W2:W2000,"⭐ GESHA")&amp;" apex-varietal cups, ranked by price paid"</f>
        <v>  ⭐  GESHA / GEISHA HALL OF FAME   —   all 20 apex-varietal cups, ranked by price paid</v>
      </c>
      <c r="C14" s="25"/>
      <c r="D14" s="25"/>
      <c r="E14" s="25"/>
      <c r="F14" s="25"/>
      <c r="G14" s="25"/>
      <c r="H14" s="25"/>
      <c r="I14" s="25"/>
      <c r="J14" s="25"/>
      <c r="K14" s="25"/>
      <c r="L14" s="25"/>
      <c r="M14" s="25"/>
    </row>
    <row r="15" customFormat="false" ht="15" hidden="false" customHeight="true" outlineLevel="0" collapsed="false">
      <c r="B15" s="32" t="s">
        <v>851</v>
      </c>
      <c r="C15" s="32" t="s">
        <v>852</v>
      </c>
      <c r="D15" s="32" t="s">
        <v>853</v>
      </c>
      <c r="E15" s="32" t="s">
        <v>7</v>
      </c>
      <c r="F15" s="32" t="s">
        <v>854</v>
      </c>
      <c r="G15" s="33" t="s">
        <v>855</v>
      </c>
      <c r="H15" s="33"/>
    </row>
    <row r="16" customFormat="false" ht="12.75" hidden="false" customHeight="true" outlineLevel="0" collapsed="false">
      <c r="B16" s="34" t="n">
        <v>1</v>
      </c>
      <c r="C16" s="35" t="s">
        <v>668</v>
      </c>
      <c r="D16" s="35" t="s">
        <v>856</v>
      </c>
      <c r="E16" s="36" t="s">
        <v>58</v>
      </c>
      <c r="F16" s="37" t="n">
        <v>60</v>
      </c>
      <c r="G16" s="38" t="s">
        <v>857</v>
      </c>
      <c r="H16" s="38"/>
    </row>
    <row r="17" customFormat="false" ht="12.75" hidden="false" customHeight="true" outlineLevel="0" collapsed="false">
      <c r="B17" s="39" t="n">
        <v>2</v>
      </c>
      <c r="C17" s="40" t="s">
        <v>646</v>
      </c>
      <c r="D17" s="40" t="s">
        <v>858</v>
      </c>
      <c r="E17" s="41" t="s">
        <v>58</v>
      </c>
      <c r="F17" s="42" t="n">
        <v>21</v>
      </c>
      <c r="G17" s="43"/>
      <c r="H17" s="43"/>
    </row>
    <row r="18" customFormat="false" ht="12.75" hidden="false" customHeight="true" outlineLevel="0" collapsed="false">
      <c r="B18" s="44" t="n">
        <v>3</v>
      </c>
      <c r="C18" s="45" t="s">
        <v>555</v>
      </c>
      <c r="D18" s="45" t="s">
        <v>859</v>
      </c>
      <c r="E18" s="46" t="s">
        <v>29</v>
      </c>
      <c r="F18" s="47" t="n">
        <v>19</v>
      </c>
      <c r="G18" s="48"/>
      <c r="H18" s="48"/>
    </row>
    <row r="19" customFormat="false" ht="12.75" hidden="false" customHeight="true" outlineLevel="0" collapsed="false">
      <c r="B19" s="39" t="n">
        <v>4</v>
      </c>
      <c r="C19" s="40" t="s">
        <v>860</v>
      </c>
      <c r="D19" s="40" t="s">
        <v>861</v>
      </c>
      <c r="E19" s="41" t="s">
        <v>58</v>
      </c>
      <c r="F19" s="42" t="n">
        <v>18</v>
      </c>
      <c r="G19" s="43"/>
      <c r="H19" s="43"/>
    </row>
    <row r="20" customFormat="false" ht="12.75" hidden="false" customHeight="true" outlineLevel="0" collapsed="false">
      <c r="B20" s="44" t="n">
        <v>5</v>
      </c>
      <c r="C20" s="45" t="s">
        <v>622</v>
      </c>
      <c r="D20" s="45" t="s">
        <v>862</v>
      </c>
      <c r="E20" s="46" t="s">
        <v>29</v>
      </c>
      <c r="F20" s="47" t="n">
        <v>16</v>
      </c>
      <c r="G20" s="48"/>
      <c r="H20" s="48"/>
    </row>
    <row r="21" customFormat="false" ht="12.75" hidden="false" customHeight="true" outlineLevel="0" collapsed="false">
      <c r="B21" s="39" t="n">
        <v>6</v>
      </c>
      <c r="C21" s="40" t="s">
        <v>713</v>
      </c>
      <c r="D21" s="40" t="s">
        <v>863</v>
      </c>
      <c r="E21" s="41" t="s">
        <v>58</v>
      </c>
      <c r="F21" s="42" t="n">
        <v>16</v>
      </c>
      <c r="G21" s="43"/>
      <c r="H21" s="43"/>
    </row>
    <row r="22" customFormat="false" ht="12.75" hidden="false" customHeight="true" outlineLevel="0" collapsed="false">
      <c r="B22" s="44" t="n">
        <v>7</v>
      </c>
      <c r="C22" s="45" t="s">
        <v>401</v>
      </c>
      <c r="D22" s="45" t="s">
        <v>864</v>
      </c>
      <c r="E22" s="46" t="s">
        <v>404</v>
      </c>
      <c r="F22" s="47" t="n">
        <v>15</v>
      </c>
      <c r="G22" s="48"/>
      <c r="H22" s="48"/>
    </row>
    <row r="23" customFormat="false" ht="12.75" hidden="false" customHeight="true" outlineLevel="0" collapsed="false">
      <c r="B23" s="39" t="n">
        <v>8</v>
      </c>
      <c r="C23" s="40" t="s">
        <v>607</v>
      </c>
      <c r="D23" s="40" t="s">
        <v>865</v>
      </c>
      <c r="E23" s="41" t="s">
        <v>404</v>
      </c>
      <c r="F23" s="42" t="n">
        <v>15</v>
      </c>
      <c r="G23" s="43"/>
      <c r="H23" s="43"/>
    </row>
    <row r="24" customFormat="false" ht="12.75" hidden="false" customHeight="true" outlineLevel="0" collapsed="false">
      <c r="B24" s="44" t="n">
        <v>9</v>
      </c>
      <c r="C24" s="45" t="s">
        <v>322</v>
      </c>
      <c r="D24" s="45" t="s">
        <v>866</v>
      </c>
      <c r="E24" s="46" t="s">
        <v>58</v>
      </c>
      <c r="F24" s="47" t="n">
        <v>14</v>
      </c>
      <c r="G24" s="48" t="s">
        <v>867</v>
      </c>
      <c r="H24" s="48"/>
    </row>
    <row r="25" customFormat="false" ht="12.75" hidden="false" customHeight="true" outlineLevel="0" collapsed="false">
      <c r="B25" s="39" t="n">
        <v>10</v>
      </c>
      <c r="C25" s="40" t="s">
        <v>431</v>
      </c>
      <c r="D25" s="40" t="s">
        <v>865</v>
      </c>
      <c r="E25" s="41" t="s">
        <v>58</v>
      </c>
      <c r="F25" s="42" t="n">
        <v>13</v>
      </c>
      <c r="G25" s="43"/>
      <c r="H25" s="43"/>
    </row>
    <row r="26" customFormat="false" ht="12.75" hidden="false" customHeight="true" outlineLevel="0" collapsed="false">
      <c r="B26" s="44" t="n">
        <v>11</v>
      </c>
      <c r="C26" s="45" t="s">
        <v>167</v>
      </c>
      <c r="D26" s="45" t="s">
        <v>868</v>
      </c>
      <c r="E26" s="46" t="s">
        <v>58</v>
      </c>
      <c r="F26" s="47" t="n">
        <v>12.5</v>
      </c>
      <c r="G26" s="48"/>
      <c r="H26" s="48"/>
    </row>
    <row r="27" customFormat="false" ht="12.75" hidden="false" customHeight="true" outlineLevel="0" collapsed="false">
      <c r="B27" s="39" t="n">
        <v>12</v>
      </c>
      <c r="C27" s="40" t="s">
        <v>192</v>
      </c>
      <c r="D27" s="40" t="s">
        <v>869</v>
      </c>
      <c r="E27" s="41" t="s">
        <v>197</v>
      </c>
      <c r="F27" s="42" t="n">
        <v>12</v>
      </c>
      <c r="G27" s="43"/>
      <c r="H27" s="43"/>
    </row>
    <row r="28" customFormat="false" ht="12.75" hidden="false" customHeight="true" outlineLevel="0" collapsed="false">
      <c r="B28" s="44" t="n">
        <v>13</v>
      </c>
      <c r="C28" s="45" t="s">
        <v>431</v>
      </c>
      <c r="D28" s="45" t="s">
        <v>870</v>
      </c>
      <c r="E28" s="46" t="s">
        <v>58</v>
      </c>
      <c r="F28" s="47" t="n">
        <v>12</v>
      </c>
      <c r="G28" s="48"/>
      <c r="H28" s="48"/>
    </row>
    <row r="29" customFormat="false" ht="12.75" hidden="false" customHeight="true" outlineLevel="0" collapsed="false">
      <c r="B29" s="39" t="n">
        <v>14</v>
      </c>
      <c r="C29" s="40" t="s">
        <v>748</v>
      </c>
      <c r="D29" s="40" t="s">
        <v>871</v>
      </c>
      <c r="E29" s="41" t="s">
        <v>29</v>
      </c>
      <c r="F29" s="42" t="n">
        <v>12</v>
      </c>
      <c r="G29" s="43"/>
      <c r="H29" s="43"/>
    </row>
    <row r="30" customFormat="false" ht="12.75" hidden="false" customHeight="true" outlineLevel="0" collapsed="false">
      <c r="B30" s="44" t="n">
        <v>15</v>
      </c>
      <c r="C30" s="45" t="s">
        <v>167</v>
      </c>
      <c r="D30" s="45" t="s">
        <v>870</v>
      </c>
      <c r="E30" s="46" t="s">
        <v>58</v>
      </c>
      <c r="F30" s="47" t="n">
        <v>11</v>
      </c>
      <c r="G30" s="48"/>
      <c r="H30" s="48"/>
    </row>
    <row r="31" customFormat="false" ht="12.75" hidden="false" customHeight="true" outlineLevel="0" collapsed="false">
      <c r="B31" s="49" t="n">
        <v>16</v>
      </c>
      <c r="C31" s="50" t="s">
        <v>784</v>
      </c>
      <c r="D31" s="50" t="s">
        <v>872</v>
      </c>
      <c r="E31" s="51" t="s">
        <v>404</v>
      </c>
      <c r="F31" s="52" t="n">
        <v>10.5</v>
      </c>
      <c r="G31" s="53" t="s">
        <v>873</v>
      </c>
      <c r="H31" s="53"/>
    </row>
    <row r="32" customFormat="false" ht="12.75" hidden="false" customHeight="true" outlineLevel="0" collapsed="false">
      <c r="B32" s="44" t="n">
        <v>17</v>
      </c>
      <c r="C32" s="45" t="s">
        <v>668</v>
      </c>
      <c r="D32" s="45" t="s">
        <v>874</v>
      </c>
      <c r="E32" s="46" t="s">
        <v>875</v>
      </c>
      <c r="F32" s="47" t="n">
        <v>10</v>
      </c>
      <c r="G32" s="48"/>
      <c r="H32" s="48"/>
    </row>
    <row r="33" customFormat="false" ht="12.75" hidden="false" customHeight="true" outlineLevel="0" collapsed="false">
      <c r="B33" s="39" t="n">
        <v>18</v>
      </c>
      <c r="C33" s="40" t="s">
        <v>577</v>
      </c>
      <c r="D33" s="40" t="s">
        <v>876</v>
      </c>
      <c r="E33" s="41" t="s">
        <v>29</v>
      </c>
      <c r="F33" s="42" t="n">
        <v>9.9</v>
      </c>
      <c r="G33" s="43"/>
      <c r="H33" s="43"/>
    </row>
    <row r="34" customFormat="false" ht="12.75" hidden="false" customHeight="true" outlineLevel="0" collapsed="false">
      <c r="B34" s="44" t="n">
        <v>19</v>
      </c>
      <c r="C34" s="45" t="s">
        <v>115</v>
      </c>
      <c r="D34" s="45" t="s">
        <v>877</v>
      </c>
      <c r="E34" s="46" t="s">
        <v>58</v>
      </c>
      <c r="F34" s="47" t="n">
        <v>9.5</v>
      </c>
      <c r="G34" s="48"/>
      <c r="H34" s="48"/>
    </row>
    <row r="35" customFormat="false" ht="13.5" hidden="false" customHeight="true" outlineLevel="0" collapsed="false">
      <c r="B35" s="54" t="str">
        <f aca="false">"GESHA PREMIUM ECONOMICS   ·   avg Gesha "&amp;TEXT(AVERAGEIFS('Coffee Audit'!Q2:Q2000,'Coffee Audit'!W2:W2000,"⭐ GESHA",'Coffee Audit'!Q2:Q2000,"&gt;0"),"""S$""#,##0.00")&amp;"   vs   non-Gesha "&amp;TEXT(AVERAGEIFS('Coffee Audit'!Q2:Q2000,'Coffee Audit'!W2:W2000,"",'Coffee Audit'!Q2:Q2000,"&gt;0"),"""S$""#,##0.00")&amp;"   =   +"&amp;TEXT(AVERAGEIFS('Coffee Audit'!Q2:Q2000,'Coffee Audit'!W2:W2000,"⭐ GESHA",'Coffee Audit'!Q2:Q2000,"&gt;0")/AVERAGEIFS('Coffee Audit'!Q2:Q2000,'Coffee Audit'!W2:W2000,"",'Coffee Audit'!Q2:Q2000,"&gt;0")-1,"0%")&amp;" premium   ·   "&amp;COUNTIF('Coffee Audit'!W2:W2000,"⭐ GESHA")&amp;" of "&amp;COUNTA('Coffee Audit'!A2:A2000)&amp;" cups ("&amp;TEXT(COUNTIF('Coffee Audit'!W2:W2000,"⭐ GESHA")/COUNTA('Coffee Audit'!A2:A2000),"0%")&amp;") are the apex varietal"</f>
        <v>GESHA PREMIUM ECONOMICS   ·   avg Gesha S$16.92   vs   non-Gesha S$9.54   =   +77% premium   ·   20 of 76 cups (26%) are the apex varietal</v>
      </c>
      <c r="C35" s="54"/>
      <c r="D35" s="54"/>
      <c r="E35" s="54"/>
      <c r="F35" s="54"/>
      <c r="G35" s="54"/>
      <c r="H35" s="54"/>
      <c r="I35" s="54"/>
      <c r="J35" s="54"/>
      <c r="K35" s="54"/>
      <c r="L35" s="54"/>
      <c r="M35" s="54"/>
    </row>
    <row r="37" customFormat="false" ht="16.5" hidden="false" customHeight="true" outlineLevel="0" collapsed="false">
      <c r="B37" s="16" t="s">
        <v>878</v>
      </c>
      <c r="C37" s="16"/>
      <c r="D37" s="16"/>
      <c r="E37" s="16"/>
      <c r="F37" s="16"/>
      <c r="G37" s="16"/>
      <c r="H37" s="16"/>
      <c r="I37" s="16"/>
      <c r="J37" s="16"/>
      <c r="K37" s="16"/>
      <c r="L37" s="16"/>
      <c r="M37" s="16"/>
    </row>
    <row r="38" customFormat="false" ht="15" hidden="false" customHeight="true" outlineLevel="0" collapsed="false">
      <c r="B38" s="32" t="s">
        <v>879</v>
      </c>
      <c r="C38" s="32" t="s">
        <v>880</v>
      </c>
      <c r="D38" s="32" t="s">
        <v>881</v>
      </c>
      <c r="E38" s="32" t="s">
        <v>882</v>
      </c>
      <c r="F38" s="33" t="s">
        <v>883</v>
      </c>
      <c r="G38" s="33"/>
      <c r="H38" s="33"/>
      <c r="I38" s="33"/>
      <c r="J38" s="33"/>
      <c r="K38" s="33"/>
      <c r="L38" s="33"/>
      <c r="M38" s="33"/>
    </row>
    <row r="39" customFormat="false" ht="12.75" hidden="false" customHeight="true" outlineLevel="0" collapsed="false">
      <c r="B39" s="55" t="s">
        <v>884</v>
      </c>
      <c r="C39" s="44" t="n">
        <f aca="false">COUNTIF('Coffee Audit'!H2:H2000,"*Washed*")</f>
        <v>39</v>
      </c>
      <c r="D39" s="46" t="str">
        <f aca="false">TEXT(COUNTIF('Coffee Audit'!H2:H2000,"*Washed*")/COUNTA('Coffee Audit'!A2:A2000),"0%")</f>
        <v>51%</v>
      </c>
      <c r="E39" s="56" t="s">
        <v>885</v>
      </c>
      <c r="F39" s="57" t="s">
        <v>886</v>
      </c>
      <c r="G39" s="57"/>
      <c r="H39" s="57"/>
      <c r="I39" s="57"/>
      <c r="J39" s="57"/>
      <c r="K39" s="57"/>
      <c r="L39" s="57"/>
      <c r="M39" s="57"/>
    </row>
    <row r="40" customFormat="false" ht="12.75" hidden="false" customHeight="true" outlineLevel="0" collapsed="false">
      <c r="B40" s="58" t="s">
        <v>887</v>
      </c>
      <c r="C40" s="39" t="n">
        <f aca="false">COUNTIF('Coffee Audit'!H2:H2000,"*Natural*")</f>
        <v>25</v>
      </c>
      <c r="D40" s="41" t="str">
        <f aca="false">TEXT(COUNTIF('Coffee Audit'!H2:H2000,"*Natural*")/COUNTA('Coffee Audit'!A2:A2000),"0%")</f>
        <v>33%</v>
      </c>
      <c r="E40" s="59" t="s">
        <v>888</v>
      </c>
      <c r="F40" s="60" t="s">
        <v>889</v>
      </c>
      <c r="G40" s="60"/>
      <c r="H40" s="60"/>
      <c r="I40" s="60"/>
      <c r="J40" s="60"/>
      <c r="K40" s="60"/>
      <c r="L40" s="60"/>
      <c r="M40" s="60"/>
    </row>
    <row r="41" customFormat="false" ht="12.75" hidden="false" customHeight="true" outlineLevel="0" collapsed="false">
      <c r="B41" s="55" t="s">
        <v>890</v>
      </c>
      <c r="C41" s="44" t="n">
        <f aca="false">COUNTIF('Coffee Audit'!H2:H2000,"*Honey*")</f>
        <v>7</v>
      </c>
      <c r="D41" s="46" t="str">
        <f aca="false">TEXT(COUNTIF('Coffee Audit'!H2:H2000,"*Honey*")/COUNTA('Coffee Audit'!A2:A2000),"0%")</f>
        <v>9%</v>
      </c>
      <c r="E41" s="56" t="s">
        <v>891</v>
      </c>
      <c r="F41" s="57" t="s">
        <v>892</v>
      </c>
      <c r="G41" s="57"/>
      <c r="H41" s="57"/>
      <c r="I41" s="57"/>
      <c r="J41" s="57"/>
      <c r="K41" s="57"/>
      <c r="L41" s="57"/>
      <c r="M41" s="57"/>
    </row>
    <row r="42" customFormat="false" ht="12.75" hidden="false" customHeight="true" outlineLevel="0" collapsed="false">
      <c r="B42" s="58" t="s">
        <v>893</v>
      </c>
      <c r="C42" s="39" t="n">
        <f aca="false">COUNTIF('Coffee Audit'!H2:H2000,"*Anaerobic*")</f>
        <v>10</v>
      </c>
      <c r="D42" s="41" t="str">
        <f aca="false">TEXT(COUNTIF('Coffee Audit'!H2:H2000,"*Anaerobic*")/COUNTA('Coffee Audit'!A2:A2000),"0%")</f>
        <v>13%</v>
      </c>
      <c r="E42" s="59" t="s">
        <v>894</v>
      </c>
      <c r="F42" s="60" t="s">
        <v>895</v>
      </c>
      <c r="G42" s="60"/>
      <c r="H42" s="60"/>
      <c r="I42" s="60"/>
      <c r="J42" s="60"/>
      <c r="K42" s="60"/>
      <c r="L42" s="60"/>
      <c r="M42" s="60"/>
    </row>
    <row r="43" customFormat="false" ht="12.75" hidden="false" customHeight="true" outlineLevel="0" collapsed="false">
      <c r="B43" s="55" t="s">
        <v>896</v>
      </c>
      <c r="C43" s="44" t="n">
        <f aca="false">COUNTIF('Coffee Audit'!H2:H2000,"*Ferment*")</f>
        <v>7</v>
      </c>
      <c r="D43" s="46" t="str">
        <f aca="false">TEXT(COUNTIF('Coffee Audit'!H2:H2000,"*Ferment*")/COUNTA('Coffee Audit'!A2:A2000),"0%")</f>
        <v>9%</v>
      </c>
      <c r="E43" s="56" t="s">
        <v>897</v>
      </c>
      <c r="F43" s="57" t="s">
        <v>898</v>
      </c>
      <c r="G43" s="57"/>
      <c r="H43" s="57"/>
      <c r="I43" s="57"/>
      <c r="J43" s="57"/>
      <c r="K43" s="57"/>
      <c r="L43" s="57"/>
      <c r="M43" s="57"/>
    </row>
    <row r="44" customFormat="false" ht="12.75" hidden="false" customHeight="true" outlineLevel="0" collapsed="false">
      <c r="B44" s="58" t="s">
        <v>899</v>
      </c>
      <c r="C44" s="39" t="n">
        <f aca="false">COUNTIF('Coffee Audit'!H2:H2000,"*Hulled*")</f>
        <v>1</v>
      </c>
      <c r="D44" s="41" t="str">
        <f aca="false">TEXT(COUNTIF('Coffee Audit'!H2:H2000,"*Hulled*")/COUNTA('Coffee Audit'!A2:A2000),"0%")</f>
        <v>1%</v>
      </c>
      <c r="E44" s="59" t="s">
        <v>900</v>
      </c>
      <c r="F44" s="60" t="s">
        <v>901</v>
      </c>
      <c r="G44" s="60"/>
      <c r="H44" s="60"/>
      <c r="I44" s="60"/>
      <c r="J44" s="60"/>
      <c r="K44" s="60"/>
      <c r="L44" s="60"/>
      <c r="M44" s="60"/>
    </row>
    <row r="46" customFormat="false" ht="16.5" hidden="false" customHeight="true" outlineLevel="0" collapsed="false">
      <c r="B46" s="16" t="s">
        <v>902</v>
      </c>
      <c r="C46" s="16"/>
      <c r="D46" s="16"/>
      <c r="E46" s="16"/>
      <c r="F46" s="16"/>
      <c r="G46" s="16"/>
      <c r="H46" s="16"/>
      <c r="I46" s="16"/>
      <c r="J46" s="16"/>
      <c r="K46" s="16"/>
      <c r="L46" s="16"/>
      <c r="M46" s="16"/>
    </row>
    <row r="47" customFormat="false" ht="15" hidden="false" customHeight="true" outlineLevel="0" collapsed="false">
      <c r="B47" s="32" t="s">
        <v>5</v>
      </c>
      <c r="C47" s="32" t="s">
        <v>880</v>
      </c>
      <c r="D47" s="32" t="s">
        <v>903</v>
      </c>
      <c r="E47" s="32" t="s">
        <v>171</v>
      </c>
      <c r="F47" s="32" t="s">
        <v>904</v>
      </c>
      <c r="G47" s="33" t="s">
        <v>905</v>
      </c>
      <c r="H47" s="33"/>
      <c r="I47" s="33"/>
      <c r="J47" s="33"/>
      <c r="K47" s="33"/>
      <c r="L47" s="33"/>
      <c r="M47" s="33"/>
    </row>
    <row r="48" customFormat="false" ht="12.75" hidden="false" customHeight="true" outlineLevel="0" collapsed="false">
      <c r="B48" s="55" t="s">
        <v>118</v>
      </c>
      <c r="C48" s="44" t="n">
        <f aca="false">COUNTIF('Coffee Audit'!F2:F2000,"*Colombia*")</f>
        <v>21</v>
      </c>
      <c r="D48" s="46" t="str">
        <f aca="false">TEXT(COUNTIF('Coffee Audit'!F2:F2000,"*Colombia*")/COUNTA('Coffee Audit'!A2:A2000),"0%")</f>
        <v>28%</v>
      </c>
      <c r="E48" s="61" t="n">
        <f aca="false">SUMPRODUCT(ISNUMBER(SEARCH("Colombia",'Coffee Audit'!F2:F2000))*('Coffee Audit'!W2:W2000="⭐ GESHA"))</f>
        <v>8</v>
      </c>
      <c r="F48" s="62" t="str">
        <f aca="false">REPT("█",COUNTIF('Coffee Audit'!F2:F2000,"*Colombia*"))</f>
        <v>█████████████████████</v>
      </c>
      <c r="G48" s="63" t="s">
        <v>906</v>
      </c>
      <c r="H48" s="63"/>
      <c r="I48" s="63"/>
      <c r="J48" s="63"/>
      <c r="K48" s="63"/>
      <c r="L48" s="63"/>
      <c r="M48" s="63"/>
    </row>
    <row r="49" customFormat="false" ht="12.75" hidden="false" customHeight="true" outlineLevel="0" collapsed="false">
      <c r="B49" s="58" t="s">
        <v>266</v>
      </c>
      <c r="C49" s="39" t="n">
        <f aca="false">COUNTIF('Coffee Audit'!F2:F2000,"*Ethiopia*")</f>
        <v>8</v>
      </c>
      <c r="D49" s="41" t="str">
        <f aca="false">TEXT(COUNTIF('Coffee Audit'!F2:F2000,"*Ethiopia*")/COUNTA('Coffee Audit'!A2:A2000),"0%")</f>
        <v>11%</v>
      </c>
      <c r="E49" s="64" t="n">
        <f aca="false">SUMPRODUCT(ISNUMBER(SEARCH("Ethiopia",'Coffee Audit'!F2:F2000))*('Coffee Audit'!W2:W2000="⭐ GESHA"))</f>
        <v>0</v>
      </c>
      <c r="F49" s="65" t="str">
        <f aca="false">REPT("█",COUNTIF('Coffee Audit'!F2:F2000,"*Ethiopia*"))</f>
        <v>████████</v>
      </c>
      <c r="G49" s="66" t="s">
        <v>907</v>
      </c>
      <c r="H49" s="66"/>
      <c r="I49" s="66"/>
      <c r="J49" s="66"/>
      <c r="K49" s="66"/>
      <c r="L49" s="66"/>
      <c r="M49" s="66"/>
    </row>
    <row r="50" customFormat="false" ht="12.75" hidden="false" customHeight="true" outlineLevel="0" collapsed="false">
      <c r="B50" s="55" t="s">
        <v>639</v>
      </c>
      <c r="C50" s="44" t="n">
        <f aca="false">COUNTIF('Coffee Audit'!F2:F2000,"*Peru*")</f>
        <v>7</v>
      </c>
      <c r="D50" s="46" t="str">
        <f aca="false">TEXT(COUNTIF('Coffee Audit'!F2:F2000,"*Peru*")/COUNTA('Coffee Audit'!A2:A2000),"0%")</f>
        <v>9%</v>
      </c>
      <c r="E50" s="61" t="n">
        <f aca="false">SUMPRODUCT(ISNUMBER(SEARCH("Peru",'Coffee Audit'!F2:F2000))*('Coffee Audit'!W2:W2000="⭐ GESHA"))</f>
        <v>5</v>
      </c>
      <c r="F50" s="62" t="str">
        <f aca="false">REPT("█",COUNTIF('Coffee Audit'!F2:F2000,"*Peru*"))</f>
        <v>███████</v>
      </c>
      <c r="G50" s="63" t="s">
        <v>908</v>
      </c>
      <c r="H50" s="63"/>
      <c r="I50" s="63"/>
      <c r="J50" s="63"/>
      <c r="K50" s="63"/>
      <c r="L50" s="63"/>
      <c r="M50" s="63"/>
    </row>
    <row r="51" customFormat="false" ht="12.75" hidden="false" customHeight="true" outlineLevel="0" collapsed="false">
      <c r="B51" s="58" t="s">
        <v>127</v>
      </c>
      <c r="C51" s="39" t="n">
        <f aca="false">COUNTIF('Coffee Audit'!F2:F2000,"*Kenya*")</f>
        <v>4</v>
      </c>
      <c r="D51" s="41" t="str">
        <f aca="false">TEXT(COUNTIF('Coffee Audit'!F2:F2000,"*Kenya*")/COUNTA('Coffee Audit'!A2:A2000),"0%")</f>
        <v>5%</v>
      </c>
      <c r="E51" s="64" t="n">
        <f aca="false">SUMPRODUCT(ISNUMBER(SEARCH("Kenya",'Coffee Audit'!F2:F2000))*('Coffee Audit'!W2:W2000="⭐ GESHA"))</f>
        <v>0</v>
      </c>
      <c r="F51" s="65" t="str">
        <f aca="false">REPT("█",COUNTIF('Coffee Audit'!F2:F2000,"*Kenya*"))</f>
        <v>████</v>
      </c>
      <c r="G51" s="66" t="s">
        <v>909</v>
      </c>
      <c r="H51" s="66"/>
      <c r="I51" s="66"/>
      <c r="J51" s="66"/>
      <c r="K51" s="66"/>
      <c r="L51" s="66"/>
      <c r="M51" s="66"/>
    </row>
    <row r="52" customFormat="false" ht="12.75" hidden="false" customHeight="true" outlineLevel="0" collapsed="false">
      <c r="B52" s="55" t="s">
        <v>253</v>
      </c>
      <c r="C52" s="44" t="n">
        <f aca="false">COUNTIF('Coffee Audit'!F2:F2000,"*Brazil*")</f>
        <v>5</v>
      </c>
      <c r="D52" s="46" t="str">
        <f aca="false">TEXT(COUNTIF('Coffee Audit'!F2:F2000,"*Brazil*")/COUNTA('Coffee Audit'!A2:A2000),"0%")</f>
        <v>7%</v>
      </c>
      <c r="E52" s="61" t="n">
        <f aca="false">SUMPRODUCT(ISNUMBER(SEARCH("Brazil",'Coffee Audit'!F2:F2000))*('Coffee Audit'!W2:W2000="⭐ GESHA"))</f>
        <v>0</v>
      </c>
      <c r="F52" s="62" t="str">
        <f aca="false">REPT("█",COUNTIF('Coffee Audit'!F2:F2000,"*Brazil*"))</f>
        <v>█████</v>
      </c>
      <c r="G52" s="63" t="s">
        <v>910</v>
      </c>
      <c r="H52" s="63"/>
      <c r="I52" s="63"/>
      <c r="J52" s="63"/>
      <c r="K52" s="63"/>
      <c r="L52" s="63"/>
      <c r="M52" s="63"/>
    </row>
    <row r="53" customFormat="false" ht="12.75" hidden="false" customHeight="true" outlineLevel="0" collapsed="false">
      <c r="B53" s="58" t="s">
        <v>694</v>
      </c>
      <c r="C53" s="39" t="n">
        <f aca="false">COUNTIF('Coffee Audit'!F2:F2000,"*Panama*")</f>
        <v>5</v>
      </c>
      <c r="D53" s="41" t="str">
        <f aca="false">TEXT(COUNTIF('Coffee Audit'!F2:F2000,"*Panama*")/COUNTA('Coffee Audit'!A2:A2000),"0%")</f>
        <v>7%</v>
      </c>
      <c r="E53" s="64" t="n">
        <f aca="false">SUMPRODUCT(ISNUMBER(SEARCH("Panama",'Coffee Audit'!F2:F2000))*('Coffee Audit'!W2:W2000="⭐ GESHA"))</f>
        <v>5</v>
      </c>
      <c r="F53" s="65" t="str">
        <f aca="false">REPT("█",COUNTIF('Coffee Audit'!F2:F2000,"*Panama*"))</f>
        <v>█████</v>
      </c>
      <c r="G53" s="66" t="s">
        <v>911</v>
      </c>
      <c r="H53" s="66"/>
      <c r="I53" s="66"/>
      <c r="J53" s="66"/>
      <c r="K53" s="66"/>
      <c r="L53" s="66"/>
      <c r="M53" s="66"/>
    </row>
    <row r="54" customFormat="false" ht="12.75" hidden="false" customHeight="true" outlineLevel="0" collapsed="false">
      <c r="B54" s="55" t="s">
        <v>912</v>
      </c>
      <c r="C54" s="44" t="n">
        <f aca="false">COUNTIF('Coffee Audit'!F2:F2000,"*Indonesia*")</f>
        <v>3</v>
      </c>
      <c r="D54" s="46" t="str">
        <f aca="false">TEXT(COUNTIF('Coffee Audit'!F2:F2000,"*Indonesia*")/COUNTA('Coffee Audit'!A2:A2000),"0%")</f>
        <v>4%</v>
      </c>
      <c r="E54" s="61" t="n">
        <f aca="false">SUMPRODUCT(ISNUMBER(SEARCH("Indonesia",'Coffee Audit'!F2:F2000))*('Coffee Audit'!W2:W2000="⭐ GESHA"))</f>
        <v>0</v>
      </c>
      <c r="F54" s="62" t="str">
        <f aca="false">REPT("█",COUNTIF('Coffee Audit'!F2:F2000,"*Indonesia*"))</f>
        <v>███</v>
      </c>
      <c r="G54" s="63" t="s">
        <v>913</v>
      </c>
      <c r="H54" s="63"/>
      <c r="I54" s="63"/>
      <c r="J54" s="63"/>
      <c r="K54" s="63"/>
      <c r="L54" s="63"/>
      <c r="M54" s="63"/>
    </row>
    <row r="55" customFormat="false" ht="12.75" hidden="false" customHeight="true" outlineLevel="0" collapsed="false">
      <c r="B55" s="58" t="s">
        <v>98</v>
      </c>
      <c r="C55" s="39" t="n">
        <f aca="false">COUNTIF('Coffee Audit'!F2:F2000,"*Honduras*")</f>
        <v>3</v>
      </c>
      <c r="D55" s="41" t="str">
        <f aca="false">TEXT(COUNTIF('Coffee Audit'!F2:F2000,"*Honduras*")/COUNTA('Coffee Audit'!A2:A2000),"0%")</f>
        <v>4%</v>
      </c>
      <c r="E55" s="64" t="n">
        <f aca="false">SUMPRODUCT(ISNUMBER(SEARCH("Honduras",'Coffee Audit'!F2:F2000))*('Coffee Audit'!W2:W2000="⭐ GESHA"))</f>
        <v>0</v>
      </c>
      <c r="F55" s="65" t="str">
        <f aca="false">REPT("█",COUNTIF('Coffee Audit'!F2:F2000,"*Honduras*"))</f>
        <v>███</v>
      </c>
      <c r="G55" s="66" t="s">
        <v>914</v>
      </c>
      <c r="H55" s="66"/>
      <c r="I55" s="66"/>
      <c r="J55" s="66"/>
      <c r="K55" s="66"/>
      <c r="L55" s="66"/>
      <c r="M55" s="66"/>
    </row>
    <row r="56" customFormat="false" ht="12.75" hidden="false" customHeight="true" outlineLevel="0" collapsed="false">
      <c r="B56" s="55" t="s">
        <v>915</v>
      </c>
      <c r="C56" s="44" t="n">
        <f aca="false">COUNTIF('Coffee Audit'!F2:F2000,"*Thailand*")</f>
        <v>2</v>
      </c>
      <c r="D56" s="46" t="str">
        <f aca="false">TEXT(COUNTIF('Coffee Audit'!F2:F2000,"*Thailand*")/COUNTA('Coffee Audit'!A2:A2000),"0%")</f>
        <v>3%</v>
      </c>
      <c r="E56" s="61" t="n">
        <f aca="false">SUMPRODUCT(ISNUMBER(SEARCH("Thailand",'Coffee Audit'!F2:F2000))*('Coffee Audit'!W2:W2000="⭐ GESHA"))</f>
        <v>1</v>
      </c>
      <c r="F56" s="62" t="str">
        <f aca="false">REPT("█",COUNTIF('Coffee Audit'!F2:F2000,"*Thailand*"))</f>
        <v>██</v>
      </c>
      <c r="G56" s="63" t="s">
        <v>916</v>
      </c>
      <c r="H56" s="63"/>
      <c r="I56" s="63"/>
      <c r="J56" s="63"/>
      <c r="K56" s="63"/>
      <c r="L56" s="63"/>
      <c r="M56" s="63"/>
    </row>
    <row r="57" customFormat="false" ht="12.75" hidden="false" customHeight="true" outlineLevel="0" collapsed="false">
      <c r="B57" s="58" t="s">
        <v>917</v>
      </c>
      <c r="C57" s="39" t="n">
        <f aca="false">COUNTIF('Coffee Audit'!F2:F2000,"*Guatemala*")</f>
        <v>1</v>
      </c>
      <c r="D57" s="41" t="str">
        <f aca="false">TEXT(COUNTIF('Coffee Audit'!F2:F2000,"*Guatemala*")/COUNTA('Coffee Audit'!A2:A2000),"0%")</f>
        <v>1%</v>
      </c>
      <c r="E57" s="64" t="n">
        <f aca="false">SUMPRODUCT(ISNUMBER(SEARCH("Guatemala",'Coffee Audit'!F2:F2000))*('Coffee Audit'!W2:W2000="⭐ GESHA"))</f>
        <v>0</v>
      </c>
      <c r="F57" s="65" t="str">
        <f aca="false">REPT("█",COUNTIF('Coffee Audit'!F2:F2000,"*Guatemala*"))</f>
        <v>█</v>
      </c>
      <c r="G57" s="66" t="s">
        <v>918</v>
      </c>
      <c r="H57" s="66"/>
      <c r="I57" s="66"/>
      <c r="J57" s="66"/>
      <c r="K57" s="66"/>
      <c r="L57" s="66"/>
      <c r="M57" s="66"/>
    </row>
    <row r="59" customFormat="false" ht="16.5" hidden="false" customHeight="true" outlineLevel="0" collapsed="false">
      <c r="B59" s="16" t="s">
        <v>919</v>
      </c>
      <c r="C59" s="16"/>
      <c r="D59" s="16"/>
      <c r="E59" s="16"/>
      <c r="F59" s="16"/>
      <c r="G59" s="16"/>
      <c r="H59" s="16"/>
      <c r="I59" s="16"/>
      <c r="J59" s="16"/>
      <c r="K59" s="16"/>
      <c r="L59" s="16"/>
      <c r="M59" s="16"/>
    </row>
    <row r="60" customFormat="false" ht="15" hidden="false" customHeight="true" outlineLevel="0" collapsed="false">
      <c r="B60" s="32" t="s">
        <v>920</v>
      </c>
      <c r="C60" s="32" t="s">
        <v>880</v>
      </c>
      <c r="D60" s="32" t="s">
        <v>903</v>
      </c>
      <c r="E60" s="32" t="s">
        <v>921</v>
      </c>
      <c r="F60" s="33" t="s">
        <v>922</v>
      </c>
      <c r="G60" s="33"/>
      <c r="H60" s="33"/>
      <c r="I60" s="33"/>
      <c r="J60" s="33"/>
      <c r="K60" s="33"/>
      <c r="L60" s="33"/>
      <c r="M60" s="33"/>
    </row>
    <row r="61" customFormat="false" ht="12.75" hidden="false" customHeight="true" outlineLevel="0" collapsed="false">
      <c r="B61" s="55" t="s">
        <v>923</v>
      </c>
      <c r="C61" s="44" t="n">
        <f aca="false">SUM(COUNTIF('Coffee Audit'!M2:M2000,{"1:13*","1:14*"}))</f>
        <v>10</v>
      </c>
      <c r="D61" s="46" t="str">
        <f aca="false">TEXT(SUM(COUNTIF('Coffee Audit'!M2:M2000,{"1:13*","1:14*"}))/COUNTA('Coffee Audit'!A2:A2000),"0%")</f>
        <v>13%</v>
      </c>
      <c r="E61" s="67" t="s">
        <v>924</v>
      </c>
      <c r="F61" s="63" t="s">
        <v>925</v>
      </c>
      <c r="G61" s="63"/>
      <c r="H61" s="63"/>
      <c r="I61" s="63"/>
      <c r="J61" s="63"/>
      <c r="K61" s="63"/>
      <c r="L61" s="63"/>
      <c r="M61" s="63"/>
    </row>
    <row r="62" customFormat="false" ht="12.75" hidden="false" customHeight="true" outlineLevel="0" collapsed="false">
      <c r="B62" s="58" t="s">
        <v>926</v>
      </c>
      <c r="C62" s="39" t="n">
        <f aca="false">SUM(COUNTIF('Coffee Audit'!M2:M2000,{"1:15*"}))</f>
        <v>22</v>
      </c>
      <c r="D62" s="41" t="str">
        <f aca="false">TEXT(SUM(COUNTIF('Coffee Audit'!M2:M2000,{"1:15*"}))/COUNTA('Coffee Audit'!A2:A2000),"0%")</f>
        <v>29%</v>
      </c>
      <c r="E62" s="68" t="s">
        <v>927</v>
      </c>
      <c r="F62" s="66" t="s">
        <v>928</v>
      </c>
      <c r="G62" s="66"/>
      <c r="H62" s="66"/>
      <c r="I62" s="66"/>
      <c r="J62" s="66"/>
      <c r="K62" s="66"/>
      <c r="L62" s="66"/>
      <c r="M62" s="66"/>
    </row>
    <row r="63" customFormat="false" ht="12.75" hidden="false" customHeight="true" outlineLevel="0" collapsed="false">
      <c r="B63" s="55" t="s">
        <v>929</v>
      </c>
      <c r="C63" s="44" t="n">
        <f aca="false">SUM(COUNTIF('Coffee Audit'!M2:M2000,{"1:16*"}))</f>
        <v>16</v>
      </c>
      <c r="D63" s="46" t="str">
        <f aca="false">TEXT(SUM(COUNTIF('Coffee Audit'!M2:M2000,{"1:16*"}))/COUNTA('Coffee Audit'!A2:A2000),"0%")</f>
        <v>21%</v>
      </c>
      <c r="E63" s="67" t="s">
        <v>927</v>
      </c>
      <c r="F63" s="63" t="s">
        <v>930</v>
      </c>
      <c r="G63" s="63"/>
      <c r="H63" s="63"/>
      <c r="I63" s="63"/>
      <c r="J63" s="63"/>
      <c r="K63" s="63"/>
      <c r="L63" s="63"/>
      <c r="M63" s="63"/>
    </row>
    <row r="64" customFormat="false" ht="12.75" hidden="false" customHeight="true" outlineLevel="0" collapsed="false">
      <c r="B64" s="58" t="s">
        <v>931</v>
      </c>
      <c r="C64" s="39" t="n">
        <f aca="false">SUM(COUNTIF('Coffee Audit'!M2:M2000,{"1:17*"}))</f>
        <v>8</v>
      </c>
      <c r="D64" s="41" t="str">
        <f aca="false">TEXT(SUM(COUNTIF('Coffee Audit'!M2:M2000,{"1:17*"}))/COUNTA('Coffee Audit'!A2:A2000),"0%")</f>
        <v>11%</v>
      </c>
      <c r="E64" s="68" t="s">
        <v>932</v>
      </c>
      <c r="F64" s="66" t="s">
        <v>933</v>
      </c>
      <c r="G64" s="66"/>
      <c r="H64" s="66"/>
      <c r="I64" s="66"/>
      <c r="J64" s="66"/>
      <c r="K64" s="66"/>
      <c r="L64" s="66"/>
      <c r="M64" s="66"/>
    </row>
    <row r="65" customFormat="false" ht="13.5" hidden="false" customHeight="true" outlineLevel="0" collapsed="false">
      <c r="B65" s="69" t="str">
        <f aca="false">"IN-BAND DISCIPLINE   ·   "&amp;SUM(COUNTIF('Coffee Audit'!M2:M2000,{"1:15*","1:16*","1:17*"}))&amp;" of "&amp;COUNTA('Coffee Audit'!A2:A2000)&amp;" logged brews sit inside the 1:15–1:17 Palate DNA band ("&amp;TEXT(SUM(COUNTIF('Coffee Audit'!M2:M2000,{"1:15*","1:16*","1:17*"}))/COUNTA('Coffee Audit'!A2:A2000),"0%")&amp;" of all entries, including those logged Unknown)"</f>
        <v>IN-BAND DISCIPLINE   ·   46 of 76 logged brews sit inside the 1:15–1:17 Palate DNA band (61% of all entries, including those logged Unknown)</v>
      </c>
      <c r="C65" s="69"/>
      <c r="D65" s="69"/>
      <c r="E65" s="69"/>
      <c r="F65" s="69"/>
      <c r="G65" s="69"/>
      <c r="H65" s="69"/>
      <c r="I65" s="69"/>
      <c r="J65" s="69"/>
      <c r="K65" s="69"/>
      <c r="L65" s="69"/>
      <c r="M65" s="69"/>
    </row>
    <row r="67" customFormat="false" ht="16.5" hidden="false" customHeight="true" outlineLevel="0" collapsed="false">
      <c r="B67" s="16" t="s">
        <v>934</v>
      </c>
      <c r="C67" s="16"/>
      <c r="D67" s="16"/>
      <c r="E67" s="16"/>
      <c r="F67" s="16"/>
      <c r="G67" s="16"/>
      <c r="H67" s="16"/>
      <c r="I67" s="16"/>
      <c r="J67" s="16"/>
      <c r="K67" s="16"/>
      <c r="L67" s="16"/>
      <c r="M67" s="16"/>
    </row>
    <row r="68" customFormat="false" ht="15" hidden="false" customHeight="true" outlineLevel="0" collapsed="false">
      <c r="B68" s="32" t="s">
        <v>935</v>
      </c>
      <c r="C68" s="32" t="s">
        <v>880</v>
      </c>
      <c r="D68" s="32" t="s">
        <v>903</v>
      </c>
      <c r="E68" s="33" t="s">
        <v>936</v>
      </c>
      <c r="F68" s="33"/>
      <c r="G68" s="33"/>
      <c r="H68" s="33"/>
      <c r="I68" s="33"/>
      <c r="J68" s="33"/>
      <c r="K68" s="33"/>
      <c r="L68" s="33"/>
      <c r="M68" s="33"/>
    </row>
    <row r="69" customFormat="false" ht="12.75" hidden="false" customHeight="true" outlineLevel="0" collapsed="false">
      <c r="B69" s="55" t="s">
        <v>937</v>
      </c>
      <c r="C69" s="44" t="n">
        <f aca="false">COUNTIF('Coffee Audit'!P2:P2000,"*EK43*")</f>
        <v>25</v>
      </c>
      <c r="D69" s="46" t="str">
        <f aca="false">TEXT(COUNTIF('Coffee Audit'!P2:P2000,"*EK43*")/COUNTA('Coffee Audit'!A2:A2000),"0%")</f>
        <v>33%</v>
      </c>
      <c r="E69" s="63" t="s">
        <v>938</v>
      </c>
      <c r="F69" s="63"/>
      <c r="G69" s="63"/>
      <c r="H69" s="63"/>
      <c r="I69" s="63"/>
      <c r="J69" s="63"/>
      <c r="K69" s="63"/>
      <c r="L69" s="63"/>
      <c r="M69" s="63"/>
    </row>
    <row r="70" customFormat="false" ht="12.75" hidden="false" customHeight="true" outlineLevel="0" collapsed="false">
      <c r="B70" s="58" t="s">
        <v>939</v>
      </c>
      <c r="C70" s="39" t="n">
        <f aca="false">COUNTIF('Coffee Audit'!P2:P2000,"*Lagom*")</f>
        <v>12</v>
      </c>
      <c r="D70" s="41" t="str">
        <f aca="false">TEXT(COUNTIF('Coffee Audit'!P2:P2000,"*Lagom*")/COUNTA('Coffee Audit'!A2:A2000),"0%")</f>
        <v>16%</v>
      </c>
      <c r="E70" s="66" t="s">
        <v>940</v>
      </c>
      <c r="F70" s="66"/>
      <c r="G70" s="66"/>
      <c r="H70" s="66"/>
      <c r="I70" s="66"/>
      <c r="J70" s="66"/>
      <c r="K70" s="66"/>
      <c r="L70" s="66"/>
      <c r="M70" s="66"/>
    </row>
    <row r="71" customFormat="false" ht="12.75" hidden="false" customHeight="true" outlineLevel="0" collapsed="false">
      <c r="B71" s="55" t="s">
        <v>941</v>
      </c>
      <c r="C71" s="44" t="n">
        <f aca="false">SUMPRODUCT(--ISNUMBER(SEARCH("Flat-Bottom",'Coffee Audit'!J2:J2000)))</f>
        <v>29</v>
      </c>
      <c r="D71" s="46" t="str">
        <f aca="false">TEXT(SUMPRODUCT(--ISNUMBER(SEARCH("Flat-Bottom",'Coffee Audit'!J2:J2000)))/COUNTA('Coffee Audit'!A2:A2000),"0%")</f>
        <v>38%</v>
      </c>
      <c r="E71" s="63" t="s">
        <v>942</v>
      </c>
      <c r="F71" s="63"/>
      <c r="G71" s="63"/>
      <c r="H71" s="63"/>
      <c r="I71" s="63"/>
      <c r="J71" s="63"/>
      <c r="K71" s="63"/>
      <c r="L71" s="63"/>
      <c r="M71" s="63"/>
    </row>
    <row r="72" customFormat="false" ht="12.75" hidden="false" customHeight="true" outlineLevel="0" collapsed="false">
      <c r="B72" s="58" t="s">
        <v>943</v>
      </c>
      <c r="C72" s="39" t="n">
        <f aca="false">COUNTIF('Coffee Audit'!J2:J2000,"*V60*")</f>
        <v>17</v>
      </c>
      <c r="D72" s="41" t="str">
        <f aca="false">TEXT(COUNTIF('Coffee Audit'!J2:J2000,"*V60*")/COUNTA('Coffee Audit'!A2:A2000),"0%")</f>
        <v>22%</v>
      </c>
      <c r="E72" s="66" t="s">
        <v>944</v>
      </c>
      <c r="F72" s="66"/>
      <c r="G72" s="66"/>
      <c r="H72" s="66"/>
      <c r="I72" s="66"/>
      <c r="J72" s="66"/>
      <c r="K72" s="66"/>
      <c r="L72" s="66"/>
      <c r="M72" s="66"/>
    </row>
    <row r="73" customFormat="false" ht="12.75" hidden="false" customHeight="true" outlineLevel="0" collapsed="false">
      <c r="B73" s="55" t="s">
        <v>945</v>
      </c>
      <c r="C73" s="44" t="n">
        <f aca="false">COUNTIF('Coffee Audit'!J2:J2000,"*Switch*")</f>
        <v>7</v>
      </c>
      <c r="D73" s="46" t="str">
        <f aca="false">TEXT(COUNTIF('Coffee Audit'!J2:J2000,"*Switch*")/COUNTA('Coffee Audit'!A2:A2000),"0%")</f>
        <v>9%</v>
      </c>
      <c r="E73" s="63" t="s">
        <v>946</v>
      </c>
      <c r="F73" s="63"/>
      <c r="G73" s="63"/>
      <c r="H73" s="63"/>
      <c r="I73" s="63"/>
      <c r="J73" s="63"/>
      <c r="K73" s="63"/>
      <c r="L73" s="63"/>
      <c r="M73" s="63"/>
    </row>
    <row r="75" customFormat="false" ht="12.75" hidden="false" customHeight="true" outlineLevel="0" collapsed="false">
      <c r="B75" s="70" t="str">
        <f aca="false">"THE HARI COFFEE ARCHIVE   ·   "&amp;COUNTA('Coffee Audit'!A2:A2000)&amp;" field-audited cups   ·   "&amp;TEXT(MIN('Coffee Audit'!A2:A2000),"dd mmm yyyy")&amp;"  —  "&amp;TEXT(MAX('Coffee Audit'!A2:A2000),"dd mmm yyyy")&amp;"     |     Every metric on this sheet is a live formula. Append a row to Coffee Audit and every panel re-reads itself.     |     Source hierarchy: barista confirmation &gt; direct observation &gt; bean card &gt; menu. Never inferred."</f>
        <v>THE HARI COFFEE ARCHIVE   ·   76 field-audited cups   ·   03 Jan 2026  —  05 Aug 2026     |     Every metric on this sheet is a live formula. Append a row to Coffee Audit and every panel re-reads itself.     |     Source hierarchy: barista confirmation &gt; direct observation &gt; bean card &gt; menu. Never inferred.</v>
      </c>
      <c r="C75" s="70"/>
      <c r="D75" s="70"/>
      <c r="E75" s="70"/>
      <c r="F75" s="70"/>
      <c r="G75" s="70"/>
      <c r="H75" s="70"/>
      <c r="I75" s="70"/>
      <c r="J75" s="70"/>
      <c r="K75" s="70"/>
      <c r="L75" s="70"/>
      <c r="M75" s="70"/>
    </row>
    <row r="76" customFormat="false" ht="12.75" hidden="false" customHeight="true" outlineLevel="0" collapsed="false">
      <c r="B76" s="70"/>
      <c r="C76" s="70"/>
      <c r="D76" s="70"/>
      <c r="E76" s="70"/>
      <c r="F76" s="70"/>
      <c r="G76" s="70"/>
      <c r="H76" s="70"/>
      <c r="I76" s="70"/>
      <c r="J76" s="70"/>
      <c r="K76" s="70"/>
      <c r="L76" s="70"/>
      <c r="M76" s="70"/>
    </row>
    <row r="77" customFormat="false" ht="12.75" hidden="false" customHeight="true" outlineLevel="0" collapsed="false">
      <c r="B77" s="70"/>
      <c r="C77" s="70"/>
      <c r="D77" s="70"/>
      <c r="E77" s="70"/>
      <c r="F77" s="70"/>
      <c r="G77" s="70"/>
      <c r="H77" s="70"/>
      <c r="I77" s="70"/>
      <c r="J77" s="70"/>
      <c r="K77" s="70"/>
      <c r="L77" s="70"/>
      <c r="M77" s="70"/>
    </row>
  </sheetData>
  <mergeCells count="73">
    <mergeCell ref="B1:M1"/>
    <mergeCell ref="B2:M2"/>
    <mergeCell ref="B4:M4"/>
    <mergeCell ref="B6:C6"/>
    <mergeCell ref="H6:I6"/>
    <mergeCell ref="B7:C7"/>
    <mergeCell ref="H7:I7"/>
    <mergeCell ref="B8:C8"/>
    <mergeCell ref="H8:I8"/>
    <mergeCell ref="B10:M10"/>
    <mergeCell ref="B11:C11"/>
    <mergeCell ref="J11:K11"/>
    <mergeCell ref="L11:M11"/>
    <mergeCell ref="B12:C12"/>
    <mergeCell ref="J12:K12"/>
    <mergeCell ref="L12:M12"/>
    <mergeCell ref="B14:M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B35:M35"/>
    <mergeCell ref="B37:M37"/>
    <mergeCell ref="F38:M38"/>
    <mergeCell ref="F39:M39"/>
    <mergeCell ref="F40:M40"/>
    <mergeCell ref="F41:M41"/>
    <mergeCell ref="F42:M42"/>
    <mergeCell ref="F43:M43"/>
    <mergeCell ref="F44:M44"/>
    <mergeCell ref="B46:M46"/>
    <mergeCell ref="G47:M47"/>
    <mergeCell ref="G48:M48"/>
    <mergeCell ref="G49:M49"/>
    <mergeCell ref="G50:M50"/>
    <mergeCell ref="G51:M51"/>
    <mergeCell ref="G52:M52"/>
    <mergeCell ref="G53:M53"/>
    <mergeCell ref="G54:M54"/>
    <mergeCell ref="G55:M55"/>
    <mergeCell ref="G56:M56"/>
    <mergeCell ref="G57:M57"/>
    <mergeCell ref="B59:M59"/>
    <mergeCell ref="F60:M60"/>
    <mergeCell ref="F61:M61"/>
    <mergeCell ref="F62:M62"/>
    <mergeCell ref="F63:M63"/>
    <mergeCell ref="F64:M64"/>
    <mergeCell ref="B65:M65"/>
    <mergeCell ref="B67:M67"/>
    <mergeCell ref="E68:M68"/>
    <mergeCell ref="E69:M69"/>
    <mergeCell ref="E70:M70"/>
    <mergeCell ref="E71:M71"/>
    <mergeCell ref="E72:M72"/>
    <mergeCell ref="E73:M73"/>
    <mergeCell ref="B75:M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30"/>
    <col collapsed="false" customWidth="true" hidden="false" outlineLevel="0" max="6" min="6" style="1" width="14"/>
    <col collapsed="false" customWidth="true" hidden="false" outlineLevel="0" max="7" min="7" style="1" width="5"/>
    <col collapsed="false" customWidth="true" hidden="false" outlineLevel="0" max="8" min="8" style="1" width="14"/>
    <col collapsed="false" customWidth="true" hidden="false" outlineLevel="0" max="9" min="9" style="1" width="8"/>
    <col collapsed="false" customWidth="true" hidden="false" outlineLevel="0" max="10" min="10"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71" t="s">
        <v>947</v>
      </c>
      <c r="C1" s="71"/>
      <c r="D1" s="71"/>
      <c r="E1" s="71"/>
      <c r="F1" s="71"/>
      <c r="G1" s="71"/>
      <c r="H1" s="71"/>
      <c r="I1" s="71"/>
      <c r="J1" s="71"/>
      <c r="K1" s="71"/>
      <c r="L1" s="71"/>
    </row>
    <row r="2" customFormat="false" ht="13.5" hidden="false" customHeight="true" outlineLevel="0" collapsed="false">
      <c r="B2" s="72" t="str">
        <f aca="false">"What "&amp;COUNTA('Coffee Audit'!A2:A2000)&amp;" cups reveal about one palate — malic acid · linalool · flat-bottom geometry · washed clarity"</f>
        <v>What 76 cups reveal about one palate — malic acid · linalool · flat-bottom geometry · washed clarity</v>
      </c>
      <c r="C2" s="72"/>
      <c r="D2" s="72"/>
      <c r="E2" s="72"/>
      <c r="F2" s="72"/>
      <c r="G2" s="72"/>
      <c r="H2" s="72"/>
      <c r="I2" s="72"/>
      <c r="J2" s="72"/>
      <c r="K2" s="72"/>
      <c r="L2" s="72"/>
    </row>
    <row r="3" customFormat="false" ht="6" hidden="false" customHeight="true" outlineLevel="0" collapsed="false"/>
    <row r="4" customFormat="false" ht="15.75" hidden="false" customHeight="true" outlineLevel="0" collapsed="false">
      <c r="B4" s="73" t="s">
        <v>948</v>
      </c>
      <c r="C4" s="73"/>
      <c r="D4" s="73"/>
      <c r="E4" s="73"/>
      <c r="F4" s="73"/>
      <c r="G4" s="73"/>
      <c r="H4" s="73"/>
      <c r="I4" s="73"/>
      <c r="J4" s="73"/>
      <c r="K4" s="73"/>
      <c r="L4" s="73"/>
    </row>
    <row r="5" customFormat="false" ht="13.5" hidden="false" customHeight="true" outlineLevel="0" collapsed="false">
      <c r="B5" s="74" t="str">
        <f aca="false">"CLARITY OVER COMPLEXITY.  Across "&amp;COUNTA('Coffee Audit'!A2:A2000)&amp;" cups and seven months, one pattern dominates: "&amp;TEXT(COUNTIF('Coffee Audit'!H2:H2000,"*Washed*")/COUNTA('Coffee Audit'!A2:A2000),"0%")&amp;"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"&amp;COUNTIF('Coffee Audit'!W2:W2000,"⭐ GESHA")&amp;" cups ("&amp;TEXT(COUNTIF('Coffee Audit'!W2:W2000,"⭐ GESHA")/COUNTA('Coffee Audit'!A2:A2000),"0%")&amp;"), commanding a "&amp;TEXT(AVERAGEIFS('Coffee Audit'!Q2:Q2000,'Coffee Audit'!W2:W2000,"⭐ GESHA",'Coffee Audit'!Q2:Q2000,"&gt;0")/AVERAGEIFS('Coffee Audit'!Q2:Q2000,'Coffee Audit'!W2:W2000,"",'Coffee Audit'!Q2:Q2000,"&gt;0")-1,"0%")&amp;" premium over everything else."</f>
        <v>CLARITY OVER COMPLEXITY.  Across 76 cups and seven months, one pattern dominates: 51%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20 cups (26%), commanding a 77% premium over everything else.</v>
      </c>
      <c r="C5" s="74"/>
      <c r="D5" s="74"/>
      <c r="E5" s="74"/>
      <c r="F5" s="74"/>
      <c r="G5" s="74"/>
      <c r="H5" s="74"/>
      <c r="I5" s="74"/>
      <c r="J5" s="74"/>
      <c r="K5" s="74"/>
      <c r="L5" s="74"/>
    </row>
    <row r="6" customFormat="false" ht="13.5" hidden="false" customHeight="true" outlineLevel="0" collapsed="false">
      <c r="B6" s="74"/>
      <c r="C6" s="74"/>
      <c r="D6" s="74"/>
      <c r="E6" s="74"/>
      <c r="F6" s="74"/>
      <c r="G6" s="74"/>
      <c r="H6" s="74"/>
      <c r="I6" s="74"/>
      <c r="J6" s="74"/>
      <c r="K6" s="74"/>
      <c r="L6" s="74"/>
    </row>
    <row r="7" customFormat="false" ht="13.5" hidden="false" customHeight="true" outlineLevel="0" collapsed="false">
      <c r="B7" s="74"/>
      <c r="C7" s="74"/>
      <c r="D7" s="74"/>
      <c r="E7" s="74"/>
      <c r="F7" s="74"/>
      <c r="G7" s="74"/>
      <c r="H7" s="74"/>
      <c r="I7" s="74"/>
      <c r="J7" s="74"/>
      <c r="K7" s="74"/>
      <c r="L7" s="74"/>
    </row>
    <row r="9" customFormat="false" ht="6" hidden="false" customHeight="true" outlineLevel="0" collapsed="false"/>
    <row r="10" customFormat="false" ht="15.75" hidden="false" customHeight="true" outlineLevel="0" collapsed="false">
      <c r="B10" s="73" t="str">
        <f aca="false">"  🍯  PROCESS PREFERENCE SPECTRUM   —   live across "&amp;COUNTA('Coffee Audit'!A2:A2000)&amp;" entries"</f>
        <v>  🍯  PROCESS PREFERENCE SPECTRUM   —   live across 76 entries</v>
      </c>
      <c r="C10" s="73"/>
      <c r="D10" s="73"/>
      <c r="E10" s="73"/>
      <c r="F10" s="73"/>
      <c r="G10" s="73"/>
      <c r="H10" s="73" t="s">
        <v>949</v>
      </c>
      <c r="I10" s="73"/>
      <c r="J10" s="73"/>
      <c r="K10" s="73"/>
      <c r="L10" s="73"/>
    </row>
    <row r="11" customFormat="false" ht="15.75" hidden="false" customHeight="true" outlineLevel="0" collapsed="false">
      <c r="B11" s="75" t="s">
        <v>7</v>
      </c>
      <c r="C11" s="75" t="s">
        <v>950</v>
      </c>
      <c r="D11" s="75" t="s">
        <v>951</v>
      </c>
      <c r="E11" s="75" t="s">
        <v>882</v>
      </c>
      <c r="F11" s="75" t="s">
        <v>952</v>
      </c>
      <c r="H11" s="75" t="s">
        <v>953</v>
      </c>
      <c r="I11" s="75" t="s">
        <v>950</v>
      </c>
      <c r="J11" s="75" t="s">
        <v>954</v>
      </c>
    </row>
    <row r="12" customFormat="false" ht="12.75" hidden="false" customHeight="true" outlineLevel="0" collapsed="false">
      <c r="B12" s="76" t="s">
        <v>58</v>
      </c>
      <c r="C12" s="76" t="n">
        <f aca="false">COUNTIF('Coffee Audit'!H2:H2000,"*Washed*")</f>
        <v>39</v>
      </c>
      <c r="D12" s="77" t="str">
        <f aca="false">TEXT(COUNTIF('Coffee Audit'!H2:H2000,"*Washed*")/COUNTA('Coffee Audit'!A2:A2000),"0%")</f>
        <v>51%</v>
      </c>
      <c r="E12" s="78" t="s">
        <v>955</v>
      </c>
      <c r="F12" s="79" t="s">
        <v>956</v>
      </c>
      <c r="H12" s="80" t="s">
        <v>957</v>
      </c>
      <c r="I12" s="81" t="s">
        <v>958</v>
      </c>
      <c r="J12" s="81" t="s">
        <v>959</v>
      </c>
    </row>
    <row r="13" customFormat="false" ht="12.75" hidden="false" customHeight="true" outlineLevel="0" collapsed="false">
      <c r="B13" s="82" t="s">
        <v>29</v>
      </c>
      <c r="C13" s="82" t="n">
        <f aca="false">COUNTIF('Coffee Audit'!H2:H2000,"*Natural*")</f>
        <v>25</v>
      </c>
      <c r="D13" s="83" t="str">
        <f aca="false">TEXT(COUNTIF('Coffee Audit'!H2:H2000,"*Natural*")/COUNTA('Coffee Audit'!A2:A2000),"0%")</f>
        <v>33%</v>
      </c>
      <c r="E13" s="84" t="s">
        <v>960</v>
      </c>
      <c r="F13" s="85" t="s">
        <v>961</v>
      </c>
      <c r="H13" s="86" t="s">
        <v>962</v>
      </c>
      <c r="I13" s="87" t="s">
        <v>963</v>
      </c>
      <c r="J13" s="87" t="s">
        <v>964</v>
      </c>
    </row>
    <row r="14" customFormat="false" ht="12.75" hidden="false" customHeight="true" outlineLevel="0" collapsed="false">
      <c r="B14" s="76" t="s">
        <v>404</v>
      </c>
      <c r="C14" s="76" t="n">
        <f aca="false">COUNTIF('Coffee Audit'!H2:H2000,"*Honey*")</f>
        <v>7</v>
      </c>
      <c r="D14" s="77" t="str">
        <f aca="false">TEXT(COUNTIF('Coffee Audit'!H2:H2000,"*Honey*")/COUNTA('Coffee Audit'!A2:A2000),"0%")</f>
        <v>9%</v>
      </c>
      <c r="E14" s="78" t="s">
        <v>965</v>
      </c>
      <c r="F14" s="79" t="s">
        <v>966</v>
      </c>
      <c r="H14" s="80" t="s">
        <v>967</v>
      </c>
      <c r="I14" s="81" t="n">
        <v>8</v>
      </c>
      <c r="J14" s="81" t="s">
        <v>968</v>
      </c>
    </row>
    <row r="15" customFormat="false" ht="12.75" hidden="false" customHeight="true" outlineLevel="0" collapsed="false">
      <c r="B15" s="82" t="s">
        <v>969</v>
      </c>
      <c r="C15" s="82" t="n">
        <f aca="false">COUNTIF('Coffee Audit'!H2:H2000,"*Anaerobic*")</f>
        <v>10</v>
      </c>
      <c r="D15" s="83" t="str">
        <f aca="false">TEXT(COUNTIF('Coffee Audit'!H2:H2000,"*Anaerobic*")/COUNTA('Coffee Audit'!A2:A2000),"0%")</f>
        <v>13%</v>
      </c>
      <c r="E15" s="84" t="s">
        <v>970</v>
      </c>
      <c r="F15" s="85" t="s">
        <v>971</v>
      </c>
      <c r="H15" s="86" t="s">
        <v>972</v>
      </c>
      <c r="I15" s="87" t="s">
        <v>973</v>
      </c>
      <c r="J15" s="87" t="s">
        <v>974</v>
      </c>
    </row>
    <row r="16" customFormat="false" ht="12.75" hidden="false" customHeight="true" outlineLevel="0" collapsed="false">
      <c r="B16" s="76" t="s">
        <v>975</v>
      </c>
      <c r="C16" s="76" t="n">
        <f aca="false">COUNTIF('Coffee Audit'!H2:H2000,"*Ferment*")</f>
        <v>7</v>
      </c>
      <c r="D16" s="77" t="str">
        <f aca="false">TEXT(COUNTIF('Coffee Audit'!H2:H2000,"*Ferment*")/COUNTA('Coffee Audit'!A2:A2000),"0%")</f>
        <v>9%</v>
      </c>
      <c r="E16" s="78" t="s">
        <v>976</v>
      </c>
      <c r="F16" s="79" t="s">
        <v>977</v>
      </c>
      <c r="H16" s="80" t="s">
        <v>978</v>
      </c>
      <c r="I16" s="81" t="s">
        <v>979</v>
      </c>
      <c r="J16" s="81" t="s">
        <v>980</v>
      </c>
    </row>
    <row r="17" customFormat="false" ht="12.75" hidden="false" customHeight="true" outlineLevel="0" collapsed="false">
      <c r="B17" s="82" t="s">
        <v>40</v>
      </c>
      <c r="C17" s="82" t="n">
        <f aca="false">COUNTIF('Coffee Audit'!H2:H2000,"*Hulled*")</f>
        <v>1</v>
      </c>
      <c r="D17" s="83" t="str">
        <f aca="false">TEXT(COUNTIF('Coffee Audit'!H2:H2000,"*Hulled*")/COUNTA('Coffee Audit'!A2:A2000),"0%")</f>
        <v>1%</v>
      </c>
      <c r="E17" s="84" t="s">
        <v>981</v>
      </c>
      <c r="F17" s="85" t="s">
        <v>982</v>
      </c>
      <c r="H17" s="86" t="s">
        <v>983</v>
      </c>
      <c r="I17" s="87" t="s">
        <v>984</v>
      </c>
      <c r="J17" s="87" t="s">
        <v>985</v>
      </c>
    </row>
    <row r="18" customFormat="false" ht="12.75" hidden="false" customHeight="true" outlineLevel="0" collapsed="false">
      <c r="B18" s="88"/>
      <c r="C18" s="4"/>
      <c r="D18" s="4"/>
      <c r="E18" s="4"/>
      <c r="F18" s="4"/>
      <c r="H18" s="80" t="s">
        <v>986</v>
      </c>
      <c r="I18" s="81" t="s">
        <v>958</v>
      </c>
      <c r="J18" s="81" t="s">
        <v>987</v>
      </c>
    </row>
    <row r="19" customFormat="false" ht="12.75" hidden="false" customHeight="true" outlineLevel="0" collapsed="false">
      <c r="B19" s="88"/>
      <c r="C19" s="4"/>
      <c r="D19" s="4"/>
      <c r="E19" s="4"/>
      <c r="F19" s="4"/>
      <c r="H19" s="86" t="s">
        <v>988</v>
      </c>
      <c r="I19" s="87" t="s">
        <v>958</v>
      </c>
      <c r="J19" s="87" t="s">
        <v>989</v>
      </c>
    </row>
    <row r="20" customFormat="false" ht="7.5" hidden="false" customHeight="true" outlineLevel="0" collapsed="false"/>
    <row r="21" customFormat="false" ht="15.75" hidden="false" customHeight="true" outlineLevel="0" collapsed="false">
      <c r="B21" s="73" t="s">
        <v>990</v>
      </c>
      <c r="C21" s="73"/>
      <c r="D21" s="73"/>
      <c r="E21" s="73"/>
      <c r="F21" s="73"/>
      <c r="G21" s="73"/>
      <c r="H21" s="73" t="s">
        <v>991</v>
      </c>
      <c r="I21" s="73"/>
      <c r="J21" s="73"/>
      <c r="K21" s="73"/>
      <c r="L21" s="73"/>
    </row>
    <row r="22" customFormat="false" ht="15.75" hidden="false" customHeight="true" outlineLevel="0" collapsed="false">
      <c r="B22" s="75" t="s">
        <v>7</v>
      </c>
      <c r="C22" s="75" t="s">
        <v>852</v>
      </c>
      <c r="D22" s="75" t="s">
        <v>992</v>
      </c>
      <c r="E22" s="75" t="s">
        <v>993</v>
      </c>
      <c r="H22" s="75" t="s">
        <v>994</v>
      </c>
      <c r="I22" s="75" t="s">
        <v>995</v>
      </c>
      <c r="J22" s="75" t="s">
        <v>996</v>
      </c>
      <c r="K22" s="75" t="s">
        <v>997</v>
      </c>
    </row>
    <row r="23" customFormat="false" ht="12.75" hidden="false" customHeight="true" outlineLevel="0" collapsed="false">
      <c r="B23" s="86" t="s">
        <v>998</v>
      </c>
      <c r="C23" s="87" t="s">
        <v>999</v>
      </c>
      <c r="D23" s="87" t="s">
        <v>1000</v>
      </c>
      <c r="E23" s="87" t="s">
        <v>1001</v>
      </c>
      <c r="H23" s="86" t="s">
        <v>1002</v>
      </c>
      <c r="I23" s="87" t="s">
        <v>958</v>
      </c>
      <c r="J23" s="87" t="s">
        <v>1003</v>
      </c>
      <c r="K23" s="87" t="s">
        <v>1004</v>
      </c>
    </row>
    <row r="24" customFormat="false" ht="12.75" hidden="false" customHeight="true" outlineLevel="0" collapsed="false">
      <c r="B24" s="80" t="s">
        <v>404</v>
      </c>
      <c r="C24" s="81" t="s">
        <v>1005</v>
      </c>
      <c r="D24" s="81" t="s">
        <v>1006</v>
      </c>
      <c r="E24" s="81" t="s">
        <v>1007</v>
      </c>
      <c r="H24" s="80" t="s">
        <v>1008</v>
      </c>
      <c r="I24" s="81" t="s">
        <v>958</v>
      </c>
      <c r="J24" s="81" t="s">
        <v>1009</v>
      </c>
      <c r="K24" s="81" t="s">
        <v>1010</v>
      </c>
    </row>
    <row r="25" customFormat="false" ht="12.75" hidden="false" customHeight="true" outlineLevel="0" collapsed="false">
      <c r="B25" s="86" t="s">
        <v>404</v>
      </c>
      <c r="C25" s="87" t="s">
        <v>1011</v>
      </c>
      <c r="D25" s="87" t="s">
        <v>1012</v>
      </c>
      <c r="E25" s="87" t="s">
        <v>1013</v>
      </c>
      <c r="H25" s="86" t="s">
        <v>1014</v>
      </c>
      <c r="I25" s="87" t="s">
        <v>979</v>
      </c>
      <c r="J25" s="87" t="s">
        <v>1015</v>
      </c>
      <c r="K25" s="87" t="s">
        <v>1016</v>
      </c>
    </row>
    <row r="26" customFormat="false" ht="12.75" hidden="false" customHeight="true" outlineLevel="0" collapsed="false">
      <c r="B26" s="80" t="s">
        <v>29</v>
      </c>
      <c r="C26" s="81" t="s">
        <v>1017</v>
      </c>
      <c r="D26" s="81" t="s">
        <v>1018</v>
      </c>
      <c r="E26" s="81" t="s">
        <v>1007</v>
      </c>
      <c r="H26" s="80" t="s">
        <v>1019</v>
      </c>
      <c r="I26" s="81" t="s">
        <v>1020</v>
      </c>
      <c r="J26" s="81" t="s">
        <v>1021</v>
      </c>
      <c r="K26" s="81" t="s">
        <v>1022</v>
      </c>
    </row>
    <row r="27" customFormat="false" ht="12.75" hidden="false" customHeight="true" outlineLevel="0" collapsed="false">
      <c r="B27" s="86" t="s">
        <v>29</v>
      </c>
      <c r="C27" s="87" t="s">
        <v>1023</v>
      </c>
      <c r="D27" s="87" t="s">
        <v>1024</v>
      </c>
      <c r="E27" s="87" t="s">
        <v>1025</v>
      </c>
      <c r="H27" s="86" t="s">
        <v>1026</v>
      </c>
      <c r="I27" s="87" t="s">
        <v>1027</v>
      </c>
      <c r="J27" s="87" t="s">
        <v>1028</v>
      </c>
      <c r="K27" s="87" t="s">
        <v>1029</v>
      </c>
    </row>
    <row r="28" customFormat="false" ht="12.75" hidden="false" customHeight="true" outlineLevel="0" collapsed="false">
      <c r="B28" s="89" t="s">
        <v>1030</v>
      </c>
      <c r="C28" s="89"/>
      <c r="D28" s="89"/>
      <c r="E28" s="89"/>
      <c r="F28" s="89"/>
      <c r="H28" s="80" t="s">
        <v>27</v>
      </c>
      <c r="I28" s="81" t="s">
        <v>1031</v>
      </c>
      <c r="J28" s="81" t="s">
        <v>1028</v>
      </c>
      <c r="K28" s="81" t="s">
        <v>1032</v>
      </c>
    </row>
  </sheetData>
  <mergeCells count="9">
    <mergeCell ref="B1:L1"/>
    <mergeCell ref="B2:L2"/>
    <mergeCell ref="B4:L4"/>
    <mergeCell ref="B5:L7"/>
    <mergeCell ref="B10:G10"/>
    <mergeCell ref="H10:L10"/>
    <mergeCell ref="B21:G21"/>
    <mergeCell ref="H21:L21"/>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L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14"/>
    <col collapsed="false" customWidth="true" hidden="false" outlineLevel="0" max="4" min="4" style="1" width="22"/>
    <col collapsed="false" customWidth="true" hidden="false" outlineLevel="0" max="6" min="5" style="1" width="24"/>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71" t="s">
        <v>1033</v>
      </c>
      <c r="C1" s="71"/>
      <c r="D1" s="71"/>
      <c r="E1" s="71"/>
      <c r="F1" s="71"/>
      <c r="G1" s="71"/>
      <c r="H1" s="71"/>
      <c r="I1" s="71"/>
      <c r="J1" s="71"/>
      <c r="K1" s="71"/>
      <c r="L1" s="71"/>
    </row>
    <row r="2" customFormat="false" ht="13.5" hidden="false" customHeight="true" outlineLevel="0" collapsed="false">
      <c r="B2" s="72" t="str">
        <f aca="false">"Where the archive has travelled — "&amp;SUMPRODUCT(('Coffee Audit'!F2:F2000&lt;&gt;"")/COUNTIF('Coffee Audit'!F2:F2000,'Coffee Audit'!F2:F2000&amp;""))&amp;" distinct origin strings · Colombia leads at "&amp;TEXT(COUNTIF('Coffee Audit'!F2:F2000,"*Colombia*")/COUNTA('Coffee Audit'!A2:A2000),"0%")&amp;" · "&amp;COUNTIF('Coffee Audit'!W2:W2000,"⭐ GESHA")&amp;" Gesha entries"</f>
        <v>Where the archive has travelled — 52 distinct origin strings · Colombia leads at 28% · 20 Gesha entries</v>
      </c>
      <c r="C2" s="72"/>
      <c r="D2" s="72"/>
      <c r="E2" s="72"/>
      <c r="F2" s="72"/>
      <c r="G2" s="72"/>
      <c r="H2" s="72"/>
      <c r="I2" s="72"/>
      <c r="J2" s="72"/>
      <c r="K2" s="72"/>
      <c r="L2" s="72"/>
    </row>
    <row r="3" customFormat="false" ht="6" hidden="false" customHeight="true" outlineLevel="0" collapsed="false"/>
    <row r="4" customFormat="false" ht="15.75" hidden="false" customHeight="true" outlineLevel="0" collapsed="false">
      <c r="B4" s="73" t="s">
        <v>1034</v>
      </c>
      <c r="C4" s="73"/>
      <c r="D4" s="73"/>
      <c r="E4" s="73"/>
      <c r="F4" s="73"/>
      <c r="G4" s="73"/>
      <c r="H4" s="73" t="str">
        <f aca="false">"  ⭐  GESHA REGISTER  —  The Apex Varietal · "&amp;COUNTIF('Coffee Audit'!W2:W2000,"⭐ GESHA")&amp;" archive entries"</f>
        <v>  ⭐  GESHA REGISTER  —  The Apex Varietal · 20 archive entries</v>
      </c>
      <c r="I4" s="73"/>
      <c r="J4" s="73"/>
      <c r="K4" s="73"/>
      <c r="L4" s="73"/>
    </row>
    <row r="5" customFormat="false" ht="15.75" hidden="false" customHeight="true" outlineLevel="0" collapsed="false">
      <c r="B5" s="75" t="s">
        <v>5</v>
      </c>
      <c r="C5" s="75" t="s">
        <v>950</v>
      </c>
      <c r="D5" s="75" t="s">
        <v>903</v>
      </c>
      <c r="E5" s="75" t="s">
        <v>1035</v>
      </c>
      <c r="F5" s="75" t="s">
        <v>1036</v>
      </c>
      <c r="H5" s="75" t="s">
        <v>1037</v>
      </c>
      <c r="I5" s="75" t="s">
        <v>1038</v>
      </c>
    </row>
    <row r="6" customFormat="false" ht="12.75" hidden="false" customHeight="true" outlineLevel="0" collapsed="false">
      <c r="B6" s="80" t="s">
        <v>118</v>
      </c>
      <c r="C6" s="81" t="n">
        <f aca="false">COUNTIF('Coffee Audit'!F2:F2000,"*Colombia*")</f>
        <v>21</v>
      </c>
      <c r="D6" s="81" t="str">
        <f aca="false">TEXT(COUNTIF('Coffee Audit'!F2:F2000,"*Colombia*")/COUNTA('Coffee Audit'!A2:A2000),"0%")</f>
        <v>28%</v>
      </c>
      <c r="E6" s="81" t="str">
        <f aca="false">IF(SUMPRODUCT(ISNUMBER(SEARCH("Colombia",'Coffee Audit'!F2:F2000))*('Coffee Audit'!W2:W2000="⭐ GESHA"))=0,"—","⭐ ×"&amp;SUMPRODUCT(ISNUMBER(SEARCH("Colombia",'Coffee Audit'!F2:F2000))*('Coffee Audit'!W2:W2000="⭐ GESHA")))</f>
        <v>⭐ ×8</v>
      </c>
      <c r="F6" s="81" t="s">
        <v>1039</v>
      </c>
      <c r="H6" s="80" t="s">
        <v>1040</v>
      </c>
      <c r="I6" s="90" t="n">
        <f aca="false">COUNTIF('Coffee Audit'!W2:W2000,"⭐ GESHA")</f>
        <v>20</v>
      </c>
    </row>
    <row r="7" customFormat="false" ht="12.75" hidden="false" customHeight="true" outlineLevel="0" collapsed="false">
      <c r="B7" s="86" t="s">
        <v>266</v>
      </c>
      <c r="C7" s="87" t="n">
        <f aca="false">COUNTIF('Coffee Audit'!F2:F2000,"*Ethiopia*")</f>
        <v>8</v>
      </c>
      <c r="D7" s="87" t="str">
        <f aca="false">TEXT(COUNTIF('Coffee Audit'!F2:F2000,"*Ethiopia*")/COUNTA('Coffee Audit'!A2:A2000),"0%")</f>
        <v>11%</v>
      </c>
      <c r="E7" s="87" t="str">
        <f aca="false">IF(SUMPRODUCT(ISNUMBER(SEARCH("Ethiopia",'Coffee Audit'!F2:F2000))*('Coffee Audit'!W2:W2000="⭐ GESHA"))=0,"—","⭐ ×"&amp;SUMPRODUCT(ISNUMBER(SEARCH("Ethiopia",'Coffee Audit'!F2:F2000))*('Coffee Audit'!W2:W2000="⭐ GESHA")))</f>
        <v>—</v>
      </c>
      <c r="F7" s="87" t="s">
        <v>1041</v>
      </c>
      <c r="H7" s="86" t="s">
        <v>1042</v>
      </c>
      <c r="I7" s="91" t="n">
        <f aca="false">SUMPRODUCT(('Coffee Audit'!W2:W2000="⭐ GESHA")*(ISNUMBER(SEARCH("washed",'Coffee Audit'!H2:H2000))))</f>
        <v>10</v>
      </c>
    </row>
    <row r="8" customFormat="false" ht="12.75" hidden="false" customHeight="true" outlineLevel="0" collapsed="false">
      <c r="B8" s="80" t="s">
        <v>253</v>
      </c>
      <c r="C8" s="81" t="n">
        <f aca="false">COUNTIF('Coffee Audit'!F2:F2000,"*Brazil*")</f>
        <v>5</v>
      </c>
      <c r="D8" s="81" t="str">
        <f aca="false">TEXT(COUNTIF('Coffee Audit'!F2:F2000,"*Brazil*")/COUNTA('Coffee Audit'!A2:A2000),"0%")</f>
        <v>7%</v>
      </c>
      <c r="E8" s="81" t="str">
        <f aca="false">IF(SUMPRODUCT(ISNUMBER(SEARCH("Brazil",'Coffee Audit'!F2:F2000))*('Coffee Audit'!W2:W2000="⭐ GESHA"))=0,"—","⭐ ×"&amp;SUMPRODUCT(ISNUMBER(SEARCH("Brazil",'Coffee Audit'!F2:F2000))*('Coffee Audit'!W2:W2000="⭐ GESHA")))</f>
        <v>—</v>
      </c>
      <c r="F8" s="81" t="s">
        <v>1043</v>
      </c>
      <c r="H8" s="80" t="s">
        <v>1044</v>
      </c>
      <c r="I8" s="90" t="n">
        <f aca="false">SUMPRODUCT(('Coffee Audit'!W2:W2000="⭐ GESHA")*(ISNUMBER(SEARCH("honey",'Coffee Audit'!H2:H2000))))</f>
        <v>4</v>
      </c>
    </row>
    <row r="9" customFormat="false" ht="12.75" hidden="false" customHeight="true" outlineLevel="0" collapsed="false">
      <c r="B9" s="86" t="s">
        <v>98</v>
      </c>
      <c r="C9" s="87" t="n">
        <f aca="false">COUNTIF('Coffee Audit'!F2:F2000,"*Honduras*")</f>
        <v>3</v>
      </c>
      <c r="D9" s="87" t="str">
        <f aca="false">TEXT(COUNTIF('Coffee Audit'!F2:F2000,"*Honduras*")/COUNTA('Coffee Audit'!A2:A2000),"0%")</f>
        <v>4%</v>
      </c>
      <c r="E9" s="87" t="str">
        <f aca="false">IF(SUMPRODUCT(ISNUMBER(SEARCH("Honduras",'Coffee Audit'!F2:F2000))*('Coffee Audit'!W2:W2000="⭐ GESHA"))=0,"—","⭐ ×"&amp;SUMPRODUCT(ISNUMBER(SEARCH("Honduras",'Coffee Audit'!F2:F2000))*('Coffee Audit'!W2:W2000="⭐ GESHA")))</f>
        <v>—</v>
      </c>
      <c r="F9" s="87" t="s">
        <v>914</v>
      </c>
      <c r="H9" s="86" t="s">
        <v>1045</v>
      </c>
      <c r="I9" s="91" t="n">
        <f aca="false">SUMPRODUCT(('Coffee Audit'!W2:W2000="⭐ GESHA")*(ISNUMBER(SEARCH("natural",'Coffee Audit'!H2:H2000))))</f>
        <v>6</v>
      </c>
    </row>
    <row r="10" customFormat="false" ht="12.75" hidden="false" customHeight="true" outlineLevel="0" collapsed="false">
      <c r="B10" s="80" t="s">
        <v>912</v>
      </c>
      <c r="C10" s="81" t="n">
        <f aca="false">COUNTIF('Coffee Audit'!F2:F2000,"*Indonesia*")</f>
        <v>3</v>
      </c>
      <c r="D10" s="81" t="str">
        <f aca="false">TEXT(COUNTIF('Coffee Audit'!F2:F2000,"*Indonesia*")/COUNTA('Coffee Audit'!A2:A2000),"0%")</f>
        <v>4%</v>
      </c>
      <c r="E10" s="81" t="str">
        <f aca="false">IF(SUMPRODUCT(ISNUMBER(SEARCH("Indonesia",'Coffee Audit'!F2:F2000))*('Coffee Audit'!W2:W2000="⭐ GESHA"))=0,"—","⭐ ×"&amp;SUMPRODUCT(ISNUMBER(SEARCH("Indonesia",'Coffee Audit'!F2:F2000))*('Coffee Audit'!W2:W2000="⭐ GESHA")))</f>
        <v>—</v>
      </c>
      <c r="F10" s="81" t="s">
        <v>1046</v>
      </c>
      <c r="H10" s="80" t="s">
        <v>1047</v>
      </c>
      <c r="I10" s="90" t="str">
        <f aca="false">"S$"&amp;TEXT(AVERAGEIFS('Coffee Audit'!Q2:Q2000,'Coffee Audit'!W2:W2000,"⭐ GESHA",'Coffee Audit'!Q2:Q2000,"&gt;0"),"0.00")</f>
        <v>S$16.92</v>
      </c>
    </row>
    <row r="11" customFormat="false" ht="12.75" hidden="false" customHeight="true" outlineLevel="0" collapsed="false">
      <c r="B11" s="86" t="s">
        <v>639</v>
      </c>
      <c r="C11" s="87" t="n">
        <f aca="false">COUNTIF('Coffee Audit'!F2:F2000,"*Peru*")</f>
        <v>7</v>
      </c>
      <c r="D11" s="87" t="str">
        <f aca="false">TEXT(COUNTIF('Coffee Audit'!F2:F2000,"*Peru*")/COUNTA('Coffee Audit'!A2:A2000),"0%")</f>
        <v>9%</v>
      </c>
      <c r="E11" s="87" t="str">
        <f aca="false">IF(SUMPRODUCT(ISNUMBER(SEARCH("Peru",'Coffee Audit'!F2:F2000))*('Coffee Audit'!W2:W2000="⭐ GESHA"))=0,"—","⭐ ×"&amp;SUMPRODUCT(ISNUMBER(SEARCH("Peru",'Coffee Audit'!F2:F2000))*('Coffee Audit'!W2:W2000="⭐ GESHA")))</f>
        <v>⭐ ×5</v>
      </c>
      <c r="F11" s="87" t="s">
        <v>1048</v>
      </c>
      <c r="H11" s="86" t="s">
        <v>1049</v>
      </c>
      <c r="I11" s="91" t="str">
        <f aca="false">"S$"&amp;TEXT(AVERAGEIFS('Coffee Audit'!Q2:Q2000,'Coffee Audit'!W2:W2000,"&lt;&gt;⭐ GESHA",'Coffee Audit'!Q2:Q2000,"&gt;0"),"0.00")</f>
        <v>S$9.54</v>
      </c>
    </row>
    <row r="12" customFormat="false" ht="12.75" hidden="false" customHeight="true" outlineLevel="0" collapsed="false">
      <c r="B12" s="80" t="s">
        <v>127</v>
      </c>
      <c r="C12" s="81" t="n">
        <f aca="false">COUNTIF('Coffee Audit'!F2:F2000,"*Kenya*")</f>
        <v>4</v>
      </c>
      <c r="D12" s="81" t="str">
        <f aca="false">TEXT(COUNTIF('Coffee Audit'!F2:F2000,"*Kenya*")/COUNTA('Coffee Audit'!A2:A2000),"0%")</f>
        <v>5%</v>
      </c>
      <c r="E12" s="81" t="str">
        <f aca="false">IF(SUMPRODUCT(ISNUMBER(SEARCH("Kenya",'Coffee Audit'!F2:F2000))*('Coffee Audit'!W2:W2000="⭐ GESHA"))=0,"—","⭐ ×"&amp;SUMPRODUCT(ISNUMBER(SEARCH("Kenya",'Coffee Audit'!F2:F2000))*('Coffee Audit'!W2:W2000="⭐ GESHA")))</f>
        <v>—</v>
      </c>
      <c r="F12" s="81" t="s">
        <v>909</v>
      </c>
      <c r="H12" s="80" t="s">
        <v>1050</v>
      </c>
      <c r="I12" s="90" t="str">
        <f aca="false">"+"&amp;TEXT(AVERAGEIFS('Coffee Audit'!Q2:Q2000,'Coffee Audit'!W2:W2000,"⭐ GESHA",'Coffee Audit'!Q2:Q2000,"&gt;0")/AVERAGEIFS('Coffee Audit'!Q2:Q2000,'Coffee Audit'!W2:W2000,"&lt;&gt;⭐ GESHA",'Coffee Audit'!Q2:Q2000,"&gt;0")-1,"0%")</f>
        <v>+77%</v>
      </c>
    </row>
    <row r="13" customFormat="false" ht="12.75" hidden="false" customHeight="true" outlineLevel="0" collapsed="false">
      <c r="B13" s="86" t="s">
        <v>694</v>
      </c>
      <c r="C13" s="87" t="n">
        <f aca="false">COUNTIF('Coffee Audit'!F2:F2000,"*Panama*")</f>
        <v>5</v>
      </c>
      <c r="D13" s="87" t="str">
        <f aca="false">TEXT(COUNTIF('Coffee Audit'!F2:F2000,"*Panama*")/COUNTA('Coffee Audit'!A2:A2000),"0%")</f>
        <v>7%</v>
      </c>
      <c r="E13" s="87" t="str">
        <f aca="false">IF(SUMPRODUCT(ISNUMBER(SEARCH("Panama",'Coffee Audit'!F2:F2000))*('Coffee Audit'!W2:W2000="⭐ GESHA"))=0,"—","⭐ ×"&amp;SUMPRODUCT(ISNUMBER(SEARCH("Panama",'Coffee Audit'!F2:F2000))*('Coffee Audit'!W2:W2000="⭐ GESHA")))</f>
        <v>⭐ ×5</v>
      </c>
      <c r="F13" s="87" t="s">
        <v>1051</v>
      </c>
      <c r="H13" s="86" t="s">
        <v>1052</v>
      </c>
      <c r="I13" s="91" t="s">
        <v>1053</v>
      </c>
    </row>
    <row r="14" customFormat="false" ht="12.75" hidden="false" customHeight="true" outlineLevel="0" collapsed="false">
      <c r="B14" s="80" t="s">
        <v>135</v>
      </c>
      <c r="C14" s="81" t="n">
        <f aca="false">COUNTIF('Coffee Audit'!F2:F2000,"*Nicaragua*")</f>
        <v>2</v>
      </c>
      <c r="D14" s="81" t="str">
        <f aca="false">TEXT(COUNTIF('Coffee Audit'!F2:F2000,"*Nicaragua*")/COUNTA('Coffee Audit'!A2:A2000),"0%")</f>
        <v>3%</v>
      </c>
      <c r="E14" s="81" t="str">
        <f aca="false">IF(SUMPRODUCT(ISNUMBER(SEARCH("Nicaragua",'Coffee Audit'!F2:F2000))*('Coffee Audit'!W2:W2000="⭐ GESHA"))=0,"—","⭐ ×"&amp;SUMPRODUCT(ISNUMBER(SEARCH("Nicaragua",'Coffee Audit'!F2:F2000))*('Coffee Audit'!W2:W2000="⭐ GESHA")))</f>
        <v>—</v>
      </c>
      <c r="F14" s="81" t="s">
        <v>1054</v>
      </c>
      <c r="H14" s="80" t="s">
        <v>1055</v>
      </c>
      <c r="I14" s="90" t="str">
        <f aca="false">"S$"&amp;TEXT(_xlfn.MAXIFS('Coffee Audit'!Q2:Q2000,'Coffee Audit'!W2:W2000,"⭐ GESHA"),"0")&amp;" — "&amp;INDEX('Coffee Audit'!D2:D2000,MATCH(1,INDEX(('Coffee Audit'!W2:W2000="⭐ GESHA")*('Coffee Audit'!Q2:Q2000=_xlfn.MAXIFS('Coffee Audit'!Q2:Q2000,'Coffee Audit'!W2:W2000,"⭐ GESHA")),0),0))&amp;" ("&amp;INDEX('Coffee Audit'!C2:C2000,MATCH(1,INDEX(('Coffee Audit'!W2:W2000="⭐ GESHA")*('Coffee Audit'!Q2:Q2000=_xlfn.MAXIFS('Coffee Audit'!Q2:Q2000,'Coffee Audit'!W2:W2000,"⭐ GESHA")),0),0))&amp;")"</f>
        <v>S$60 — Finca Sophia Torcaza Grand Reserve Washed Geisha (Pour.traits Roasters)</v>
      </c>
    </row>
    <row r="15" customFormat="false" ht="12.75" hidden="false" customHeight="true" outlineLevel="0" collapsed="false">
      <c r="B15" s="86" t="s">
        <v>543</v>
      </c>
      <c r="C15" s="87" t="n">
        <f aca="false">COUNTIF('Coffee Audit'!F2:F2000,"*Bolivia*")</f>
        <v>2</v>
      </c>
      <c r="D15" s="87" t="str">
        <f aca="false">TEXT(COUNTIF('Coffee Audit'!F2:F2000,"*Bolivia*")/COUNTA('Coffee Audit'!A2:A2000),"0%")</f>
        <v>3%</v>
      </c>
      <c r="E15" s="87" t="str">
        <f aca="false">IF(SUMPRODUCT(ISNUMBER(SEARCH("Bolivia",'Coffee Audit'!F2:F2000))*('Coffee Audit'!W2:W2000="⭐ GESHA"))=0,"—","⭐ ×"&amp;SUMPRODUCT(ISNUMBER(SEARCH("Bolivia",'Coffee Audit'!F2:F2000))*('Coffee Audit'!W2:W2000="⭐ GESHA")))</f>
        <v>—</v>
      </c>
      <c r="F15" s="87" t="s">
        <v>1056</v>
      </c>
      <c r="H15" s="86" t="s">
        <v>1057</v>
      </c>
      <c r="I15" s="91" t="str">
        <f aca="false">"S$"&amp;TEXT(_xlfn.MINIFS('Coffee Audit'!Q2:Q2000,'Coffee Audit'!W2:W2000,"⭐ GESHA",'Coffee Audit'!Q2:Q2000,"&gt;0"),"0.00")&amp;" — "&amp;INDEX('Coffee Audit'!D2:D2000,MATCH(1,INDEX(('Coffee Audit'!W2:W2000="⭐ GESHA")*('Coffee Audit'!Q2:Q2000=_xlfn.MINIFS('Coffee Audit'!Q2:Q2000,'Coffee Audit'!W2:W2000,"⭐ GESHA",'Coffee Audit'!Q2:Q2000,"&gt;0")),0),0))&amp;" ("&amp;INDEX('Coffee Audit'!C2:C2000,MATCH(1,INDEX(('Coffee Audit'!W2:W2000="⭐ GESHA")*('Coffee Audit'!Q2:Q2000=_xlfn.MINIFS('Coffee Audit'!Q2:Q2000,'Coffee Audit'!W2:W2000,"⭐ GESHA",'Coffee Audit'!Q2:Q2000,"&gt;0")),0),0))&amp;")"</f>
        <v>S$9.50 — Peru Wilder Garcia (Apartment (Selegie Rd))</v>
      </c>
    </row>
    <row r="16" customFormat="false" ht="12.75" hidden="false" customHeight="true" outlineLevel="0" collapsed="false">
      <c r="B16" s="80" t="s">
        <v>1058</v>
      </c>
      <c r="C16" s="81" t="n">
        <f aca="false">COUNTIF('Coffee Audit'!F2:F2000,"*Ecuador*")</f>
        <v>1</v>
      </c>
      <c r="D16" s="81" t="str">
        <f aca="false">TEXT(COUNTIF('Coffee Audit'!F2:F2000,"*Ecuador*")/COUNTA('Coffee Audit'!A2:A2000),"0%")</f>
        <v>1%</v>
      </c>
      <c r="E16" s="81" t="str">
        <f aca="false">IF(SUMPRODUCT(ISNUMBER(SEARCH("Ecuador",'Coffee Audit'!F2:F2000))*('Coffee Audit'!W2:W2000="⭐ GESHA"))=0,"—","⭐ ×"&amp;SUMPRODUCT(ISNUMBER(SEARCH("Ecuador",'Coffee Audit'!F2:F2000))*('Coffee Audit'!W2:W2000="⭐ GESHA")))</f>
        <v>⭐ ×1</v>
      </c>
      <c r="F16" s="81" t="s">
        <v>1059</v>
      </c>
      <c r="H16" s="80" t="s">
        <v>1060</v>
      </c>
      <c r="I16" s="90" t="s">
        <v>1061</v>
      </c>
    </row>
    <row r="17" customFormat="false" ht="12.75" hidden="false" customHeight="true" outlineLevel="0" collapsed="false">
      <c r="B17" s="86" t="s">
        <v>73</v>
      </c>
      <c r="C17" s="87" t="n">
        <f aca="false">COUNTIF('Coffee Audit'!F2:F2000,"*India*")</f>
        <v>3</v>
      </c>
      <c r="D17" s="87" t="str">
        <f aca="false">TEXT(COUNTIF('Coffee Audit'!F2:F2000,"*India*")/COUNTA('Coffee Audit'!A2:A2000),"0%")</f>
        <v>4%</v>
      </c>
      <c r="E17" s="87" t="str">
        <f aca="false">IF(SUMPRODUCT(ISNUMBER(SEARCH("India",'Coffee Audit'!F2:F2000))*('Coffee Audit'!W2:W2000="⭐ GESHA"))=0,"—","⭐ ×"&amp;SUMPRODUCT(ISNUMBER(SEARCH("India",'Coffee Audit'!F2:F2000))*('Coffee Audit'!W2:W2000="⭐ GESHA")))</f>
        <v>—</v>
      </c>
      <c r="F17" s="87" t="s">
        <v>1062</v>
      </c>
    </row>
    <row r="18" customFormat="false" ht="12.75" hidden="false" customHeight="true" outlineLevel="0" collapsed="false">
      <c r="B18" s="80" t="s">
        <v>1063</v>
      </c>
      <c r="C18" s="81" t="n">
        <f aca="false">COUNTIF('Coffee Audit'!F2:F2000,"*Malaysia*")</f>
        <v>1</v>
      </c>
      <c r="D18" s="81" t="str">
        <f aca="false">TEXT(COUNTIF('Coffee Audit'!F2:F2000,"*Malaysia*")/COUNTA('Coffee Audit'!A2:A2000),"0%")</f>
        <v>1%</v>
      </c>
      <c r="E18" s="81" t="str">
        <f aca="false">IF(SUMPRODUCT(ISNUMBER(SEARCH("Malaysia",'Coffee Audit'!F2:F2000))*('Coffee Audit'!W2:W2000="⭐ GESHA"))=0,"—","⭐ ×"&amp;SUMPRODUCT(ISNUMBER(SEARCH("Malaysia",'Coffee Audit'!F2:F2000))*('Coffee Audit'!W2:W2000="⭐ GESHA")))</f>
        <v>—</v>
      </c>
      <c r="F18" s="81" t="s">
        <v>1064</v>
      </c>
    </row>
    <row r="19" customFormat="false" ht="12.75" hidden="false" customHeight="true" outlineLevel="0" collapsed="false">
      <c r="B19" s="86" t="s">
        <v>1065</v>
      </c>
      <c r="C19" s="87" t="n">
        <f aca="false">COUNTIF('Coffee Audit'!F2:F2000,"*China*")</f>
        <v>1</v>
      </c>
      <c r="D19" s="87" t="str">
        <f aca="false">TEXT(COUNTIF('Coffee Audit'!F2:F2000,"*China*")/COUNTA('Coffee Audit'!A2:A2000),"0%")</f>
        <v>1%</v>
      </c>
      <c r="E19" s="87" t="str">
        <f aca="false">IF(SUMPRODUCT(ISNUMBER(SEARCH("China",'Coffee Audit'!F2:F2000))*('Coffee Audit'!W2:W2000="⭐ GESHA"))=0,"—","⭐ ×"&amp;SUMPRODUCT(ISNUMBER(SEARCH("China",'Coffee Audit'!F2:F2000))*('Coffee Audit'!W2:W2000="⭐ GESHA")))</f>
        <v>—</v>
      </c>
      <c r="F19" s="87" t="s">
        <v>1066</v>
      </c>
    </row>
    <row r="20" customFormat="false" ht="12.75" hidden="false" customHeight="true" outlineLevel="0" collapsed="false">
      <c r="B20" s="80" t="s">
        <v>395</v>
      </c>
      <c r="C20" s="81" t="n">
        <f aca="false">COUNTIF('Coffee Audit'!F2:F2000,"*Rwanda*")</f>
        <v>2</v>
      </c>
      <c r="D20" s="81" t="str">
        <f aca="false">TEXT(COUNTIF('Coffee Audit'!F2:F2000,"*Rwanda*")/COUNTA('Coffee Audit'!A2:A2000),"0%")</f>
        <v>3%</v>
      </c>
      <c r="E20" s="81" t="str">
        <f aca="false">IF(SUMPRODUCT(ISNUMBER(SEARCH("Rwanda",'Coffee Audit'!F2:F2000))*('Coffee Audit'!W2:W2000="⭐ GESHA"))=0,"—","⭐ ×"&amp;SUMPRODUCT(ISNUMBER(SEARCH("Rwanda",'Coffee Audit'!F2:F2000))*('Coffee Audit'!W2:W2000="⭐ GESHA")))</f>
        <v>—</v>
      </c>
      <c r="F20" s="81" t="s">
        <v>1067</v>
      </c>
    </row>
    <row r="21" customFormat="false" ht="12.75" hidden="false" customHeight="true" outlineLevel="0" collapsed="false">
      <c r="B21" s="86" t="s">
        <v>1068</v>
      </c>
      <c r="C21" s="87" t="n">
        <f aca="false">COUNTIF('Coffee Audit'!F2:F2000,"*Myanmar*")</f>
        <v>1</v>
      </c>
      <c r="D21" s="87" t="str">
        <f aca="false">TEXT(COUNTIF('Coffee Audit'!F2:F2000,"*Myanmar*")/COUNTA('Coffee Audit'!A2:A2000),"0%")</f>
        <v>1%</v>
      </c>
      <c r="E21" s="87" t="str">
        <f aca="false">IF(SUMPRODUCT(ISNUMBER(SEARCH("Myanmar",'Coffee Audit'!F2:F2000))*('Coffee Audit'!W2:W2000="⭐ GESHA"))=0,"—","⭐ ×"&amp;SUMPRODUCT(ISNUMBER(SEARCH("Myanmar",'Coffee Audit'!F2:F2000))*('Coffee Audit'!W2:W2000="⭐ GESHA")))</f>
        <v>—</v>
      </c>
      <c r="F21" s="87" t="s">
        <v>1069</v>
      </c>
    </row>
    <row r="22" customFormat="false" ht="12.75" hidden="false" customHeight="true" outlineLevel="0" collapsed="false">
      <c r="B22" s="80" t="s">
        <v>90</v>
      </c>
      <c r="C22" s="81" t="n">
        <f aca="false">COUNTIF('Coffee Audit'!F2:F2000,"*El Salvador*")</f>
        <v>1</v>
      </c>
      <c r="D22" s="81" t="str">
        <f aca="false">TEXT(COUNTIF('Coffee Audit'!F2:F2000,"*El Salvador*")/COUNTA('Coffee Audit'!A2:A2000),"0%")</f>
        <v>1%</v>
      </c>
      <c r="E22" s="81" t="str">
        <f aca="false">IF(SUMPRODUCT(ISNUMBER(SEARCH("El Salvador",'Coffee Audit'!F2:F2000))*('Coffee Audit'!W2:W2000="⭐ GESHA"))=0,"—","⭐ ×"&amp;SUMPRODUCT(ISNUMBER(SEARCH("El Salvador",'Coffee Audit'!F2:F2000))*('Coffee Audit'!W2:W2000="⭐ GESHA")))</f>
        <v>—</v>
      </c>
      <c r="F22" s="81" t="s">
        <v>1070</v>
      </c>
    </row>
    <row r="23" customFormat="false" ht="12.75" hidden="false" customHeight="true" outlineLevel="0" collapsed="false">
      <c r="B23" s="55" t="s">
        <v>915</v>
      </c>
      <c r="C23" s="46" t="n">
        <f aca="false">COUNTIF('Coffee Audit'!F2:F2000,"*Thailand*")</f>
        <v>2</v>
      </c>
      <c r="D23" s="46" t="str">
        <f aca="false">TEXT(COUNTIF('Coffee Audit'!F2:F2000,"*Thailand*")/COUNTA('Coffee Audit'!A2:A2000),"0%")</f>
        <v>3%</v>
      </c>
      <c r="E23" s="46" t="str">
        <f aca="false">IF(SUMPRODUCT(ISNUMBER(SEARCH("Thailand",'Coffee Audit'!F2:F2000))*('Coffee Audit'!W2:W2000="⭐ GESHA"))=0,"—","⭐ ×"&amp;SUMPRODUCT(ISNUMBER(SEARCH("Thailand",'Coffee Audit'!F2:F2000))*('Coffee Audit'!W2:W2000="⭐ GESHA")))</f>
        <v>⭐ ×1</v>
      </c>
      <c r="F23" s="92" t="s">
        <v>1071</v>
      </c>
    </row>
    <row r="24" customFormat="false" ht="12.75" hidden="false" customHeight="true" outlineLevel="0" collapsed="false">
      <c r="B24" s="55" t="s">
        <v>917</v>
      </c>
      <c r="C24" s="46" t="n">
        <f aca="false">COUNTIF('Coffee Audit'!F2:F2000,"*Guatemala*")</f>
        <v>1</v>
      </c>
      <c r="D24" s="46" t="str">
        <f aca="false">TEXT(COUNTIF('Coffee Audit'!F2:F2000,"*Guatemala*")/COUNTA('Coffee Audit'!A2:A2000),"0%")</f>
        <v>1%</v>
      </c>
      <c r="E24" s="46" t="str">
        <f aca="false">IF(SUMPRODUCT(ISNUMBER(SEARCH("Guatemala",'Coffee Audit'!F2:F2000))*('Coffee Audit'!W2:W2000="⭐ GESHA"))=0,"—","⭐ ×"&amp;SUMPRODUCT(ISNUMBER(SEARCH("Guatemala",'Coffee Audit'!F2:F2000))*('Coffee Audit'!W2:W2000="⭐ GESHA")))</f>
        <v>—</v>
      </c>
      <c r="F24" s="92" t="s">
        <v>918</v>
      </c>
    </row>
    <row r="25" customFormat="false" ht="15.75" hidden="false" customHeight="true" outlineLevel="0" collapsed="false"/>
    <row r="26" customFormat="false" ht="12.75" hidden="false" customHeight="true" outlineLevel="0" collapsed="false">
      <c r="B26" s="93" t="s">
        <v>1072</v>
      </c>
    </row>
    <row r="27" customFormat="false" ht="12.75" hidden="false" customHeight="true" outlineLevel="0" collapsed="false">
      <c r="B27" s="75" t="s">
        <v>6</v>
      </c>
      <c r="C27" s="75" t="s">
        <v>996</v>
      </c>
      <c r="D27" s="75" t="s">
        <v>1073</v>
      </c>
      <c r="E27" s="75" t="s">
        <v>1074</v>
      </c>
      <c r="F27" s="75" t="s">
        <v>1075</v>
      </c>
    </row>
    <row r="28" customFormat="false" ht="12.75" hidden="false" customHeight="true" outlineLevel="0" collapsed="false">
      <c r="B28" s="94" t="s">
        <v>1076</v>
      </c>
      <c r="C28" s="95" t="s">
        <v>1077</v>
      </c>
      <c r="D28" s="95" t="s">
        <v>1078</v>
      </c>
      <c r="E28" s="95" t="s">
        <v>1079</v>
      </c>
      <c r="F28" s="95" t="str">
        <f aca="false">"Apex varietal · "&amp;COUNTIF('Coffee Audit'!W2:W2000,"⭐ GESHA")&amp;" entries"</f>
        <v>Apex varietal · 20 entries</v>
      </c>
    </row>
    <row r="29" customFormat="false" ht="12.75" hidden="false" customHeight="true" outlineLevel="0" collapsed="false">
      <c r="B29" s="94" t="s">
        <v>91</v>
      </c>
      <c r="C29" s="95" t="s">
        <v>1077</v>
      </c>
      <c r="D29" s="95" t="s">
        <v>1080</v>
      </c>
      <c r="E29" s="95" t="s">
        <v>1081</v>
      </c>
      <c r="F29" s="95" t="s">
        <v>1082</v>
      </c>
    </row>
    <row r="30" customFormat="false" ht="12.75" hidden="false" customHeight="true" outlineLevel="0" collapsed="false">
      <c r="B30" s="94" t="s">
        <v>661</v>
      </c>
      <c r="C30" s="95" t="s">
        <v>1077</v>
      </c>
      <c r="D30" s="95" t="s">
        <v>1083</v>
      </c>
      <c r="E30" s="95" t="s">
        <v>662</v>
      </c>
      <c r="F30" s="95" t="s">
        <v>1084</v>
      </c>
    </row>
    <row r="31" customFormat="false" ht="12.75" hidden="false" customHeight="true" outlineLevel="0" collapsed="false">
      <c r="B31" s="94" t="s">
        <v>183</v>
      </c>
      <c r="C31" s="95" t="s">
        <v>1077</v>
      </c>
      <c r="D31" s="95" t="s">
        <v>1085</v>
      </c>
      <c r="E31" s="95" t="s">
        <v>58</v>
      </c>
      <c r="F31" s="95" t="s">
        <v>1086</v>
      </c>
    </row>
    <row r="32" customFormat="false" ht="12.75" hidden="false" customHeight="true" outlineLevel="0" collapsed="false">
      <c r="B32" s="94" t="s">
        <v>530</v>
      </c>
      <c r="C32" s="95" t="s">
        <v>1077</v>
      </c>
      <c r="D32" s="95" t="s">
        <v>1087</v>
      </c>
      <c r="E32" s="95" t="s">
        <v>58</v>
      </c>
      <c r="F32" s="95" t="s">
        <v>1088</v>
      </c>
    </row>
    <row r="33" customFormat="false" ht="12.75" hidden="false" customHeight="true" outlineLevel="0" collapsed="false">
      <c r="B33" s="94" t="s">
        <v>119</v>
      </c>
      <c r="C33" s="95" t="s">
        <v>1077</v>
      </c>
      <c r="D33" s="95" t="s">
        <v>1089</v>
      </c>
      <c r="E33" s="95" t="s">
        <v>58</v>
      </c>
      <c r="F33" s="95" t="s">
        <v>1090</v>
      </c>
    </row>
    <row r="34" customFormat="false" ht="12.75" hidden="false" customHeight="true" outlineLevel="0" collapsed="false">
      <c r="B34" s="94" t="s">
        <v>316</v>
      </c>
      <c r="C34" s="95" t="s">
        <v>1077</v>
      </c>
      <c r="D34" s="95" t="s">
        <v>1091</v>
      </c>
      <c r="E34" s="95" t="s">
        <v>74</v>
      </c>
      <c r="F34" s="95" t="s">
        <v>1092</v>
      </c>
    </row>
    <row r="35" customFormat="false" ht="12.75" hidden="false" customHeight="true" outlineLevel="0" collapsed="false">
      <c r="B35" s="94" t="s">
        <v>373</v>
      </c>
      <c r="C35" s="95" t="s">
        <v>1077</v>
      </c>
      <c r="D35" s="95" t="s">
        <v>1093</v>
      </c>
      <c r="E35" s="95" t="s">
        <v>374</v>
      </c>
      <c r="F35" s="95" t="s">
        <v>1094</v>
      </c>
    </row>
    <row r="36" customFormat="false" ht="12.75" hidden="false" customHeight="true" outlineLevel="0" collapsed="false">
      <c r="B36" s="94" t="s">
        <v>1095</v>
      </c>
      <c r="C36" s="95" t="s">
        <v>1077</v>
      </c>
      <c r="D36" s="95" t="s">
        <v>1096</v>
      </c>
      <c r="E36" s="95" t="s">
        <v>1097</v>
      </c>
      <c r="F36" s="95" t="s">
        <v>1098</v>
      </c>
    </row>
    <row r="37" customFormat="false" ht="12.75" hidden="false" customHeight="true" outlineLevel="0" collapsed="false">
      <c r="B37" s="94" t="s">
        <v>472</v>
      </c>
      <c r="C37" s="95" t="s">
        <v>1077</v>
      </c>
      <c r="D37" s="95" t="s">
        <v>1099</v>
      </c>
      <c r="E37" s="95" t="s">
        <v>473</v>
      </c>
      <c r="F37" s="95" t="s">
        <v>1100</v>
      </c>
    </row>
    <row r="38" customFormat="false" ht="12.75" hidden="false" customHeight="true" outlineLevel="0" collapsed="false">
      <c r="B38" s="94" t="s">
        <v>230</v>
      </c>
      <c r="C38" s="95" t="s">
        <v>1077</v>
      </c>
      <c r="D38" s="95" t="s">
        <v>1101</v>
      </c>
      <c r="E38" s="95" t="s">
        <v>231</v>
      </c>
      <c r="F38" s="95" t="s">
        <v>1102</v>
      </c>
    </row>
    <row r="39" customFormat="false" ht="12.75" hidden="false" customHeight="true" outlineLevel="0" collapsed="false">
      <c r="B39" s="96" t="s">
        <v>1103</v>
      </c>
      <c r="C39" s="97" t="s">
        <v>1104</v>
      </c>
      <c r="D39" s="97" t="s">
        <v>1028</v>
      </c>
      <c r="E39" s="97" t="s">
        <v>1028</v>
      </c>
      <c r="F39" s="97" t="s">
        <v>1105</v>
      </c>
    </row>
    <row r="40" customFormat="false" ht="20.25" hidden="false" customHeight="true" outlineLevel="0" collapsed="false">
      <c r="B40" s="96" t="s">
        <v>1106</v>
      </c>
      <c r="C40" s="97" t="s">
        <v>1104</v>
      </c>
      <c r="D40" s="97" t="s">
        <v>1028</v>
      </c>
      <c r="E40" s="97" t="s">
        <v>1028</v>
      </c>
      <c r="F40" s="97" t="s">
        <v>1107</v>
      </c>
    </row>
    <row r="41" customFormat="false" ht="15" hidden="false" customHeight="true" outlineLevel="0" collapsed="false">
      <c r="B41" s="96" t="s">
        <v>1108</v>
      </c>
      <c r="C41" s="97" t="s">
        <v>1104</v>
      </c>
      <c r="D41" s="97" t="s">
        <v>1028</v>
      </c>
      <c r="E41" s="97" t="s">
        <v>1028</v>
      </c>
      <c r="F41" s="97" t="s">
        <v>1109</v>
      </c>
    </row>
  </sheetData>
  <mergeCells count="4">
    <mergeCell ref="B1:L1"/>
    <mergeCell ref="B2:L2"/>
    <mergeCell ref="B4:G4"/>
    <mergeCell ref="H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K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8"/>
    <col collapsed="false" customWidth="true" hidden="false" outlineLevel="0" max="4" min="4" style="1" width="11"/>
    <col collapsed="false" customWidth="true" hidden="false" outlineLevel="0" max="5" min="5" style="1" width="13"/>
    <col collapsed="false" customWidth="true" hidden="false" outlineLevel="0" max="6" min="6" style="1" width="42"/>
    <col collapsed="false" customWidth="true" hidden="false" outlineLevel="0" max="11" min="7" style="1" width="5"/>
  </cols>
  <sheetData>
    <row r="1" customFormat="false" ht="21.75" hidden="false" customHeight="true" outlineLevel="0" collapsed="false">
      <c r="B1" s="71" t="s">
        <v>1110</v>
      </c>
      <c r="C1" s="71"/>
      <c r="D1" s="71"/>
      <c r="E1" s="71"/>
      <c r="F1" s="71"/>
      <c r="G1" s="71"/>
      <c r="H1" s="71"/>
      <c r="I1" s="71"/>
      <c r="J1" s="71"/>
      <c r="K1" s="71"/>
    </row>
    <row r="2" customFormat="false" ht="13.5" hidden="false" customHeight="true" outlineLevel="0" collapsed="false">
      <c r="B2" s="72" t="str">
        <f aca="false">"Flat burrs · flat beds · the physics of clarity   ·   measured live across "&amp;COUNTA('Coffee Audit'!A2:A2000)&amp;" field audits"</f>
        <v>Flat burrs · flat beds · the physics of clarity   ·   measured live across 76 field audits</v>
      </c>
      <c r="C2" s="72"/>
      <c r="D2" s="72"/>
      <c r="E2" s="72"/>
      <c r="F2" s="72"/>
      <c r="G2" s="72"/>
      <c r="H2" s="72"/>
      <c r="I2" s="72"/>
      <c r="J2" s="72"/>
      <c r="K2" s="72"/>
    </row>
    <row r="3" customFormat="false" ht="6" hidden="false" customHeight="true" outlineLevel="0" collapsed="false"/>
    <row r="4" customFormat="false" ht="15.75" hidden="false" customHeight="true" outlineLevel="0" collapsed="false">
      <c r="B4" s="73" t="s">
        <v>1111</v>
      </c>
      <c r="C4" s="73"/>
      <c r="D4" s="73"/>
      <c r="E4" s="73"/>
      <c r="F4" s="73"/>
      <c r="G4" s="73"/>
      <c r="H4" s="73"/>
      <c r="I4" s="73"/>
      <c r="J4" s="73"/>
      <c r="K4" s="73"/>
    </row>
    <row r="5" customFormat="false" ht="15.75" hidden="false" customHeight="true" outlineLevel="0" collapsed="false">
      <c r="B5" s="75" t="s">
        <v>1112</v>
      </c>
      <c r="C5" s="75" t="s">
        <v>950</v>
      </c>
      <c r="D5" s="75" t="s">
        <v>1113</v>
      </c>
      <c r="E5" s="75" t="s">
        <v>1114</v>
      </c>
      <c r="F5" s="75" t="s">
        <v>1115</v>
      </c>
    </row>
    <row r="6" customFormat="false" ht="12.75" hidden="false" customHeight="true" outlineLevel="0" collapsed="false">
      <c r="B6" s="80" t="s">
        <v>1116</v>
      </c>
      <c r="C6" s="81" t="n">
        <f aca="false">COUNTIF('Coffee Audit'!P2:P2000,"*P80*")</f>
        <v>2</v>
      </c>
      <c r="D6" s="81" t="s">
        <v>1117</v>
      </c>
      <c r="E6" s="81" t="s">
        <v>1118</v>
      </c>
      <c r="F6" s="81" t="s">
        <v>1119</v>
      </c>
    </row>
    <row r="7" customFormat="false" ht="12.75" hidden="false" customHeight="true" outlineLevel="0" collapsed="false">
      <c r="B7" s="86" t="s">
        <v>174</v>
      </c>
      <c r="C7" s="87" t="n">
        <f aca="false">COUNTIF('Coffee Audit'!P2:P2000,"*P64*")</f>
        <v>10</v>
      </c>
      <c r="D7" s="87" t="s">
        <v>1120</v>
      </c>
      <c r="E7" s="87" t="s">
        <v>1121</v>
      </c>
      <c r="F7" s="87" t="s">
        <v>1122</v>
      </c>
    </row>
    <row r="8" customFormat="false" ht="12.75" hidden="false" customHeight="true" outlineLevel="0" collapsed="false">
      <c r="B8" s="80" t="s">
        <v>1123</v>
      </c>
      <c r="C8" s="81" t="n">
        <f aca="false">COUNTIF('Coffee Audit'!P2:P2000,"*EK43*")</f>
        <v>25</v>
      </c>
      <c r="D8" s="81" t="s">
        <v>1124</v>
      </c>
      <c r="E8" s="81" t="s">
        <v>1125</v>
      </c>
      <c r="F8" s="81" t="s">
        <v>1126</v>
      </c>
    </row>
    <row r="9" customFormat="false" ht="12.75" hidden="false" customHeight="true" outlineLevel="0" collapsed="false">
      <c r="B9" s="86" t="s">
        <v>235</v>
      </c>
      <c r="C9" s="87" t="n">
        <f aca="false">COUNTIF('Coffee Audit'!P2:P2000,"*Omnia*")</f>
        <v>6</v>
      </c>
      <c r="D9" s="87" t="s">
        <v>1124</v>
      </c>
      <c r="E9" s="87" t="s">
        <v>1127</v>
      </c>
      <c r="F9" s="87" t="s">
        <v>1128</v>
      </c>
    </row>
    <row r="10" customFormat="false" ht="12.75" hidden="false" customHeight="true" outlineLevel="0" collapsed="false">
      <c r="B10" s="80" t="s">
        <v>1129</v>
      </c>
      <c r="C10" s="81" t="n">
        <f aca="false">COUNTIF('Coffee Audit'!P2:P2000,"*Ditting*")</f>
        <v>5</v>
      </c>
      <c r="D10" s="81" t="s">
        <v>1130</v>
      </c>
      <c r="E10" s="81" t="s">
        <v>1131</v>
      </c>
      <c r="F10" s="81" t="s">
        <v>1132</v>
      </c>
    </row>
    <row r="11" customFormat="false" ht="12.75" hidden="false" customHeight="true" outlineLevel="0" collapsed="false">
      <c r="B11" s="86" t="s">
        <v>1133</v>
      </c>
      <c r="C11" s="87" t="n">
        <f aca="false">COUNTIF('Coffee Audit'!P2:P2000,"*DF83*")</f>
        <v>2</v>
      </c>
      <c r="D11" s="87" t="s">
        <v>1134</v>
      </c>
      <c r="E11" s="87" t="s">
        <v>1135</v>
      </c>
      <c r="F11" s="87" t="s">
        <v>370</v>
      </c>
    </row>
    <row r="12" customFormat="false" ht="12.75" hidden="false" customHeight="true" outlineLevel="0" collapsed="false">
      <c r="B12" s="80" t="s">
        <v>222</v>
      </c>
      <c r="C12" s="81" t="n">
        <f aca="false">COUNTIF('Coffee Audit'!P2:P2000,"*Sculptor*")</f>
        <v>2</v>
      </c>
      <c r="D12" s="81" t="s">
        <v>1136</v>
      </c>
      <c r="E12" s="81" t="s">
        <v>1137</v>
      </c>
      <c r="F12" s="81" t="s">
        <v>1138</v>
      </c>
    </row>
    <row r="13" customFormat="false" ht="12.75" hidden="false" customHeight="true" outlineLevel="0" collapsed="false">
      <c r="B13" s="86" t="s">
        <v>1139</v>
      </c>
      <c r="C13" s="87" t="n">
        <f aca="false">COUNTIF('Coffee Audit'!P2:P2000,"*FM 120*")</f>
        <v>0</v>
      </c>
      <c r="D13" s="87" t="s">
        <v>1140</v>
      </c>
      <c r="E13" s="87" t="s">
        <v>1141</v>
      </c>
      <c r="F13" s="87" t="s">
        <v>1142</v>
      </c>
    </row>
    <row r="14" customFormat="false" ht="12.75" hidden="false" customHeight="true" outlineLevel="0" collapsed="false">
      <c r="B14" s="80" t="s">
        <v>1143</v>
      </c>
      <c r="C14" s="81" t="n">
        <f aca="false">COUNTIF('Coffee Audit'!P2:P2000,"*Mazzer*")</f>
        <v>1</v>
      </c>
      <c r="D14" s="81" t="s">
        <v>1134</v>
      </c>
      <c r="E14" s="81" t="s">
        <v>1144</v>
      </c>
      <c r="F14" s="81" t="s">
        <v>456</v>
      </c>
    </row>
    <row r="15" customFormat="false" ht="12.75" hidden="false" customHeight="true" outlineLevel="0" collapsed="false">
      <c r="B15" s="86" t="s">
        <v>1145</v>
      </c>
      <c r="C15" s="87" t="n">
        <f aca="false">COUNTIF('Coffee Audit'!P2:P2000,"*Conical Gold*")</f>
        <v>1</v>
      </c>
      <c r="D15" s="87" t="s">
        <v>1146</v>
      </c>
      <c r="E15" s="87" t="s">
        <v>1147</v>
      </c>
      <c r="F15" s="87" t="s">
        <v>416</v>
      </c>
    </row>
    <row r="16" customFormat="false" ht="7.5" hidden="false" customHeight="true" outlineLevel="0" collapsed="false"/>
    <row r="17" customFormat="false" ht="15.75" hidden="false" customHeight="true" outlineLevel="0" collapsed="false">
      <c r="B17" s="73" t="s">
        <v>1148</v>
      </c>
      <c r="C17" s="73"/>
      <c r="D17" s="73"/>
      <c r="E17" s="73"/>
      <c r="F17" s="73"/>
      <c r="G17" s="73"/>
      <c r="H17" s="73"/>
      <c r="I17" s="73"/>
      <c r="J17" s="73"/>
      <c r="K17" s="73"/>
    </row>
    <row r="18" customFormat="false" ht="15.75" hidden="false" customHeight="true" outlineLevel="0" collapsed="false">
      <c r="B18" s="75" t="s">
        <v>1149</v>
      </c>
      <c r="C18" s="75" t="s">
        <v>950</v>
      </c>
      <c r="D18" s="75" t="s">
        <v>1150</v>
      </c>
      <c r="E18" s="75" t="s">
        <v>997</v>
      </c>
    </row>
    <row r="19" customFormat="false" ht="15.75" hidden="false" customHeight="true" outlineLevel="0" collapsed="false">
      <c r="B19" s="94" t="s">
        <v>1151</v>
      </c>
      <c r="C19" s="95" t="n">
        <f aca="false">SUMPRODUCT(--ISNUMBER(SEARCH("Flat-Bottom",'Coffee Audit'!J2:J2000)))</f>
        <v>29</v>
      </c>
      <c r="D19" s="95" t="s">
        <v>1152</v>
      </c>
      <c r="E19" s="95" t="s">
        <v>1153</v>
      </c>
    </row>
    <row r="20" customFormat="false" ht="15.75" hidden="false" customHeight="true" outlineLevel="0" collapsed="false">
      <c r="B20" s="94" t="s">
        <v>1154</v>
      </c>
      <c r="C20" s="95" t="n">
        <f aca="false">COUNTIF('Coffee Audit'!J2:J2000,"*CT62*")</f>
        <v>1</v>
      </c>
      <c r="D20" s="95" t="s">
        <v>1155</v>
      </c>
      <c r="E20" s="95" t="s">
        <v>1156</v>
      </c>
    </row>
    <row r="21" customFormat="false" ht="15.75" hidden="false" customHeight="true" outlineLevel="0" collapsed="false">
      <c r="B21" s="98" t="s">
        <v>1157</v>
      </c>
      <c r="C21" s="99" t="n">
        <f aca="false">COUNTIF('Coffee Audit'!J2:J2000,"*V60*")</f>
        <v>17</v>
      </c>
      <c r="D21" s="99" t="s">
        <v>1158</v>
      </c>
      <c r="E21" s="99" t="s">
        <v>1159</v>
      </c>
    </row>
    <row r="22" customFormat="false" ht="15.75" hidden="false" customHeight="true" outlineLevel="0" collapsed="false">
      <c r="B22" s="98" t="s">
        <v>1160</v>
      </c>
      <c r="C22" s="99" t="n">
        <f aca="false">COUNTIF('Coffee Audit'!J2:J2000,"*xBloom*")</f>
        <v>4</v>
      </c>
      <c r="D22" s="99" t="s">
        <v>1161</v>
      </c>
      <c r="E22" s="99" t="s">
        <v>1162</v>
      </c>
    </row>
    <row r="23" customFormat="false" ht="15.75" hidden="false" customHeight="true" outlineLevel="0" collapsed="false">
      <c r="B23" s="94" t="s">
        <v>1163</v>
      </c>
      <c r="C23" s="95" t="n">
        <f aca="false">COUNTIF('Coffee Audit'!J2:J2000,"*Switch*")</f>
        <v>7</v>
      </c>
      <c r="D23" s="95" t="s">
        <v>1164</v>
      </c>
      <c r="E23" s="95" t="s">
        <v>1165</v>
      </c>
    </row>
    <row r="24" customFormat="false" ht="15.75" hidden="false" customHeight="true" outlineLevel="0" collapsed="false">
      <c r="B24" s="96" t="s">
        <v>1166</v>
      </c>
      <c r="C24" s="97" t="n">
        <f aca="false">COUNTIF('Coffee Audit'!J2:J2000,"*Tap Dispenser*")</f>
        <v>1</v>
      </c>
      <c r="D24" s="97" t="s">
        <v>1167</v>
      </c>
      <c r="E24" s="97" t="s">
        <v>1168</v>
      </c>
    </row>
    <row r="25" customFormat="false" ht="7.5" hidden="false" customHeight="true" outlineLevel="0" collapsed="false"/>
    <row r="26" customFormat="false" ht="15.75" hidden="false" customHeight="true" outlineLevel="0" collapsed="false">
      <c r="B26" s="73" t="str">
        <f aca="false">"  📜  SEVEN EXTRACTION LAWS  —  empirically proven across "&amp;COUNTA('Coffee Audit'!A2:A2000)&amp;" field audits"</f>
        <v>  📜  SEVEN EXTRACTION LAWS  —  empirically proven across 76 field audits</v>
      </c>
      <c r="C26" s="73"/>
      <c r="D26" s="73"/>
      <c r="E26" s="73"/>
      <c r="F26" s="73"/>
      <c r="G26" s="73"/>
      <c r="H26" s="73"/>
      <c r="I26" s="73"/>
      <c r="J26" s="73"/>
      <c r="K26" s="73"/>
    </row>
    <row r="27" customFormat="false" ht="19.5" hidden="false" customHeight="true" outlineLevel="0" collapsed="false">
      <c r="B27" s="100" t="s">
        <v>1169</v>
      </c>
      <c r="C27" s="100"/>
      <c r="D27" s="100"/>
      <c r="E27" s="100"/>
      <c r="F27" s="100"/>
      <c r="G27" s="100"/>
      <c r="H27" s="100"/>
      <c r="I27" s="100"/>
      <c r="J27" s="100"/>
    </row>
    <row r="28" customFormat="false" ht="19.5" hidden="false" customHeight="true" outlineLevel="0" collapsed="false">
      <c r="B28" s="101" t="s">
        <v>1170</v>
      </c>
      <c r="C28" s="101"/>
      <c r="D28" s="101"/>
      <c r="E28" s="101"/>
      <c r="F28" s="101"/>
      <c r="G28" s="101"/>
      <c r="H28" s="101"/>
      <c r="I28" s="101"/>
      <c r="J28" s="101"/>
    </row>
    <row r="29" customFormat="false" ht="19.5" hidden="false" customHeight="true" outlineLevel="0" collapsed="false">
      <c r="B29" s="102" t="s">
        <v>1171</v>
      </c>
      <c r="C29" s="102"/>
      <c r="D29" s="102"/>
      <c r="E29" s="102"/>
      <c r="F29" s="102"/>
      <c r="G29" s="102"/>
      <c r="H29" s="102"/>
      <c r="I29" s="102"/>
      <c r="J29" s="102"/>
    </row>
    <row r="30" customFormat="false" ht="19.5" hidden="false" customHeight="true" outlineLevel="0" collapsed="false">
      <c r="B30" s="101" t="s">
        <v>1172</v>
      </c>
      <c r="C30" s="101"/>
      <c r="D30" s="101"/>
      <c r="E30" s="101"/>
      <c r="F30" s="101"/>
      <c r="G30" s="101"/>
      <c r="H30" s="101"/>
      <c r="I30" s="101"/>
      <c r="J30" s="101"/>
    </row>
    <row r="31" customFormat="false" ht="19.5" hidden="false" customHeight="true" outlineLevel="0" collapsed="false">
      <c r="B31" s="102" t="s">
        <v>1173</v>
      </c>
      <c r="C31" s="102"/>
      <c r="D31" s="102"/>
      <c r="E31" s="102"/>
      <c r="F31" s="102"/>
      <c r="G31" s="102"/>
      <c r="H31" s="102"/>
      <c r="I31" s="102"/>
      <c r="J31" s="102"/>
    </row>
    <row r="32" customFormat="false" ht="19.5" hidden="false" customHeight="true" outlineLevel="0" collapsed="false">
      <c r="B32" s="101" t="s">
        <v>1174</v>
      </c>
      <c r="C32" s="101"/>
      <c r="D32" s="101"/>
      <c r="E32" s="101"/>
      <c r="F32" s="101"/>
      <c r="G32" s="101"/>
      <c r="H32" s="101"/>
      <c r="I32" s="101"/>
      <c r="J32" s="101"/>
    </row>
    <row r="33" customFormat="false" ht="24" hidden="false" customHeight="true" outlineLevel="0" collapsed="false">
      <c r="B33" s="103" t="s">
        <v>1175</v>
      </c>
      <c r="C33" s="103"/>
      <c r="D33" s="103"/>
      <c r="E33" s="103"/>
      <c r="F33" s="103"/>
      <c r="G33" s="103"/>
      <c r="H33" s="103"/>
      <c r="I33" s="103"/>
      <c r="J33" s="103"/>
      <c r="K33" s="103"/>
    </row>
  </sheetData>
  <mergeCells count="12">
    <mergeCell ref="B1:K1"/>
    <mergeCell ref="B2:K2"/>
    <mergeCell ref="B4:K4"/>
    <mergeCell ref="B17:K17"/>
    <mergeCell ref="B26:K26"/>
    <mergeCell ref="B27:J27"/>
    <mergeCell ref="B28:J28"/>
    <mergeCell ref="B29:J29"/>
    <mergeCell ref="B30:J30"/>
    <mergeCell ref="B31:J31"/>
    <mergeCell ref="B32:J32"/>
    <mergeCell ref="B33:K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342E"/>
    <pageSetUpPr fitToPage="false"/>
  </sheetPr>
  <dimension ref="B1:L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2"/>
    <col collapsed="false" customWidth="true" hidden="false" outlineLevel="0" max="3" min="3" style="1" width="11"/>
    <col collapsed="false" customWidth="true" hidden="false" outlineLevel="0" max="4" min="4" style="1" width="7"/>
    <col collapsed="false" customWidth="true" hidden="false" outlineLevel="0" max="5" min="5" style="1" width="6"/>
    <col collapsed="false" customWidth="true" hidden="false" outlineLevel="0" max="6" min="6" style="1" width="7"/>
    <col collapsed="false" customWidth="true" hidden="false" outlineLevel="0" max="7" min="7" style="1" width="44"/>
    <col collapsed="false" customWidth="true" hidden="false" outlineLevel="0" max="9" min="8" style="1" width="22"/>
    <col collapsed="false" customWidth="true" hidden="false" outlineLevel="0" max="10" min="10" style="1" width="9"/>
    <col collapsed="false" customWidth="true" hidden="false" outlineLevel="0" max="11" min="11" style="1" width="36"/>
  </cols>
  <sheetData>
    <row r="1" customFormat="false" ht="21.75" hidden="false" customHeight="true" outlineLevel="0" collapsed="false">
      <c r="B1" s="71" t="str">
        <f aca="false">"🏙️  CAFÉ DIRECTORY   —   "&amp;SUMPRODUCT(('Coffee Audit'!C2:C2000&lt;&gt;"")/COUNTIF('Coffee Audit'!C2:C2000,'Coffee Audit'!C2:C2000&amp;""))&amp;" VENUES · 4 CITIES"</f>
        <v>🏙️  CAFÉ DIRECTORY   —   38 VENUES · 4 CITIES</v>
      </c>
      <c r="C1" s="71"/>
      <c r="D1" s="71"/>
      <c r="E1" s="71"/>
      <c r="F1" s="71"/>
      <c r="G1" s="71"/>
      <c r="H1" s="71"/>
      <c r="I1" s="71"/>
      <c r="J1" s="71"/>
      <c r="K1" s="71"/>
      <c r="L1" s="71"/>
    </row>
    <row r="2" customFormat="false" ht="13.5" hidden="false" customHeight="true" outlineLevel="0" collapsed="false">
      <c r="B2" s="104" t="str">
        <f aca="false">"Live-verified July 2026  ·  four-tier confidence rating  ·  entry counts and averages are live formulas across "&amp;COUNTA('Coffee Audit'!A2:A2000)&amp;" audits"</f>
        <v>Live-verified July 2026  ·  four-tier confidence rating  ·  entry counts and averages are live formulas across 76 audits</v>
      </c>
      <c r="C2" s="104"/>
      <c r="D2" s="104"/>
      <c r="E2" s="104"/>
      <c r="F2" s="104"/>
      <c r="G2" s="104"/>
      <c r="H2" s="104"/>
      <c r="I2" s="104"/>
      <c r="J2" s="104"/>
      <c r="K2" s="104"/>
      <c r="L2" s="104"/>
    </row>
    <row r="3" customFormat="false" ht="6" hidden="false" customHeight="true" outlineLevel="0" collapsed="false"/>
    <row r="4" customFormat="false" ht="15.75" hidden="false" customHeight="true" outlineLevel="0" collapsed="false">
      <c r="B4" s="73" t="s">
        <v>1176</v>
      </c>
      <c r="C4" s="73"/>
      <c r="D4" s="73"/>
      <c r="E4" s="73"/>
      <c r="F4" s="73"/>
      <c r="G4" s="73"/>
      <c r="H4" s="73"/>
      <c r="I4" s="73"/>
      <c r="J4" s="73"/>
      <c r="K4" s="73"/>
      <c r="L4" s="73"/>
    </row>
    <row r="5" customFormat="false" ht="15.75" hidden="false" customHeight="true" outlineLevel="0" collapsed="false">
      <c r="B5" s="75" t="s">
        <v>1</v>
      </c>
      <c r="C5" s="75" t="s">
        <v>950</v>
      </c>
      <c r="D5" s="75" t="s">
        <v>1177</v>
      </c>
      <c r="E5" s="75" t="s">
        <v>1178</v>
      </c>
      <c r="F5" s="75" t="s">
        <v>1179</v>
      </c>
    </row>
    <row r="6" customFormat="false" ht="12.75" hidden="false" customHeight="true" outlineLevel="0" collapsed="false">
      <c r="B6" s="80" t="s">
        <v>52</v>
      </c>
      <c r="C6" s="81" t="n">
        <f aca="false">COUNTIF('Coffee Audit'!B2:B2000,"*Singapore*")</f>
        <v>70</v>
      </c>
      <c r="D6" s="81" t="n">
        <f aca="false">SUMPRODUCT((ISNUMBER(SEARCH("Singapore",'Coffee Audit'!B2:B2000)))*('Coffee Audit'!C2:C2000&lt;&gt;"")/COUNTIF('Coffee Audit'!C2:C2000,'Coffee Audit'!C2:C2000&amp;""))</f>
        <v>34</v>
      </c>
      <c r="E6" s="81" t="str">
        <f aca="false">TEXT(COUNTIF('Coffee Audit'!B2:B2000,"*Singapore*")/COUNTA('Coffee Audit'!A2:A2000),"0%")</f>
        <v>92%</v>
      </c>
      <c r="F6" s="81" t="s">
        <v>1180</v>
      </c>
    </row>
    <row r="7" customFormat="false" ht="12.75" hidden="false" customHeight="true" outlineLevel="0" collapsed="false">
      <c r="B7" s="86" t="s">
        <v>24</v>
      </c>
      <c r="C7" s="87" t="n">
        <f aca="false">COUNTIF('Coffee Audit'!B2:B2000,"*Bali*")</f>
        <v>3</v>
      </c>
      <c r="D7" s="87" t="n">
        <f aca="false">SUMPRODUCT((ISNUMBER(SEARCH("Bali",'Coffee Audit'!B2:B2000)))*('Coffee Audit'!C2:C2000&lt;&gt;"")/COUNTIF('Coffee Audit'!C2:C2000,'Coffee Audit'!C2:C2000&amp;""))</f>
        <v>1</v>
      </c>
      <c r="E7" s="87" t="str">
        <f aca="false">TEXT(COUNTIF('Coffee Audit'!B2:B2000,"*Bali*")/COUNTA('Coffee Audit'!A2:A2000),"0%")</f>
        <v>4%</v>
      </c>
      <c r="F7" s="87" t="s">
        <v>1181</v>
      </c>
    </row>
    <row r="8" customFormat="false" ht="12.75" hidden="false" customHeight="true" outlineLevel="0" collapsed="false">
      <c r="B8" s="80" t="s">
        <v>69</v>
      </c>
      <c r="C8" s="81" t="n">
        <f aca="false">COUNTIF('Coffee Audit'!B2:B2000,"*Mumbai*")</f>
        <v>2</v>
      </c>
      <c r="D8" s="81" t="n">
        <f aca="false">SUMPRODUCT((ISNUMBER(SEARCH("Mumbai",'Coffee Audit'!B2:B2000)))*('Coffee Audit'!C2:C2000&lt;&gt;"")/COUNTIF('Coffee Audit'!C2:C2000,'Coffee Audit'!C2:C2000&amp;""))</f>
        <v>2</v>
      </c>
      <c r="E8" s="81" t="str">
        <f aca="false">TEXT(COUNTIF('Coffee Audit'!B2:B2000,"*Mumbai*")/COUNTA('Coffee Audit'!A2:A2000),"0%")</f>
        <v>3%</v>
      </c>
      <c r="F8" s="81" t="s">
        <v>1182</v>
      </c>
    </row>
    <row r="9" customFormat="false" ht="12.75" hidden="false" customHeight="true" outlineLevel="0" collapsed="false">
      <c r="B9" s="86" t="s">
        <v>227</v>
      </c>
      <c r="C9" s="87" t="n">
        <f aca="false">COUNTIF('Coffee Audit'!B2:B2000,"*Johor*")</f>
        <v>1</v>
      </c>
      <c r="D9" s="87" t="n">
        <f aca="false">SUMPRODUCT((ISNUMBER(SEARCH("Johor",'Coffee Audit'!B2:B2000)))*('Coffee Audit'!C2:C2000&lt;&gt;"")/COUNTIF('Coffee Audit'!C2:C2000,'Coffee Audit'!C2:C2000&amp;""))</f>
        <v>1</v>
      </c>
      <c r="E9" s="87" t="str">
        <f aca="false">TEXT(COUNTIF('Coffee Audit'!B2:B2000,"*Johor*")/COUNTA('Coffee Audit'!A2:A2000),"0%")</f>
        <v>1%</v>
      </c>
      <c r="F9" s="87" t="s">
        <v>1183</v>
      </c>
    </row>
    <row r="10" customFormat="false" ht="7.5" hidden="false" customHeight="true" outlineLevel="0" collapsed="false"/>
    <row r="11" customFormat="false" ht="15.75" hidden="false" customHeight="true" outlineLevel="0" collapsed="false">
      <c r="B11" s="73" t="s">
        <v>1184</v>
      </c>
      <c r="C11" s="73"/>
      <c r="D11" s="73"/>
      <c r="E11" s="73"/>
      <c r="F11" s="73"/>
      <c r="G11" s="73"/>
      <c r="H11" s="73"/>
      <c r="I11" s="73"/>
      <c r="J11" s="73"/>
      <c r="K11" s="73"/>
      <c r="L11" s="73"/>
    </row>
    <row r="12" customFormat="false" ht="15.75" hidden="false" customHeight="true" outlineLevel="0" collapsed="false">
      <c r="B12" s="75" t="s">
        <v>852</v>
      </c>
      <c r="C12" s="75" t="s">
        <v>1</v>
      </c>
      <c r="D12" s="75" t="s">
        <v>950</v>
      </c>
      <c r="E12" s="75" t="s">
        <v>171</v>
      </c>
      <c r="F12" s="75" t="s">
        <v>1185</v>
      </c>
      <c r="G12" s="75" t="s">
        <v>1186</v>
      </c>
      <c r="H12" s="75" t="s">
        <v>1187</v>
      </c>
      <c r="I12" s="75" t="s">
        <v>1188</v>
      </c>
      <c r="J12" s="75" t="s">
        <v>1189</v>
      </c>
      <c r="K12" s="75" t="s">
        <v>1190</v>
      </c>
    </row>
    <row r="13" customFormat="false" ht="13.5" hidden="false" customHeight="true" outlineLevel="0" collapsed="false">
      <c r="B13" s="105" t="s">
        <v>251</v>
      </c>
      <c r="C13" s="106" t="s">
        <v>52</v>
      </c>
      <c r="D13" s="106" t="n">
        <f aca="false">COUNTIF('Coffee Audit'!C2:C2000,B13)</f>
        <v>7</v>
      </c>
      <c r="E13" s="106" t="n">
        <f aca="false">SUMPRODUCT(('Coffee Audit'!C2:C2000=B13)*('Coffee Audit'!W2:W2000="⭐ GESHA"))</f>
        <v>0</v>
      </c>
      <c r="F13" s="106" t="str">
        <f aca="false">IFERROR("S$"&amp;TEXT(AVERAGEIFS('Coffee Audit'!Q2:Q2000,'Coffee Audit'!C2:C2000,B13,'Coffee Audit'!Q2:Q2000,"&gt;0"),"0.00"),"—")</f>
        <v>S$7.90</v>
      </c>
      <c r="G13" s="106" t="s">
        <v>1191</v>
      </c>
      <c r="H13" s="106" t="s">
        <v>1192</v>
      </c>
      <c r="I13" s="106" t="s">
        <v>1193</v>
      </c>
      <c r="J13" s="106" t="s">
        <v>1194</v>
      </c>
      <c r="K13" s="106" t="s">
        <v>1195</v>
      </c>
    </row>
    <row r="14" customFormat="false" ht="13.5" hidden="false" customHeight="true" outlineLevel="0" collapsed="false">
      <c r="B14" s="107" t="s">
        <v>322</v>
      </c>
      <c r="C14" s="108" t="s">
        <v>52</v>
      </c>
      <c r="D14" s="108" t="n">
        <f aca="false">COUNTIF('Coffee Audit'!C2:C2000,B14)</f>
        <v>5</v>
      </c>
      <c r="E14" s="108" t="n">
        <f aca="false">SUMPRODUCT(('Coffee Audit'!C2:C2000=B14)*('Coffee Audit'!W2:W2000="⭐ GESHA"))</f>
        <v>2</v>
      </c>
      <c r="F14" s="108" t="str">
        <f aca="false">IFERROR("S$"&amp;TEXT(AVERAGEIFS('Coffee Audit'!Q2:Q2000,'Coffee Audit'!C2:C2000,B14,'Coffee Audit'!Q2:Q2000,"&gt;0"),"0.00"),"—")</f>
        <v>S$16.50</v>
      </c>
      <c r="G14" s="108" t="s">
        <v>1196</v>
      </c>
      <c r="H14" s="108" t="s">
        <v>1197</v>
      </c>
      <c r="I14" s="108" t="s">
        <v>1028</v>
      </c>
      <c r="J14" s="108" t="s">
        <v>1194</v>
      </c>
      <c r="K14" s="108" t="s">
        <v>1198</v>
      </c>
    </row>
    <row r="15" customFormat="false" ht="13.5" hidden="false" customHeight="true" outlineLevel="0" collapsed="false">
      <c r="B15" s="105" t="s">
        <v>167</v>
      </c>
      <c r="C15" s="106" t="s">
        <v>52</v>
      </c>
      <c r="D15" s="106" t="n">
        <f aca="false">COUNTIF('Coffee Audit'!C2:C2000,B15)</f>
        <v>4</v>
      </c>
      <c r="E15" s="106" t="n">
        <f aca="false">SUMPRODUCT(('Coffee Audit'!C2:C2000=B15)*('Coffee Audit'!W2:W2000="⭐ GESHA"))</f>
        <v>2</v>
      </c>
      <c r="F15" s="106" t="str">
        <f aca="false">IFERROR("S$"&amp;TEXT(AVERAGEIFS('Coffee Audit'!Q2:Q2000,'Coffee Audit'!C2:C2000,B15,'Coffee Audit'!Q2:Q2000,"&gt;0"),"0.00"),"—")</f>
        <v>S$12.50</v>
      </c>
      <c r="G15" s="106" t="s">
        <v>1199</v>
      </c>
      <c r="H15" s="106" t="s">
        <v>1028</v>
      </c>
      <c r="I15" s="106" t="s">
        <v>1028</v>
      </c>
      <c r="J15" s="106" t="s">
        <v>1194</v>
      </c>
      <c r="K15" s="106" t="s">
        <v>1200</v>
      </c>
    </row>
    <row r="16" customFormat="false" ht="13.5" hidden="false" customHeight="true" outlineLevel="0" collapsed="false">
      <c r="B16" s="107" t="s">
        <v>370</v>
      </c>
      <c r="C16" s="108" t="s">
        <v>52</v>
      </c>
      <c r="D16" s="108" t="n">
        <f aca="false">COUNTIF('Coffee Audit'!C2:C2000,B16)</f>
        <v>2</v>
      </c>
      <c r="E16" s="108" t="n">
        <f aca="false">SUMPRODUCT(('Coffee Audit'!C2:C2000=B16)*('Coffee Audit'!W2:W2000="⭐ GESHA"))</f>
        <v>0</v>
      </c>
      <c r="F16" s="108" t="str">
        <f aca="false">IFERROR("S$"&amp;TEXT(AVERAGEIFS('Coffee Audit'!Q2:Q2000,'Coffee Audit'!C2:C2000,B16,'Coffee Audit'!Q2:Q2000,"&gt;0"),"0.00"),"—")</f>
        <v>S$10.50</v>
      </c>
      <c r="G16" s="108" t="s">
        <v>1201</v>
      </c>
      <c r="H16" s="108" t="s">
        <v>1202</v>
      </c>
      <c r="I16" s="108" t="s">
        <v>1203</v>
      </c>
      <c r="J16" s="108" t="s">
        <v>1194</v>
      </c>
      <c r="K16" s="108" t="s">
        <v>1204</v>
      </c>
    </row>
    <row r="17" customFormat="false" ht="13.5" hidden="false" customHeight="true" outlineLevel="0" collapsed="false">
      <c r="B17" s="105" t="s">
        <v>53</v>
      </c>
      <c r="C17" s="106" t="s">
        <v>52</v>
      </c>
      <c r="D17" s="106" t="n">
        <f aca="false">COUNTIF('Coffee Audit'!C2:C2000,B17)</f>
        <v>3</v>
      </c>
      <c r="E17" s="106" t="n">
        <f aca="false">SUMPRODUCT(('Coffee Audit'!C2:C2000=B17)*('Coffee Audit'!W2:W2000="⭐ GESHA"))</f>
        <v>0</v>
      </c>
      <c r="F17" s="106" t="str">
        <f aca="false">IFERROR("S$"&amp;TEXT(AVERAGEIFS('Coffee Audit'!Q2:Q2000,'Coffee Audit'!C2:C2000,B17,'Coffee Audit'!Q2:Q2000,"&gt;0"),"0.00"),"—")</f>
        <v>S$8.67</v>
      </c>
      <c r="G17" s="106" t="s">
        <v>1205</v>
      </c>
      <c r="H17" s="106" t="s">
        <v>1206</v>
      </c>
      <c r="I17" s="106" t="s">
        <v>1207</v>
      </c>
      <c r="J17" s="106" t="s">
        <v>1194</v>
      </c>
      <c r="K17" s="106" t="s">
        <v>1208</v>
      </c>
    </row>
    <row r="18" customFormat="false" ht="13.5" hidden="false" customHeight="true" outlineLevel="0" collapsed="false">
      <c r="B18" s="107" t="s">
        <v>646</v>
      </c>
      <c r="C18" s="108" t="s">
        <v>52</v>
      </c>
      <c r="D18" s="108" t="n">
        <f aca="false">COUNTIF('Coffee Audit'!C2:C2000,B18)</f>
        <v>1</v>
      </c>
      <c r="E18" s="108" t="n">
        <f aca="false">SUMPRODUCT(('Coffee Audit'!C2:C2000=B18)*('Coffee Audit'!W2:W2000="⭐ GESHA"))</f>
        <v>1</v>
      </c>
      <c r="F18" s="108" t="str">
        <f aca="false">IFERROR("S$"&amp;TEXT(AVERAGEIFS('Coffee Audit'!Q2:Q2000,'Coffee Audit'!C2:C2000,B18,'Coffee Audit'!Q2:Q2000,"&gt;0"),"0.00"),"—")</f>
        <v>S$21.00</v>
      </c>
      <c r="G18" s="108" t="s">
        <v>1209</v>
      </c>
      <c r="H18" s="108" t="s">
        <v>1210</v>
      </c>
      <c r="I18" s="108" t="s">
        <v>1211</v>
      </c>
      <c r="J18" s="108" t="s">
        <v>1194</v>
      </c>
      <c r="K18" s="108" t="s">
        <v>1212</v>
      </c>
    </row>
    <row r="19" customFormat="false" ht="13.5" hidden="false" customHeight="true" outlineLevel="0" collapsed="false">
      <c r="B19" s="109" t="s">
        <v>540</v>
      </c>
      <c r="C19" s="110" t="s">
        <v>52</v>
      </c>
      <c r="D19" s="110" t="n">
        <f aca="false">COUNTIF('Coffee Audit'!C2:C2000,B19)</f>
        <v>2</v>
      </c>
      <c r="E19" s="110" t="n">
        <f aca="false">SUMPRODUCT(('Coffee Audit'!C2:C2000=B19)*('Coffee Audit'!W2:W2000="⭐ GESHA"))</f>
        <v>0</v>
      </c>
      <c r="F19" s="110" t="str">
        <f aca="false">IFERROR("S$"&amp;TEXT(AVERAGEIFS('Coffee Audit'!Q2:Q2000,'Coffee Audit'!C2:C2000,B19,'Coffee Audit'!Q2:Q2000,"&gt;0"),"0.00"),"—")</f>
        <v>S$9.00</v>
      </c>
      <c r="G19" s="110" t="s">
        <v>1213</v>
      </c>
      <c r="H19" s="110" t="s">
        <v>1214</v>
      </c>
      <c r="I19" s="110" t="s">
        <v>1215</v>
      </c>
      <c r="J19" s="110" t="s">
        <v>1216</v>
      </c>
      <c r="K19" s="110" t="s">
        <v>1217</v>
      </c>
    </row>
    <row r="20" customFormat="false" ht="13.5" hidden="false" customHeight="true" outlineLevel="0" collapsed="false">
      <c r="B20" s="107" t="s">
        <v>555</v>
      </c>
      <c r="C20" s="108" t="s">
        <v>52</v>
      </c>
      <c r="D20" s="108" t="n">
        <f aca="false">COUNTIF('Coffee Audit'!C2:C2000,B20)</f>
        <v>2</v>
      </c>
      <c r="E20" s="108" t="n">
        <f aca="false">SUMPRODUCT(('Coffee Audit'!C2:C2000=B20)*('Coffee Audit'!W2:W2000="⭐ GESHA"))</f>
        <v>1</v>
      </c>
      <c r="F20" s="108" t="str">
        <f aca="false">IFERROR("S$"&amp;TEXT(AVERAGEIFS('Coffee Audit'!Q2:Q2000,'Coffee Audit'!C2:C2000,B20,'Coffee Audit'!Q2:Q2000,"&gt;0"),"0.00"),"—")</f>
        <v>S$14.50</v>
      </c>
      <c r="G20" s="108" t="s">
        <v>1218</v>
      </c>
      <c r="H20" s="108" t="s">
        <v>1219</v>
      </c>
      <c r="I20" s="108" t="s">
        <v>1220</v>
      </c>
      <c r="J20" s="108" t="s">
        <v>1194</v>
      </c>
      <c r="K20" s="108" t="s">
        <v>1221</v>
      </c>
    </row>
    <row r="21" customFormat="false" ht="13.5" hidden="false" customHeight="true" outlineLevel="0" collapsed="false">
      <c r="B21" s="105" t="s">
        <v>607</v>
      </c>
      <c r="C21" s="106" t="s">
        <v>52</v>
      </c>
      <c r="D21" s="106" t="n">
        <f aca="false">COUNTIF('Coffee Audit'!C2:C2000,B21)</f>
        <v>1</v>
      </c>
      <c r="E21" s="106" t="n">
        <f aca="false">SUMPRODUCT(('Coffee Audit'!C2:C2000=B21)*('Coffee Audit'!W2:W2000="⭐ GESHA"))</f>
        <v>1</v>
      </c>
      <c r="F21" s="106" t="str">
        <f aca="false">IFERROR("S$"&amp;TEXT(AVERAGEIFS('Coffee Audit'!Q2:Q2000,'Coffee Audit'!C2:C2000,B21,'Coffee Audit'!Q2:Q2000,"&gt;0"),"0.00"),"—")</f>
        <v>S$15.00</v>
      </c>
      <c r="G21" s="106" t="s">
        <v>1222</v>
      </c>
      <c r="H21" s="106" t="s">
        <v>1223</v>
      </c>
      <c r="I21" s="106" t="s">
        <v>1224</v>
      </c>
      <c r="J21" s="106" t="s">
        <v>1194</v>
      </c>
      <c r="K21" s="106"/>
    </row>
    <row r="22" customFormat="false" ht="13.5" hidden="false" customHeight="true" outlineLevel="0" collapsed="false">
      <c r="B22" s="107" t="s">
        <v>622</v>
      </c>
      <c r="C22" s="108" t="s">
        <v>52</v>
      </c>
      <c r="D22" s="108" t="n">
        <f aca="false">COUNTIF('Coffee Audit'!C2:C2000,B22)</f>
        <v>1</v>
      </c>
      <c r="E22" s="108" t="n">
        <f aca="false">SUMPRODUCT(('Coffee Audit'!C2:C2000=B22)*('Coffee Audit'!W2:W2000="⭐ GESHA"))</f>
        <v>1</v>
      </c>
      <c r="F22" s="108" t="str">
        <f aca="false">IFERROR("S$"&amp;TEXT(AVERAGEIFS('Coffee Audit'!Q2:Q2000,'Coffee Audit'!C2:C2000,B22,'Coffee Audit'!Q2:Q2000,"&gt;0"),"0.00"),"—")</f>
        <v>S$16.00</v>
      </c>
      <c r="G22" s="108" t="s">
        <v>1225</v>
      </c>
      <c r="H22" s="108" t="s">
        <v>1028</v>
      </c>
      <c r="I22" s="108" t="s">
        <v>1226</v>
      </c>
      <c r="J22" s="108" t="s">
        <v>1194</v>
      </c>
      <c r="K22" s="108" t="s">
        <v>1227</v>
      </c>
    </row>
    <row r="23" customFormat="false" ht="13.5" hidden="false" customHeight="true" outlineLevel="0" collapsed="false">
      <c r="B23" s="105" t="s">
        <v>115</v>
      </c>
      <c r="C23" s="106" t="s">
        <v>52</v>
      </c>
      <c r="D23" s="106" t="n">
        <f aca="false">COUNTIF('Coffee Audit'!C2:C2000,B23)</f>
        <v>3</v>
      </c>
      <c r="E23" s="106" t="n">
        <f aca="false">SUMPRODUCT(('Coffee Audit'!C2:C2000=B23)*('Coffee Audit'!W2:W2000="⭐ GESHA"))</f>
        <v>1</v>
      </c>
      <c r="F23" s="106" t="str">
        <f aca="false">IFERROR("S$"&amp;TEXT(AVERAGEIFS('Coffee Audit'!Q2:Q2000,'Coffee Audit'!C2:C2000,B23,'Coffee Audit'!Q2:Q2000,"&gt;0"),"0.00"),"—")</f>
        <v>S$9.25</v>
      </c>
      <c r="G23" s="106" t="s">
        <v>1228</v>
      </c>
      <c r="H23" s="106" t="s">
        <v>1229</v>
      </c>
      <c r="I23" s="106" t="s">
        <v>1230</v>
      </c>
      <c r="J23" s="106" t="s">
        <v>1194</v>
      </c>
      <c r="K23" s="106" t="s">
        <v>1231</v>
      </c>
    </row>
    <row r="24" customFormat="false" ht="13.5" hidden="false" customHeight="true" outlineLevel="0" collapsed="false">
      <c r="B24" s="107" t="s">
        <v>443</v>
      </c>
      <c r="C24" s="108" t="s">
        <v>52</v>
      </c>
      <c r="D24" s="108" t="n">
        <f aca="false">COUNTIF('Coffee Audit'!C2:C2000,B24)</f>
        <v>2</v>
      </c>
      <c r="E24" s="108" t="n">
        <f aca="false">SUMPRODUCT(('Coffee Audit'!C2:C2000=B24)*('Coffee Audit'!W2:W2000="⭐ GESHA"))</f>
        <v>0</v>
      </c>
      <c r="F24" s="108" t="str">
        <f aca="false">IFERROR("S$"&amp;TEXT(AVERAGEIFS('Coffee Audit'!Q2:Q2000,'Coffee Audit'!C2:C2000,B24,'Coffee Audit'!Q2:Q2000,"&gt;0"),"0.00"),"—")</f>
        <v>S$9.50</v>
      </c>
      <c r="G24" s="108" t="s">
        <v>455</v>
      </c>
      <c r="H24" s="108" t="s">
        <v>1229</v>
      </c>
      <c r="I24" s="108" t="s">
        <v>1230</v>
      </c>
      <c r="J24" s="108" t="s">
        <v>1216</v>
      </c>
      <c r="K24" s="108" t="s">
        <v>1232</v>
      </c>
    </row>
    <row r="25" customFormat="false" ht="13.5" hidden="false" customHeight="true" outlineLevel="0" collapsed="false">
      <c r="B25" s="105" t="s">
        <v>401</v>
      </c>
      <c r="C25" s="106" t="s">
        <v>52</v>
      </c>
      <c r="D25" s="106" t="n">
        <f aca="false">COUNTIF('Coffee Audit'!C2:C2000,B25)</f>
        <v>2</v>
      </c>
      <c r="E25" s="106" t="n">
        <f aca="false">SUMPRODUCT(('Coffee Audit'!C2:C2000=B25)*('Coffee Audit'!W2:W2000="⭐ GESHA"))</f>
        <v>1</v>
      </c>
      <c r="F25" s="106" t="str">
        <f aca="false">IFERROR("S$"&amp;TEXT(AVERAGEIFS('Coffee Audit'!Q2:Q2000,'Coffee Audit'!C2:C2000,B25,'Coffee Audit'!Q2:Q2000,"&gt;0"),"0.00"),"—")</f>
        <v>S$14.00</v>
      </c>
      <c r="G25" s="106" t="s">
        <v>1233</v>
      </c>
      <c r="H25" s="106" t="s">
        <v>1234</v>
      </c>
      <c r="I25" s="106" t="s">
        <v>1235</v>
      </c>
      <c r="J25" s="106" t="s">
        <v>1194</v>
      </c>
      <c r="K25" s="106" t="s">
        <v>1236</v>
      </c>
    </row>
    <row r="26" customFormat="false" ht="13.5" hidden="false" customHeight="true" outlineLevel="0" collapsed="false">
      <c r="B26" s="107" t="s">
        <v>179</v>
      </c>
      <c r="C26" s="108" t="s">
        <v>52</v>
      </c>
      <c r="D26" s="108" t="n">
        <f aca="false">COUNTIF('Coffee Audit'!C2:C2000,B26)</f>
        <v>2</v>
      </c>
      <c r="E26" s="108" t="n">
        <f aca="false">SUMPRODUCT(('Coffee Audit'!C2:C2000=B26)*('Coffee Audit'!W2:W2000="⭐ GESHA"))</f>
        <v>0</v>
      </c>
      <c r="F26" s="108" t="str">
        <f aca="false">IFERROR("S$"&amp;TEXT(AVERAGEIFS('Coffee Audit'!Q2:Q2000,'Coffee Audit'!C2:C2000,B26,'Coffee Audit'!Q2:Q2000,"&gt;0"),"0.00"),"—")</f>
        <v>S$9.00</v>
      </c>
      <c r="G26" s="108" t="s">
        <v>1237</v>
      </c>
      <c r="H26" s="108" t="s">
        <v>1028</v>
      </c>
      <c r="I26" s="108" t="s">
        <v>1238</v>
      </c>
      <c r="J26" s="108" t="s">
        <v>1194</v>
      </c>
      <c r="K26" s="108" t="s">
        <v>1239</v>
      </c>
    </row>
    <row r="27" customFormat="false" ht="13.5" hidden="false" customHeight="true" outlineLevel="0" collapsed="false">
      <c r="B27" s="105" t="s">
        <v>332</v>
      </c>
      <c r="C27" s="106" t="s">
        <v>52</v>
      </c>
      <c r="D27" s="106" t="n">
        <f aca="false">COUNTIF('Coffee Audit'!C2:C2000,B27)</f>
        <v>1</v>
      </c>
      <c r="E27" s="106" t="n">
        <f aca="false">SUMPRODUCT(('Coffee Audit'!C2:C2000=B27)*('Coffee Audit'!W2:W2000="⭐ GESHA"))</f>
        <v>1</v>
      </c>
      <c r="F27" s="106" t="str">
        <f aca="false">IFERROR("S$"&amp;TEXT(AVERAGEIFS('Coffee Audit'!Q2:Q2000,'Coffee Audit'!C2:C2000,B27,'Coffee Audit'!Q2:Q2000,"&gt;0"),"0.00"),"—")</f>
        <v>S$18.00</v>
      </c>
      <c r="G27" s="106" t="s">
        <v>1240</v>
      </c>
      <c r="H27" s="106" t="s">
        <v>1241</v>
      </c>
      <c r="I27" s="106" t="s">
        <v>1028</v>
      </c>
      <c r="J27" s="106" t="s">
        <v>1194</v>
      </c>
      <c r="K27" s="106" t="s">
        <v>1242</v>
      </c>
    </row>
    <row r="28" customFormat="false" ht="13.5" hidden="false" customHeight="true" outlineLevel="0" collapsed="false">
      <c r="B28" s="107" t="s">
        <v>104</v>
      </c>
      <c r="C28" s="108" t="s">
        <v>52</v>
      </c>
      <c r="D28" s="108" t="n">
        <f aca="false">COUNTIF('Coffee Audit'!C2:C2000,B28)</f>
        <v>2</v>
      </c>
      <c r="E28" s="108" t="n">
        <f aca="false">SUMPRODUCT(('Coffee Audit'!C2:C2000=B28)*('Coffee Audit'!W2:W2000="⭐ GESHA"))</f>
        <v>0</v>
      </c>
      <c r="F28" s="108" t="str">
        <f aca="false">IFERROR("S$"&amp;TEXT(AVERAGEIFS('Coffee Audit'!Q2:Q2000,'Coffee Audit'!C2:C2000,B28,'Coffee Audit'!Q2:Q2000,"&gt;0"),"0.00"),"—")</f>
        <v>S$15.00</v>
      </c>
      <c r="G28" s="108" t="s">
        <v>1243</v>
      </c>
      <c r="H28" s="108" t="s">
        <v>1244</v>
      </c>
      <c r="I28" s="108" t="s">
        <v>1028</v>
      </c>
      <c r="J28" s="108" t="s">
        <v>1194</v>
      </c>
      <c r="K28" s="108" t="s">
        <v>1245</v>
      </c>
    </row>
    <row r="29" customFormat="false" ht="13.5" hidden="false" customHeight="true" outlineLevel="0" collapsed="false">
      <c r="B29" s="105" t="s">
        <v>132</v>
      </c>
      <c r="C29" s="106" t="s">
        <v>52</v>
      </c>
      <c r="D29" s="106" t="n">
        <f aca="false">COUNTIF('Coffee Audit'!C2:C2000,B29)</f>
        <v>3</v>
      </c>
      <c r="E29" s="106" t="n">
        <f aca="false">SUMPRODUCT(('Coffee Audit'!C2:C2000=B29)*('Coffee Audit'!W2:W2000="⭐ GESHA"))</f>
        <v>0</v>
      </c>
      <c r="F29" s="106" t="str">
        <f aca="false">IFERROR("S$"&amp;TEXT(AVERAGEIFS('Coffee Audit'!Q2:Q2000,'Coffee Audit'!C2:C2000,B29,'Coffee Audit'!Q2:Q2000,"&gt;0"),"0.00"),"—")</f>
        <v>—</v>
      </c>
      <c r="G29" s="106" t="s">
        <v>1246</v>
      </c>
      <c r="H29" s="106" t="s">
        <v>1247</v>
      </c>
      <c r="I29" s="106" t="s">
        <v>1028</v>
      </c>
      <c r="J29" s="106" t="s">
        <v>1194</v>
      </c>
      <c r="K29" s="106" t="s">
        <v>1248</v>
      </c>
    </row>
    <row r="30" customFormat="false" ht="13.5" hidden="false" customHeight="true" outlineLevel="0" collapsed="false">
      <c r="B30" s="107" t="s">
        <v>431</v>
      </c>
      <c r="C30" s="108" t="s">
        <v>52</v>
      </c>
      <c r="D30" s="108" t="n">
        <f aca="false">COUNTIF('Coffee Audit'!C2:C2000,B30)</f>
        <v>2</v>
      </c>
      <c r="E30" s="108" t="n">
        <f aca="false">SUMPRODUCT(('Coffee Audit'!C2:C2000=B30)*('Coffee Audit'!W2:W2000="⭐ GESHA"))</f>
        <v>2</v>
      </c>
      <c r="F30" s="108" t="str">
        <f aca="false">IFERROR("S$"&amp;TEXT(AVERAGEIFS('Coffee Audit'!Q2:Q2000,'Coffee Audit'!C2:C2000,B30,'Coffee Audit'!Q2:Q2000,"&gt;0"),"0.00"),"—")</f>
        <v>S$12.50</v>
      </c>
      <c r="G30" s="108" t="s">
        <v>1249</v>
      </c>
      <c r="H30" s="108" t="s">
        <v>1250</v>
      </c>
      <c r="I30" s="108" t="s">
        <v>1251</v>
      </c>
      <c r="J30" s="108" t="s">
        <v>1194</v>
      </c>
      <c r="K30" s="108" t="s">
        <v>1252</v>
      </c>
    </row>
    <row r="31" customFormat="false" ht="13.5" hidden="false" customHeight="true" outlineLevel="0" collapsed="false">
      <c r="B31" s="105" t="s">
        <v>577</v>
      </c>
      <c r="C31" s="106" t="s">
        <v>52</v>
      </c>
      <c r="D31" s="106" t="n">
        <f aca="false">COUNTIF('Coffee Audit'!C2:C2000,B31)</f>
        <v>1</v>
      </c>
      <c r="E31" s="106" t="n">
        <f aca="false">SUMPRODUCT(('Coffee Audit'!C2:C2000=B31)*('Coffee Audit'!W2:W2000="⭐ GESHA"))</f>
        <v>1</v>
      </c>
      <c r="F31" s="106" t="str">
        <f aca="false">IFERROR("S$"&amp;TEXT(AVERAGEIFS('Coffee Audit'!Q2:Q2000,'Coffee Audit'!C2:C2000,B31,'Coffee Audit'!Q2:Q2000,"&gt;0"),"0.00"),"—")</f>
        <v>S$9.90</v>
      </c>
      <c r="G31" s="106" t="s">
        <v>1253</v>
      </c>
      <c r="H31" s="106" t="s">
        <v>1254</v>
      </c>
      <c r="I31" s="106" t="s">
        <v>1255</v>
      </c>
      <c r="J31" s="106" t="s">
        <v>1194</v>
      </c>
      <c r="K31" s="106" t="s">
        <v>1256</v>
      </c>
    </row>
    <row r="32" customFormat="false" ht="13.5" hidden="false" customHeight="true" outlineLevel="0" collapsed="false">
      <c r="B32" s="107" t="s">
        <v>278</v>
      </c>
      <c r="C32" s="108" t="s">
        <v>52</v>
      </c>
      <c r="D32" s="108" t="n">
        <f aca="false">COUNTIF('Coffee Audit'!C2:C2000,B32)</f>
        <v>2</v>
      </c>
      <c r="E32" s="108" t="n">
        <f aca="false">SUMPRODUCT(('Coffee Audit'!C2:C2000=B32)*('Coffee Audit'!W2:W2000="⭐ GESHA"))</f>
        <v>0</v>
      </c>
      <c r="F32" s="108" t="str">
        <f aca="false">IFERROR("S$"&amp;TEXT(AVERAGEIFS('Coffee Audit'!Q2:Q2000,'Coffee Audit'!C2:C2000,B32,'Coffee Audit'!Q2:Q2000,"&gt;0"),"0.00"),"—")</f>
        <v>S$8.50</v>
      </c>
      <c r="G32" s="108" t="s">
        <v>1257</v>
      </c>
      <c r="H32" s="108" t="s">
        <v>1258</v>
      </c>
      <c r="I32" s="108" t="s">
        <v>1259</v>
      </c>
      <c r="J32" s="108" t="s">
        <v>1194</v>
      </c>
      <c r="K32" s="108" t="s">
        <v>1260</v>
      </c>
    </row>
    <row r="33" customFormat="false" ht="13.5" hidden="false" customHeight="true" outlineLevel="0" collapsed="false">
      <c r="B33" s="105" t="s">
        <v>1261</v>
      </c>
      <c r="C33" s="106" t="s">
        <v>52</v>
      </c>
      <c r="D33" s="106" t="n">
        <f aca="false">COUNTIF('Coffee Audit'!C2:C2000,B33)</f>
        <v>0</v>
      </c>
      <c r="E33" s="106" t="n">
        <f aca="false">SUMPRODUCT(('Coffee Audit'!C2:C2000=B33)*('Coffee Audit'!W2:W2000="⭐ GESHA"))</f>
        <v>0</v>
      </c>
      <c r="F33" s="106" t="str">
        <f aca="false">IFERROR("S$"&amp;TEXT(AVERAGEIFS('Coffee Audit'!Q2:Q2000,'Coffee Audit'!C2:C2000,B33,'Coffee Audit'!Q2:Q2000,"&gt;0"),"0.00"),"—")</f>
        <v>—</v>
      </c>
      <c r="G33" s="106" t="s">
        <v>1262</v>
      </c>
      <c r="H33" s="106" t="s">
        <v>1258</v>
      </c>
      <c r="I33" s="106" t="s">
        <v>1259</v>
      </c>
      <c r="J33" s="106" t="s">
        <v>1194</v>
      </c>
      <c r="K33" s="106" t="s">
        <v>1263</v>
      </c>
    </row>
    <row r="34" customFormat="false" ht="13.5" hidden="false" customHeight="true" outlineLevel="0" collapsed="false">
      <c r="B34" s="107" t="s">
        <v>192</v>
      </c>
      <c r="C34" s="108" t="s">
        <v>52</v>
      </c>
      <c r="D34" s="108" t="n">
        <f aca="false">COUNTIF('Coffee Audit'!C2:C2000,B34)</f>
        <v>2</v>
      </c>
      <c r="E34" s="108" t="n">
        <f aca="false">SUMPRODUCT(('Coffee Audit'!C2:C2000=B34)*('Coffee Audit'!W2:W2000="⭐ GESHA"))</f>
        <v>1</v>
      </c>
      <c r="F34" s="108" t="str">
        <f aca="false">IFERROR("S$"&amp;TEXT(AVERAGEIFS('Coffee Audit'!Q2:Q2000,'Coffee Audit'!C2:C2000,B34,'Coffee Audit'!Q2:Q2000,"&gt;0"),"0.00"),"—")</f>
        <v>S$11.00</v>
      </c>
      <c r="G34" s="108" t="s">
        <v>1264</v>
      </c>
      <c r="H34" s="108" t="s">
        <v>1265</v>
      </c>
      <c r="I34" s="108" t="s">
        <v>1266</v>
      </c>
      <c r="J34" s="108" t="s">
        <v>1194</v>
      </c>
      <c r="K34" s="108" t="s">
        <v>1267</v>
      </c>
    </row>
    <row r="35" customFormat="false" ht="13.5" hidden="false" customHeight="true" outlineLevel="0" collapsed="false">
      <c r="B35" s="105" t="s">
        <v>153</v>
      </c>
      <c r="C35" s="106" t="s">
        <v>52</v>
      </c>
      <c r="D35" s="106" t="n">
        <f aca="false">COUNTIF('Coffee Audit'!C2:C2000,B35)</f>
        <v>2</v>
      </c>
      <c r="E35" s="106" t="n">
        <f aca="false">SUMPRODUCT(('Coffee Audit'!C2:C2000=B35)*('Coffee Audit'!W2:W2000="⭐ GESHA"))</f>
        <v>0</v>
      </c>
      <c r="F35" s="106" t="str">
        <f aca="false">IFERROR("S$"&amp;TEXT(AVERAGEIFS('Coffee Audit'!Q2:Q2000,'Coffee Audit'!C2:C2000,B35,'Coffee Audit'!Q2:Q2000,"&gt;0"),"0.00"),"—")</f>
        <v>S$6.55</v>
      </c>
      <c r="G35" s="106" t="s">
        <v>1268</v>
      </c>
      <c r="H35" s="106" t="s">
        <v>1028</v>
      </c>
      <c r="I35" s="106" t="s">
        <v>1269</v>
      </c>
      <c r="J35" s="106" t="s">
        <v>1194</v>
      </c>
      <c r="K35" s="106" t="s">
        <v>1270</v>
      </c>
    </row>
    <row r="36" customFormat="false" ht="13.5" hidden="false" customHeight="true" outlineLevel="0" collapsed="false">
      <c r="B36" s="107" t="s">
        <v>289</v>
      </c>
      <c r="C36" s="108" t="s">
        <v>52</v>
      </c>
      <c r="D36" s="108" t="n">
        <f aca="false">COUNTIF('Coffee Audit'!C2:C2000,B36)</f>
        <v>2</v>
      </c>
      <c r="E36" s="108" t="n">
        <f aca="false">SUMPRODUCT(('Coffee Audit'!C2:C2000=B36)*('Coffee Audit'!W2:W2000="⭐ GESHA"))</f>
        <v>0</v>
      </c>
      <c r="F36" s="108" t="str">
        <f aca="false">IFERROR("S$"&amp;TEXT(AVERAGEIFS('Coffee Audit'!Q2:Q2000,'Coffee Audit'!C2:C2000,B36,'Coffee Audit'!Q2:Q2000,"&gt;0"),"0.00"),"—")</f>
        <v>S$9.39</v>
      </c>
      <c r="G36" s="108" t="s">
        <v>1271</v>
      </c>
      <c r="H36" s="108" t="s">
        <v>1272</v>
      </c>
      <c r="I36" s="108" t="s">
        <v>1273</v>
      </c>
      <c r="J36" s="108" t="s">
        <v>1194</v>
      </c>
      <c r="K36" s="108" t="s">
        <v>1274</v>
      </c>
    </row>
    <row r="37" customFormat="false" ht="13.5" hidden="false" customHeight="true" outlineLevel="0" collapsed="false">
      <c r="B37" s="105" t="s">
        <v>416</v>
      </c>
      <c r="C37" s="106" t="s">
        <v>52</v>
      </c>
      <c r="D37" s="106" t="n">
        <f aca="false">COUNTIF('Coffee Audit'!C2:C2000,B37)</f>
        <v>1</v>
      </c>
      <c r="E37" s="106" t="n">
        <f aca="false">SUMPRODUCT(('Coffee Audit'!C2:C2000=B37)*('Coffee Audit'!W2:W2000="⭐ GESHA"))</f>
        <v>0</v>
      </c>
      <c r="F37" s="106" t="str">
        <f aca="false">IFERROR("S$"&amp;TEXT(AVERAGEIFS('Coffee Audit'!Q2:Q2000,'Coffee Audit'!C2:C2000,B37,'Coffee Audit'!Q2:Q2000,"&gt;0"),"0.00"),"—")</f>
        <v>S$13.00</v>
      </c>
      <c r="G37" s="106" t="s">
        <v>1275</v>
      </c>
      <c r="H37" s="106" t="s">
        <v>1276</v>
      </c>
      <c r="I37" s="106" t="s">
        <v>1028</v>
      </c>
      <c r="J37" s="106" t="s">
        <v>1194</v>
      </c>
      <c r="K37" s="106" t="s">
        <v>1277</v>
      </c>
    </row>
    <row r="38" customFormat="false" ht="13.5" hidden="false" customHeight="true" outlineLevel="0" collapsed="false">
      <c r="B38" s="107" t="s">
        <v>502</v>
      </c>
      <c r="C38" s="108" t="s">
        <v>52</v>
      </c>
      <c r="D38" s="108" t="n">
        <f aca="false">COUNTIF('Coffee Audit'!C2:C2000,B38)</f>
        <v>1</v>
      </c>
      <c r="E38" s="108" t="n">
        <f aca="false">SUMPRODUCT(('Coffee Audit'!C2:C2000=B38)*('Coffee Audit'!W2:W2000="⭐ GESHA"))</f>
        <v>0</v>
      </c>
      <c r="F38" s="108" t="str">
        <f aca="false">IFERROR("S$"&amp;TEXT(AVERAGEIFS('Coffee Audit'!Q2:Q2000,'Coffee Audit'!C2:C2000,B38,'Coffee Audit'!Q2:Q2000,"&gt;0"),"0.00"),"—")</f>
        <v>S$6.00</v>
      </c>
      <c r="G38" s="108" t="s">
        <v>1278</v>
      </c>
      <c r="H38" s="108" t="s">
        <v>1279</v>
      </c>
      <c r="I38" s="108" t="s">
        <v>1028</v>
      </c>
      <c r="J38" s="108" t="s">
        <v>1194</v>
      </c>
      <c r="K38" s="108" t="s">
        <v>1280</v>
      </c>
    </row>
    <row r="39" customFormat="false" ht="13.5" hidden="false" customHeight="true" outlineLevel="0" collapsed="false">
      <c r="B39" s="105" t="s">
        <v>456</v>
      </c>
      <c r="C39" s="106" t="s">
        <v>52</v>
      </c>
      <c r="D39" s="106" t="n">
        <f aca="false">COUNTIF('Coffee Audit'!C2:C2000,B39)</f>
        <v>1</v>
      </c>
      <c r="E39" s="106" t="n">
        <f aca="false">SUMPRODUCT(('Coffee Audit'!C2:C2000=B39)*('Coffee Audit'!W2:W2000="⭐ GESHA"))</f>
        <v>0</v>
      </c>
      <c r="F39" s="106" t="str">
        <f aca="false">IFERROR("S$"&amp;TEXT(AVERAGEIFS('Coffee Audit'!Q2:Q2000,'Coffee Audit'!C2:C2000,B39,'Coffee Audit'!Q2:Q2000,"&gt;0"),"0.00"),"—")</f>
        <v>S$9.00</v>
      </c>
      <c r="G39" s="106" t="s">
        <v>1281</v>
      </c>
      <c r="H39" s="106" t="s">
        <v>1028</v>
      </c>
      <c r="I39" s="106" t="s">
        <v>1028</v>
      </c>
      <c r="J39" s="106" t="s">
        <v>1194</v>
      </c>
      <c r="K39" s="106" t="s">
        <v>1282</v>
      </c>
    </row>
    <row r="40" customFormat="false" ht="13.5" hidden="false" customHeight="true" outlineLevel="0" collapsed="false">
      <c r="B40" s="111" t="s">
        <v>302</v>
      </c>
      <c r="C40" s="112" t="s">
        <v>52</v>
      </c>
      <c r="D40" s="112" t="n">
        <f aca="false">COUNTIF('Coffee Audit'!C2:C2000,B40)</f>
        <v>1</v>
      </c>
      <c r="E40" s="112" t="n">
        <f aca="false">SUMPRODUCT(('Coffee Audit'!C2:C2000=B40)*('Coffee Audit'!W2:W2000="⭐ GESHA"))</f>
        <v>0</v>
      </c>
      <c r="F40" s="112" t="str">
        <f aca="false">IFERROR("S$"&amp;TEXT(AVERAGEIFS('Coffee Audit'!Q2:Q2000,'Coffee Audit'!C2:C2000,B40,'Coffee Audit'!Q2:Q2000,"&gt;0"),"0.00"),"—")</f>
        <v>S$9.00</v>
      </c>
      <c r="G40" s="112" t="s">
        <v>1283</v>
      </c>
      <c r="H40" s="112" t="s">
        <v>1028</v>
      </c>
      <c r="I40" s="112" t="s">
        <v>1028</v>
      </c>
      <c r="J40" s="112" t="s">
        <v>1284</v>
      </c>
      <c r="K40" s="112" t="s">
        <v>1285</v>
      </c>
    </row>
    <row r="41" customFormat="false" ht="13.5" hidden="false" customHeight="true" outlineLevel="0" collapsed="false">
      <c r="B41" s="111" t="s">
        <v>88</v>
      </c>
      <c r="C41" s="112" t="s">
        <v>52</v>
      </c>
      <c r="D41" s="112" t="n">
        <f aca="false">COUNTIF('Coffee Audit'!C2:C2000,B41)</f>
        <v>2</v>
      </c>
      <c r="E41" s="112" t="n">
        <f aca="false">SUMPRODUCT(('Coffee Audit'!C2:C2000=B41)*('Coffee Audit'!W2:W2000="⭐ GESHA"))</f>
        <v>0</v>
      </c>
      <c r="F41" s="112" t="str">
        <f aca="false">IFERROR("S$"&amp;TEXT(AVERAGEIFS('Coffee Audit'!Q2:Q2000,'Coffee Audit'!C2:C2000,B41,'Coffee Audit'!Q2:Q2000,"&gt;0"),"0.00"),"—")</f>
        <v>—</v>
      </c>
      <c r="G41" s="112" t="s">
        <v>1286</v>
      </c>
      <c r="H41" s="112" t="s">
        <v>1028</v>
      </c>
      <c r="I41" s="112" t="s">
        <v>1028</v>
      </c>
      <c r="J41" s="112" t="s">
        <v>1284</v>
      </c>
      <c r="K41" s="112" t="s">
        <v>1287</v>
      </c>
    </row>
    <row r="42" customFormat="false" ht="13.5" hidden="false" customHeight="true" outlineLevel="0" collapsed="false">
      <c r="B42" s="105" t="s">
        <v>25</v>
      </c>
      <c r="C42" s="106" t="s">
        <v>24</v>
      </c>
      <c r="D42" s="106" t="n">
        <f aca="false">COUNTIF('Coffee Audit'!C2:C2000,B42)</f>
        <v>3</v>
      </c>
      <c r="E42" s="106" t="n">
        <f aca="false">SUMPRODUCT(('Coffee Audit'!C2:C2000=B42)*('Coffee Audit'!W2:W2000="⭐ GESHA"))</f>
        <v>0</v>
      </c>
      <c r="F42" s="106" t="str">
        <f aca="false">IFERROR("S$"&amp;TEXT(AVERAGEIFS('Coffee Audit'!Q2:Q2000,'Coffee Audit'!C2:C2000,B42,'Coffee Audit'!Q2:Q2000,"&gt;0"),"0.00"),"—")</f>
        <v>—</v>
      </c>
      <c r="G42" s="106" t="s">
        <v>1288</v>
      </c>
      <c r="H42" s="106" t="s">
        <v>1289</v>
      </c>
      <c r="I42" s="106" t="s">
        <v>1290</v>
      </c>
      <c r="J42" s="106" t="s">
        <v>1291</v>
      </c>
      <c r="K42" s="106" t="s">
        <v>1292</v>
      </c>
    </row>
    <row r="43" customFormat="false" ht="13.5" hidden="false" customHeight="true" outlineLevel="0" collapsed="false">
      <c r="B43" s="105" t="s">
        <v>70</v>
      </c>
      <c r="C43" s="106" t="s">
        <v>69</v>
      </c>
      <c r="D43" s="106" t="n">
        <f aca="false">COUNTIF('Coffee Audit'!C2:C2000,B43)</f>
        <v>1</v>
      </c>
      <c r="E43" s="106" t="n">
        <f aca="false">SUMPRODUCT(('Coffee Audit'!C2:C2000=B43)*('Coffee Audit'!W2:W2000="⭐ GESHA"))</f>
        <v>0</v>
      </c>
      <c r="F43" s="106" t="str">
        <f aca="false">IFERROR("S$"&amp;TEXT(AVERAGEIFS('Coffee Audit'!Q2:Q2000,'Coffee Audit'!C2:C2000,B43,'Coffee Audit'!Q2:Q2000,"&gt;0"),"0.00"),"—")</f>
        <v>—</v>
      </c>
      <c r="G43" s="106" t="s">
        <v>1293</v>
      </c>
      <c r="H43" s="106" t="s">
        <v>1294</v>
      </c>
      <c r="I43" s="106" t="s">
        <v>1295</v>
      </c>
      <c r="J43" s="106" t="s">
        <v>1291</v>
      </c>
      <c r="K43" s="106" t="s">
        <v>1296</v>
      </c>
    </row>
    <row r="44" customFormat="false" ht="13.5" hidden="false" customHeight="true" outlineLevel="0" collapsed="false">
      <c r="B44" s="105" t="s">
        <v>80</v>
      </c>
      <c r="C44" s="106" t="s">
        <v>69</v>
      </c>
      <c r="D44" s="106" t="n">
        <f aca="false">COUNTIF('Coffee Audit'!C2:C2000,B44)</f>
        <v>1</v>
      </c>
      <c r="E44" s="106" t="n">
        <f aca="false">SUMPRODUCT(('Coffee Audit'!C2:C2000=B44)*('Coffee Audit'!W2:W2000="⭐ GESHA"))</f>
        <v>0</v>
      </c>
      <c r="F44" s="106" t="str">
        <f aca="false">IFERROR("S$"&amp;TEXT(AVERAGEIFS('Coffee Audit'!Q2:Q2000,'Coffee Audit'!C2:C2000,B44,'Coffee Audit'!Q2:Q2000,"&gt;0"),"0.00"),"—")</f>
        <v>—</v>
      </c>
      <c r="G44" s="106" t="s">
        <v>1297</v>
      </c>
      <c r="H44" s="106" t="s">
        <v>1298</v>
      </c>
      <c r="I44" s="106" t="s">
        <v>1028</v>
      </c>
      <c r="J44" s="106" t="s">
        <v>1291</v>
      </c>
      <c r="K44" s="106" t="s">
        <v>1296</v>
      </c>
    </row>
    <row r="45" customFormat="false" ht="13.5" hidden="false" customHeight="true" outlineLevel="0" collapsed="false">
      <c r="B45" s="109" t="s">
        <v>228</v>
      </c>
      <c r="C45" s="110" t="s">
        <v>227</v>
      </c>
      <c r="D45" s="110" t="n">
        <f aca="false">COUNTIF('Coffee Audit'!C2:C2000,B45)</f>
        <v>1</v>
      </c>
      <c r="E45" s="110" t="n">
        <f aca="false">SUMPRODUCT(('Coffee Audit'!C2:C2000=B45)*('Coffee Audit'!W2:W2000="⭐ GESHA"))</f>
        <v>0</v>
      </c>
      <c r="F45" s="110" t="str">
        <f aca="false">IFERROR("S$"&amp;TEXT(AVERAGEIFS('Coffee Audit'!Q2:Q2000,'Coffee Audit'!C2:C2000,B45,'Coffee Audit'!Q2:Q2000,"&gt;0"),"0.00"),"—")</f>
        <v>S$11.08</v>
      </c>
      <c r="G45" s="110" t="s">
        <v>1299</v>
      </c>
      <c r="H45" s="110" t="s">
        <v>1028</v>
      </c>
      <c r="I45" s="110" t="s">
        <v>1028</v>
      </c>
      <c r="J45" s="110" t="s">
        <v>1216</v>
      </c>
      <c r="K45" s="110" t="s">
        <v>1300</v>
      </c>
    </row>
    <row r="46" customFormat="false" ht="7.5" hidden="false" customHeight="true" outlineLevel="0" collapsed="false">
      <c r="B46" s="109" t="s">
        <v>748</v>
      </c>
      <c r="C46" s="110" t="s">
        <v>52</v>
      </c>
      <c r="D46" s="110" t="n">
        <f aca="false">COUNTIF('Coffee Audit'!C2:C2000,B46)</f>
        <v>1</v>
      </c>
      <c r="E46" s="110" t="n">
        <f aca="false">SUMPRODUCT(('Coffee Audit'!C2:C2000=B46)*('Coffee Audit'!W2:W2000="⭐ GESHA"))</f>
        <v>1</v>
      </c>
      <c r="F46" s="110" t="str">
        <f aca="false">IFERROR("S$"&amp;TEXT(AVERAGEIFS('Coffee Audit'!Q2:Q2000,'Coffee Audit'!C2:C2000,B46,'Coffee Audit'!Q2:Q2000,"&gt;0"),"0.00"),"—")</f>
        <v>S$12.00</v>
      </c>
      <c r="G46" s="110" t="s">
        <v>758</v>
      </c>
      <c r="H46" s="110" t="s">
        <v>1301</v>
      </c>
      <c r="I46" s="110" t="s">
        <v>1302</v>
      </c>
      <c r="J46" s="110" t="s">
        <v>1216</v>
      </c>
      <c r="K46" s="110" t="s">
        <v>1303</v>
      </c>
    </row>
    <row r="47" customFormat="false" ht="15.75" hidden="false" customHeight="true" outlineLevel="0" collapsed="false">
      <c r="B47" s="109" t="s">
        <v>737</v>
      </c>
      <c r="C47" s="110" t="s">
        <v>52</v>
      </c>
      <c r="D47" s="110" t="n">
        <f aca="false">COUNTIF('Coffee Audit'!C2:C2000,B47)</f>
        <v>2</v>
      </c>
      <c r="E47" s="110" t="n">
        <f aca="false">SUMPRODUCT(('Coffee Audit'!C2:C2000=B47)*('Coffee Audit'!W2:W2000="⭐ GESHA"))</f>
        <v>0</v>
      </c>
      <c r="F47" s="110" t="str">
        <f aca="false">IFERROR("S$"&amp;TEXT(AVERAGEIFS('Coffee Audit'!Q2:Q2000,'Coffee Audit'!C2:C2000,B47,'Coffee Audit'!Q2:Q2000,"&gt;0"),"0.00"),"—")</f>
        <v>S$9.50</v>
      </c>
      <c r="G47" s="110" t="s">
        <v>747</v>
      </c>
      <c r="H47" s="110" t="s">
        <v>1258</v>
      </c>
      <c r="I47" s="110" t="s">
        <v>1259</v>
      </c>
      <c r="J47" s="110" t="s">
        <v>1194</v>
      </c>
      <c r="K47" s="110" t="s">
        <v>1304</v>
      </c>
    </row>
    <row r="48" customFormat="false" ht="13.5" hidden="false" customHeight="true" outlineLevel="0" collapsed="false">
      <c r="B48" s="109" t="s">
        <v>668</v>
      </c>
      <c r="C48" s="110" t="s">
        <v>52</v>
      </c>
      <c r="D48" s="110" t="n">
        <f aca="false">COUNTIF('Coffee Audit'!C2:C2000,B48)</f>
        <v>3</v>
      </c>
      <c r="E48" s="110" t="n">
        <f aca="false">SUMPRODUCT(('Coffee Audit'!C2:C2000=B48)*('Coffee Audit'!W2:W2000="⭐ GESHA"))</f>
        <v>2</v>
      </c>
      <c r="F48" s="110" t="str">
        <f aca="false">IFERROR("S$"&amp;TEXT(AVERAGEIFS('Coffee Audit'!Q2:Q2000,'Coffee Audit'!C2:C2000,B48,'Coffee Audit'!Q2:Q2000,"&gt;0"),"0.00"),"—")</f>
        <v>S$26.67</v>
      </c>
      <c r="G48" s="110" t="s">
        <v>1305</v>
      </c>
      <c r="H48" s="110" t="s">
        <v>1306</v>
      </c>
      <c r="I48" s="110" t="s">
        <v>1028</v>
      </c>
      <c r="J48" s="110" t="s">
        <v>1284</v>
      </c>
      <c r="K48" s="110" t="s">
        <v>1307</v>
      </c>
    </row>
    <row r="49" customFormat="false" ht="13.5" hidden="false" customHeight="true" outlineLevel="0" collapsed="false">
      <c r="B49" s="109" t="s">
        <v>344</v>
      </c>
      <c r="C49" s="110" t="s">
        <v>52</v>
      </c>
      <c r="D49" s="110" t="n">
        <f aca="false">COUNTIF('Coffee Audit'!C2:C2000,B49)</f>
        <v>2</v>
      </c>
      <c r="E49" s="110" t="n">
        <f aca="false">SUMPRODUCT(('Coffee Audit'!C2:C2000=B49)*('Coffee Audit'!W2:W2000="⭐ GESHA"))</f>
        <v>0</v>
      </c>
      <c r="F49" s="110" t="str">
        <f aca="false">IFERROR("S$"&amp;TEXT(AVERAGEIFS('Coffee Audit'!Q2:Q2000,'Coffee Audit'!C2:C2000,B49,'Coffee Audit'!Q2:Q2000,"&gt;0"),"0.00"),"—")</f>
        <v>S$9.50</v>
      </c>
      <c r="G49" s="110" t="s">
        <v>1308</v>
      </c>
      <c r="H49" s="110" t="s">
        <v>1309</v>
      </c>
      <c r="I49" s="110" t="s">
        <v>1028</v>
      </c>
      <c r="J49" s="110" t="s">
        <v>1291</v>
      </c>
      <c r="K49" s="110" t="s">
        <v>1310</v>
      </c>
    </row>
    <row r="50" customFormat="false" ht="13.5" hidden="false" customHeight="true" outlineLevel="0" collapsed="false">
      <c r="B50" s="109" t="s">
        <v>713</v>
      </c>
      <c r="C50" s="110" t="s">
        <v>52</v>
      </c>
      <c r="D50" s="110" t="n">
        <f aca="false">COUNTIF('Coffee Audit'!C2:C2000,B50)</f>
        <v>1</v>
      </c>
      <c r="E50" s="110" t="n">
        <f aca="false">SUMPRODUCT(('Coffee Audit'!C2:C2000=B50)*('Coffee Audit'!W2:W2000="⭐ GESHA"))</f>
        <v>1</v>
      </c>
      <c r="F50" s="110" t="str">
        <f aca="false">IFERROR("S$"&amp;TEXT(AVERAGEIFS('Coffee Audit'!Q2:Q2000,'Coffee Audit'!C2:C2000,B50,'Coffee Audit'!Q2:Q2000,"&gt;0"),"0.00"),"—")</f>
        <v>S$16.00</v>
      </c>
      <c r="G50" s="110" t="s">
        <v>1311</v>
      </c>
      <c r="H50" s="110" t="s">
        <v>1312</v>
      </c>
      <c r="I50" s="110" t="s">
        <v>1028</v>
      </c>
      <c r="J50" s="110" t="s">
        <v>1216</v>
      </c>
      <c r="K50" s="110" t="s">
        <v>1313</v>
      </c>
    </row>
    <row r="51" customFormat="false" ht="13.5" hidden="false" customHeight="true" outlineLevel="0" collapsed="false">
      <c r="B51" s="109" t="s">
        <v>784</v>
      </c>
      <c r="C51" s="110" t="s">
        <v>52</v>
      </c>
      <c r="D51" s="110" t="n">
        <f aca="false">COUNTIF('Coffee Audit'!C2:C2000,B51)</f>
        <v>1</v>
      </c>
      <c r="E51" s="110" t="n">
        <f aca="false">SUMPRODUCT(('Coffee Audit'!C2:C2000=B51)*('Coffee Audit'!W2:W2000="⭐ GESHA"))</f>
        <v>1</v>
      </c>
      <c r="F51" s="110" t="str">
        <f aca="false">IFERROR("S$"&amp;TEXT(AVERAGEIFS('Coffee Audit'!Q2:Q2000,'Coffee Audit'!C2:C2000,B51,'Coffee Audit'!Q2:Q2000,"&gt;0"),"0.00"),"—")</f>
        <v>S$10.50</v>
      </c>
      <c r="G51" s="110" t="s">
        <v>794</v>
      </c>
      <c r="H51" s="110" t="s">
        <v>1258</v>
      </c>
      <c r="I51" s="110" t="s">
        <v>1259</v>
      </c>
      <c r="J51" s="110" t="s">
        <v>1216</v>
      </c>
      <c r="K51" s="110" t="s">
        <v>1314</v>
      </c>
    </row>
    <row r="52" customFormat="false" ht="12.75" hidden="false" customHeight="true" outlineLevel="0" collapsed="false">
      <c r="B52" s="113"/>
      <c r="C52" s="113"/>
      <c r="D52" s="113"/>
      <c r="E52" s="113"/>
      <c r="F52" s="113"/>
      <c r="G52" s="113"/>
      <c r="H52" s="113"/>
      <c r="I52" s="113"/>
      <c r="J52" s="113"/>
      <c r="K52" s="113"/>
      <c r="L52" s="113"/>
    </row>
    <row r="53" customFormat="false" ht="59.25" hidden="false" customHeight="true" outlineLevel="0" collapsed="false">
      <c r="B53" s="93" t="s">
        <v>1315</v>
      </c>
    </row>
    <row r="54" customFormat="false" ht="39.75" hidden="false" customHeight="true" outlineLevel="0" collapsed="false">
      <c r="B54" s="75" t="s">
        <v>1316</v>
      </c>
      <c r="C54" s="75" t="s">
        <v>1317</v>
      </c>
      <c r="D54" s="75" t="s">
        <v>1318</v>
      </c>
    </row>
    <row r="55" customFormat="false" ht="69" hidden="false" customHeight="true" outlineLevel="0" collapsed="false">
      <c r="B55" s="94" t="s">
        <v>1216</v>
      </c>
      <c r="C55" s="95" t="s">
        <v>1319</v>
      </c>
      <c r="D55" s="95" t="s">
        <v>1320</v>
      </c>
    </row>
    <row r="56" customFormat="false" ht="59.25" hidden="false" customHeight="true" outlineLevel="0" collapsed="false">
      <c r="B56" s="80" t="s">
        <v>1194</v>
      </c>
      <c r="C56" s="81" t="s">
        <v>1321</v>
      </c>
      <c r="D56" s="81" t="s">
        <v>1322</v>
      </c>
    </row>
    <row r="57" customFormat="false" ht="39.75" hidden="false" customHeight="true" outlineLevel="0" collapsed="false">
      <c r="B57" s="86" t="s">
        <v>1291</v>
      </c>
      <c r="C57" s="87" t="s">
        <v>1323</v>
      </c>
      <c r="D57" s="87" t="s">
        <v>1324</v>
      </c>
    </row>
    <row r="58" customFormat="false" ht="39.75" hidden="false" customHeight="true" outlineLevel="0" collapsed="false">
      <c r="B58" s="98" t="s">
        <v>1284</v>
      </c>
      <c r="C58" s="99" t="s">
        <v>1325</v>
      </c>
      <c r="D58" s="99" t="s">
        <v>1326</v>
      </c>
    </row>
  </sheetData>
  <mergeCells count="5">
    <mergeCell ref="B1:L1"/>
    <mergeCell ref="B2:L2"/>
    <mergeCell ref="B4:L4"/>
    <mergeCell ref="B11:L11"/>
    <mergeCell ref="B52:L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6E7A"/>
    <pageSetUpPr fitToPage="false"/>
  </sheetPr>
  <dimension ref="B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5"/>
    <col collapsed="false" customWidth="true" hidden="false" outlineLevel="0" max="3" min="3" style="1" width="65"/>
  </cols>
  <sheetData>
    <row r="1" customFormat="false" ht="21.75" hidden="false" customHeight="true" outlineLevel="0" collapsed="false">
      <c r="B1" s="71" t="s">
        <v>1327</v>
      </c>
      <c r="C1" s="71"/>
      <c r="D1" s="71"/>
      <c r="E1" s="71"/>
      <c r="F1" s="71"/>
      <c r="G1" s="71"/>
      <c r="H1" s="71"/>
      <c r="I1" s="71"/>
      <c r="J1" s="71"/>
    </row>
    <row r="2" customFormat="false" ht="13.5" hidden="false" customHeight="true" outlineLevel="0" collapsed="false">
      <c r="B2" s="104" t="s">
        <v>1328</v>
      </c>
      <c r="C2" s="104"/>
      <c r="D2" s="104"/>
      <c r="E2" s="104"/>
      <c r="F2" s="104"/>
      <c r="G2" s="104"/>
      <c r="H2" s="104"/>
      <c r="I2" s="104"/>
      <c r="J2" s="104"/>
    </row>
    <row r="3" customFormat="false" ht="6" hidden="false" customHeight="true" outlineLevel="0" collapsed="false"/>
    <row r="4" customFormat="false" ht="15.75" hidden="false" customHeight="true" outlineLevel="0" collapsed="false">
      <c r="B4" s="73" t="s">
        <v>1329</v>
      </c>
      <c r="C4" s="73"/>
      <c r="D4" s="73"/>
      <c r="E4" s="73"/>
      <c r="F4" s="73"/>
      <c r="G4" s="73"/>
      <c r="H4" s="73"/>
      <c r="I4" s="73"/>
      <c r="J4" s="73"/>
    </row>
    <row r="5" customFormat="false" ht="15.75" hidden="false" customHeight="true" outlineLevel="0" collapsed="false">
      <c r="B5" s="75" t="s">
        <v>1330</v>
      </c>
      <c r="C5" s="75" t="s">
        <v>1317</v>
      </c>
    </row>
    <row r="6" customFormat="false" ht="12.75" hidden="false" customHeight="true" outlineLevel="0" collapsed="false">
      <c r="B6" s="114"/>
      <c r="C6" s="115" t="s">
        <v>1331</v>
      </c>
    </row>
    <row r="7" customFormat="false" ht="12.75" hidden="false" customHeight="true" outlineLevel="0" collapsed="false">
      <c r="B7" s="116"/>
      <c r="C7" s="115" t="s">
        <v>1332</v>
      </c>
    </row>
    <row r="8" customFormat="false" ht="12.75" hidden="false" customHeight="true" outlineLevel="0" collapsed="false">
      <c r="B8" s="117"/>
      <c r="C8" s="115" t="s">
        <v>1333</v>
      </c>
    </row>
    <row r="9" customFormat="false" ht="12.75" hidden="false" customHeight="true" outlineLevel="0" collapsed="false">
      <c r="B9" s="118"/>
      <c r="C9" s="115" t="s">
        <v>1334</v>
      </c>
    </row>
    <row r="10" customFormat="false" ht="7.5" hidden="false" customHeight="true" outlineLevel="0" collapsed="false"/>
    <row r="11" customFormat="false" ht="15.75" hidden="false" customHeight="true" outlineLevel="0" collapsed="false">
      <c r="B11" s="73" t="s">
        <v>1335</v>
      </c>
      <c r="C11" s="73"/>
      <c r="D11" s="73"/>
      <c r="E11" s="73"/>
      <c r="F11" s="73"/>
      <c r="G11" s="73"/>
      <c r="H11" s="73"/>
      <c r="I11" s="73"/>
      <c r="J11" s="73"/>
    </row>
    <row r="12" customFormat="false" ht="19.5" hidden="false" customHeight="true" outlineLevel="0" collapsed="false">
      <c r="B12" s="101" t="s">
        <v>1336</v>
      </c>
      <c r="C12" s="101"/>
      <c r="D12" s="101"/>
      <c r="E12" s="101"/>
      <c r="F12" s="101"/>
      <c r="G12" s="101"/>
      <c r="H12" s="101"/>
      <c r="I12" s="101"/>
    </row>
    <row r="13" customFormat="false" ht="19.5" hidden="false" customHeight="true" outlineLevel="0" collapsed="false">
      <c r="B13" s="102" t="s">
        <v>1337</v>
      </c>
      <c r="C13" s="102"/>
      <c r="D13" s="102"/>
      <c r="E13" s="102"/>
      <c r="F13" s="102"/>
      <c r="G13" s="102"/>
      <c r="H13" s="102"/>
      <c r="I13" s="102"/>
    </row>
    <row r="14" customFormat="false" ht="19.5" hidden="false" customHeight="true" outlineLevel="0" collapsed="false">
      <c r="B14" s="101" t="s">
        <v>1338</v>
      </c>
      <c r="C14" s="101"/>
      <c r="D14" s="101"/>
      <c r="E14" s="101"/>
      <c r="F14" s="101"/>
      <c r="G14" s="101"/>
      <c r="H14" s="101"/>
      <c r="I14" s="101"/>
    </row>
    <row r="15" customFormat="false" ht="19.5" hidden="false" customHeight="true" outlineLevel="0" collapsed="false">
      <c r="B15" s="102" t="s">
        <v>1339</v>
      </c>
      <c r="C15" s="102"/>
      <c r="D15" s="102"/>
      <c r="E15" s="102"/>
      <c r="F15" s="102"/>
      <c r="G15" s="102"/>
      <c r="H15" s="102"/>
      <c r="I15" s="102"/>
    </row>
    <row r="16" customFormat="false" ht="19.5" hidden="false" customHeight="true" outlineLevel="0" collapsed="false">
      <c r="B16" s="101" t="s">
        <v>1340</v>
      </c>
      <c r="C16" s="101"/>
      <c r="D16" s="101"/>
      <c r="E16" s="101"/>
      <c r="F16" s="101"/>
      <c r="G16" s="101"/>
      <c r="H16" s="101"/>
      <c r="I16" s="101"/>
    </row>
    <row r="17" customFormat="false" ht="19.5" hidden="false" customHeight="true" outlineLevel="0" collapsed="false">
      <c r="B17" s="102" t="s">
        <v>1341</v>
      </c>
      <c r="C17" s="102"/>
      <c r="D17" s="102"/>
      <c r="E17" s="102"/>
      <c r="F17" s="102"/>
      <c r="G17" s="102"/>
      <c r="H17" s="102"/>
      <c r="I17" s="102"/>
    </row>
    <row r="18" customFormat="false" ht="19.5" hidden="false" customHeight="true" outlineLevel="0" collapsed="false">
      <c r="B18" s="101" t="s">
        <v>1342</v>
      </c>
      <c r="C18" s="101"/>
      <c r="D18" s="101"/>
      <c r="E18" s="101"/>
      <c r="F18" s="101"/>
      <c r="G18" s="101"/>
      <c r="H18" s="101"/>
      <c r="I18" s="101"/>
    </row>
    <row r="19" customFormat="false" ht="7.5" hidden="false" customHeight="true" outlineLevel="0" collapsed="false"/>
    <row r="20" customFormat="false" ht="15.75" hidden="false" customHeight="true" outlineLevel="0" collapsed="false">
      <c r="B20" s="73" t="s">
        <v>1343</v>
      </c>
      <c r="C20" s="73"/>
      <c r="D20" s="73"/>
      <c r="E20" s="73"/>
      <c r="F20" s="73"/>
      <c r="G20" s="73"/>
      <c r="H20" s="73"/>
      <c r="I20" s="73"/>
      <c r="J20" s="73"/>
    </row>
    <row r="21" customFormat="false" ht="18" hidden="false" customHeight="true" outlineLevel="0" collapsed="false">
      <c r="B21" s="119" t="s">
        <v>1344</v>
      </c>
      <c r="C21" s="119"/>
      <c r="D21" s="119"/>
      <c r="E21" s="119"/>
      <c r="F21" s="119"/>
      <c r="G21" s="119"/>
      <c r="H21" s="119"/>
      <c r="I21" s="119"/>
    </row>
    <row r="22" customFormat="false" ht="18" hidden="false" customHeight="true" outlineLevel="0" collapsed="false">
      <c r="B22" s="120" t="s">
        <v>1345</v>
      </c>
      <c r="C22" s="120"/>
      <c r="D22" s="120"/>
      <c r="E22" s="120"/>
      <c r="F22" s="120"/>
      <c r="G22" s="120"/>
      <c r="H22" s="120"/>
      <c r="I22" s="120"/>
    </row>
    <row r="23" customFormat="false" ht="18" hidden="false" customHeight="true" outlineLevel="0" collapsed="false">
      <c r="B23" s="119" t="s">
        <v>1346</v>
      </c>
      <c r="C23" s="119"/>
      <c r="D23" s="119"/>
      <c r="E23" s="119"/>
      <c r="F23" s="119"/>
      <c r="G23" s="119"/>
      <c r="H23" s="119"/>
      <c r="I23" s="119"/>
    </row>
    <row r="24" customFormat="false" ht="18" hidden="false" customHeight="true" outlineLevel="0" collapsed="false">
      <c r="B24" s="120" t="s">
        <v>1347</v>
      </c>
      <c r="C24" s="120"/>
      <c r="D24" s="120"/>
      <c r="E24" s="120"/>
      <c r="F24" s="120"/>
      <c r="G24" s="120"/>
      <c r="H24" s="120"/>
      <c r="I24" s="120"/>
    </row>
    <row r="25" customFormat="false" ht="18" hidden="false" customHeight="true" outlineLevel="0" collapsed="false">
      <c r="B25" s="119" t="s">
        <v>1348</v>
      </c>
      <c r="C25" s="119"/>
      <c r="D25" s="119"/>
      <c r="E25" s="119"/>
      <c r="F25" s="119"/>
      <c r="G25" s="119"/>
      <c r="H25" s="119"/>
      <c r="I25" s="119"/>
    </row>
    <row r="26" customFormat="false" ht="18" hidden="false" customHeight="true" outlineLevel="0" collapsed="false">
      <c r="B26" s="120" t="s">
        <v>1349</v>
      </c>
      <c r="C26" s="120"/>
      <c r="D26" s="120"/>
      <c r="E26" s="120"/>
      <c r="F26" s="120"/>
      <c r="G26" s="120"/>
      <c r="H26" s="120"/>
      <c r="I26" s="120"/>
    </row>
    <row r="27" customFormat="false" ht="18" hidden="false" customHeight="true" outlineLevel="0" collapsed="false">
      <c r="B27" s="119" t="s">
        <v>1350</v>
      </c>
      <c r="C27" s="119"/>
      <c r="D27" s="119"/>
      <c r="E27" s="119"/>
      <c r="F27" s="119"/>
      <c r="G27" s="119"/>
      <c r="H27" s="119"/>
      <c r="I27" s="119"/>
    </row>
    <row r="28" customFormat="false" ht="18" hidden="false" customHeight="true" outlineLevel="0" collapsed="false">
      <c r="B28" s="120" t="s">
        <v>1351</v>
      </c>
      <c r="C28" s="120"/>
      <c r="D28" s="120"/>
      <c r="E28" s="120"/>
      <c r="F28" s="120"/>
      <c r="G28" s="120"/>
      <c r="H28" s="120"/>
      <c r="I28" s="120"/>
    </row>
    <row r="29" customFormat="false" ht="18" hidden="false" customHeight="true" outlineLevel="0" collapsed="false">
      <c r="B29" s="119" t="s">
        <v>1352</v>
      </c>
      <c r="C29" s="119"/>
      <c r="D29" s="119"/>
      <c r="E29" s="119"/>
      <c r="F29" s="119"/>
      <c r="G29" s="119"/>
      <c r="H29" s="119"/>
      <c r="I29" s="119"/>
    </row>
  </sheetData>
  <mergeCells count="21">
    <mergeCell ref="B1:J1"/>
    <mergeCell ref="B2:J2"/>
    <mergeCell ref="B4:J4"/>
    <mergeCell ref="B11:J11"/>
    <mergeCell ref="B12:I12"/>
    <mergeCell ref="B13:I13"/>
    <mergeCell ref="B14:I14"/>
    <mergeCell ref="B15:I15"/>
    <mergeCell ref="B16:I16"/>
    <mergeCell ref="B17:I17"/>
    <mergeCell ref="B18:I18"/>
    <mergeCell ref="B20:J20"/>
    <mergeCell ref="B21:I21"/>
    <mergeCell ref="B22:I22"/>
    <mergeCell ref="B23:I23"/>
    <mergeCell ref="B24:I24"/>
    <mergeCell ref="B25:I25"/>
    <mergeCell ref="B26:I26"/>
    <mergeCell ref="B27:I27"/>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9E9E"/>
    <pageSetUpPr fitToPage="false"/>
  </sheetPr>
  <dimension ref="A2: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26"/>
    <col collapsed="false" customWidth="true" hidden="false" outlineLevel="0" max="3" min="3" style="1" width="14"/>
    <col collapsed="false" customWidth="true" hidden="false" outlineLevel="0" max="4" min="4" style="1" width="16"/>
    <col collapsed="false" customWidth="true" hidden="false" outlineLevel="0" max="5" min="5" style="1" width="58"/>
  </cols>
  <sheetData>
    <row r="2" customFormat="false" ht="15" hidden="false" customHeight="true" outlineLevel="0" collapsed="false">
      <c r="A2" s="121" t="s">
        <v>1353</v>
      </c>
    </row>
    <row r="3" customFormat="false" ht="15" hidden="false" customHeight="true" outlineLevel="0" collapsed="false">
      <c r="A3" s="121" t="s">
        <v>1354</v>
      </c>
      <c r="B3" s="122" t="n">
        <f aca="false">COUNTA('Coffee Audit'!A2:A2000)</f>
        <v>76</v>
      </c>
    </row>
    <row r="4" customFormat="false" ht="15" hidden="false" customHeight="true" outlineLevel="0" collapsed="false">
      <c r="A4" s="121" t="s">
        <v>1355</v>
      </c>
      <c r="B4" s="122" t="n">
        <v>15</v>
      </c>
    </row>
    <row r="5" customFormat="false" ht="15" hidden="false" customHeight="true" outlineLevel="0" collapsed="false">
      <c r="A5" s="121" t="s">
        <v>1356</v>
      </c>
      <c r="B5" s="122" t="n">
        <v>8</v>
      </c>
    </row>
    <row r="6" customFormat="false" ht="15" hidden="false" customHeight="true" outlineLevel="0" collapsed="false">
      <c r="A6" s="121" t="s">
        <v>1357</v>
      </c>
      <c r="B6" s="122" t="n">
        <v>5</v>
      </c>
    </row>
    <row r="7" customFormat="false" ht="15" hidden="false" customHeight="true" outlineLevel="0" collapsed="false">
      <c r="A7" s="121" t="s">
        <v>1358</v>
      </c>
      <c r="B7" s="122" t="n">
        <f aca="false">SUMPRODUCT(('Coffee Audit'!B2:B2000&lt;&gt;"")/COUNTIF('Coffee Audit'!B2:B2000,'Coffee Audit'!B2:B2000&amp;""))</f>
        <v>4</v>
      </c>
    </row>
    <row r="8" customFormat="false" ht="15" hidden="false" customHeight="true" outlineLevel="0" collapsed="false">
      <c r="A8" s="121" t="s">
        <v>1359</v>
      </c>
      <c r="B8" s="122" t="n">
        <f aca="false">SUMPRODUCT(('Coffee Audit'!C2:C2000&lt;&gt;"")/COUNTIF('Coffee Audit'!C2:C2000,'Coffee Audit'!C2:C2000&amp;""))</f>
        <v>38</v>
      </c>
    </row>
    <row r="9" customFormat="false" ht="15" hidden="false" customHeight="true" outlineLevel="0" collapsed="false">
      <c r="A9" s="121" t="s">
        <v>1360</v>
      </c>
      <c r="B9" s="122" t="str">
        <f aca="false">TEXT(MIN('Coffee Audit'!A2:A2000),"YYYY-MM-DD")&amp;"  →  "&amp;TEXT(MAX('Coffee Audit'!A2:A2000),"YYYY-MM-DD")</f>
        <v>2026-01-03  →  2026-08-05</v>
      </c>
    </row>
    <row r="11" customFormat="false" ht="16.5" hidden="false" customHeight="true" outlineLevel="0" collapsed="false">
      <c r="B11" s="123" t="s">
        <v>1361</v>
      </c>
      <c r="C11" s="123"/>
      <c r="D11" s="123"/>
      <c r="E11" s="123"/>
      <c r="F11" s="123"/>
    </row>
    <row r="12" customFormat="false" ht="15" hidden="false" customHeight="true" outlineLevel="0" collapsed="false">
      <c r="B12" s="32" t="s">
        <v>1362</v>
      </c>
      <c r="C12" s="32" t="s">
        <v>1363</v>
      </c>
      <c r="D12" s="32" t="s">
        <v>996</v>
      </c>
      <c r="E12" s="32" t="s">
        <v>1364</v>
      </c>
    </row>
    <row r="13" customFormat="false" ht="12.75" hidden="false" customHeight="true" outlineLevel="0" collapsed="false">
      <c r="B13" s="55" t="s">
        <v>1365</v>
      </c>
      <c r="C13" s="46" t="n">
        <f aca="false">COUNTA('Coffee Audit'!A2:A2000)</f>
        <v>76</v>
      </c>
      <c r="D13" s="44" t="str">
        <f aca="false">IF(COUNTA('Coffee Audit'!A2:A2000)&gt;0,"✅ OK","🚨 EMPTY")</f>
        <v>✅ OK</v>
      </c>
      <c r="E13" s="92" t="s">
        <v>1366</v>
      </c>
    </row>
    <row r="14" customFormat="false" ht="12.75" hidden="false" customHeight="true" outlineLevel="0" collapsed="false">
      <c r="B14" s="58" t="s">
        <v>1367</v>
      </c>
      <c r="C14" s="41" t="n">
        <f aca="false">SUMPRODUCT((('Coffee Audit'!W2:W2000="⭐ GESHA")&lt;&gt;(ISNUMBER(SEARCH("gesha",'Coffee Audit'!G2:G2000&amp;""))+ISNUMBER(SEARCH("geisha",'Coffee Audit'!G2:G2000&amp;""))&gt;0))*('Coffee Audit'!A2:A2000&lt;&gt;""))</f>
        <v>0</v>
      </c>
      <c r="D14" s="39" t="str">
        <f aca="false">IF(SUMPRODUCT((('Coffee Audit'!W2:W2000="⭐ GESHA")&lt;&gt;(ISNUMBER(SEARCH("gesha",'Coffee Audit'!G2:G2000&amp;""))+ISNUMBER(SEARCH("geisha",'Coffee Audit'!G2:G2000&amp;""))&gt;0))*('Coffee Audit'!A2:A2000&lt;&gt;""))=0,"✅ OK","🚨 MISMATCH")</f>
        <v>✅ OK</v>
      </c>
      <c r="E14" s="124" t="s">
        <v>1368</v>
      </c>
    </row>
    <row r="15" customFormat="false" ht="12.75" hidden="false" customHeight="true" outlineLevel="0" collapsed="false">
      <c r="B15" s="55" t="s">
        <v>1369</v>
      </c>
      <c r="C15" s="46" t="n">
        <f aca="false">SUMPRODUCT(--('Coffee Audit'!A2:A2000=""))-COUNTBLANK('Coffee Audit'!A2:A2000)+COUNTBLANK('Coffee Audit'!A2:A2000)-(2000-1-COUNTA('Coffee Audit'!A2:A2000))</f>
        <v>0</v>
      </c>
      <c r="D15" s="44" t="str">
        <f aca="false">IF(COUNT('Coffee Audit'!A2:A2000)=COUNTA('Coffee Audit'!A2:A2000),"✅ OK","⚠️ CHECK")</f>
        <v>✅ OK</v>
      </c>
      <c r="E15" s="92" t="s">
        <v>1370</v>
      </c>
    </row>
    <row r="16" customFormat="false" ht="12.75" hidden="false" customHeight="true" outlineLevel="0" collapsed="false">
      <c r="B16" s="58" t="s">
        <v>1371</v>
      </c>
      <c r="C16" s="41" t="n">
        <f aca="false">SUMPRODUCT(('Coffee Audit'!A2:A2000&lt;&gt;"")*('Coffee Audit'!C2:C2000=""))</f>
        <v>0</v>
      </c>
      <c r="D16" s="39" t="str">
        <f aca="false">IF(SUMPRODUCT(('Coffee Audit'!A2:A2000&lt;&gt;"")*('Coffee Audit'!C2:C2000=""))=0,"✅ OK","🚨 BLANK")</f>
        <v>✅ OK</v>
      </c>
      <c r="E16" s="124" t="s">
        <v>1372</v>
      </c>
    </row>
    <row r="17" customFormat="false" ht="12.75" hidden="false" customHeight="true" outlineLevel="0" collapsed="false">
      <c r="B17" s="55" t="s">
        <v>1373</v>
      </c>
      <c r="C17" s="46" t="n">
        <f aca="false">SUMPRODUCT(('Coffee Audit'!A2:A2000&lt;&gt;"")*('Coffee Audit'!Q2:Q2000&lt;0))</f>
        <v>0</v>
      </c>
      <c r="D17" s="44" t="str">
        <f aca="false">IF(SUMPRODUCT(('Coffee Audit'!A2:A2000&lt;&gt;"")*('Coffee Audit'!Q2:Q2000&lt;0))=0,"✅ OK","🚨 NEGATIVE")</f>
        <v>✅ OK</v>
      </c>
      <c r="E17" s="92" t="s">
        <v>1374</v>
      </c>
    </row>
    <row r="18" customFormat="false" ht="12.75" hidden="false" customHeight="true" outlineLevel="0" collapsed="false">
      <c r="B18" s="58" t="s">
        <v>1375</v>
      </c>
      <c r="C18" s="41" t="n">
        <f aca="false">'🏙️ Café Directory'!D13+0</f>
        <v>7</v>
      </c>
      <c r="D18" s="39" t="str">
        <f aca="false">IF(SUM('🏙️ Café Directory'!D13:D51)=COUNTA('Coffee Audit'!A2:A2000),"✅ BALANCED","⚠️ DRIFT")</f>
        <v>✅ BALANCED</v>
      </c>
      <c r="E18" s="124" t="s">
        <v>1376</v>
      </c>
    </row>
    <row r="19" customFormat="false" ht="12.75" hidden="false" customHeight="true" outlineLevel="0" collapsed="false">
      <c r="B19" s="55" t="s">
        <v>1377</v>
      </c>
      <c r="C19" s="125" t="n">
        <f aca="false">MAX('Coffee Audit'!A2:A2000)</f>
        <v>46239</v>
      </c>
      <c r="D19" s="44" t="str">
        <f aca="false">IF(MAX('Coffee Audit'!A2:A2000)&gt;=DATE(2026,7,29),"✅ CURRENT","⚠️ STALE")</f>
        <v>✅ CURRENT</v>
      </c>
      <c r="E19" s="92" t="s">
        <v>1378</v>
      </c>
    </row>
  </sheetData>
  <mergeCells count="1">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2026-07-11T00:12:35Z</dcterms:created>
  <dc:creator>openpyxl</dc:creator>
  <dc:description/>
  <dc:language>en-US</dc:language>
  <cp:lastModifiedBy/>
  <dcterms:modified xsi:type="dcterms:W3CDTF">2026-08-06T15:09:54Z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